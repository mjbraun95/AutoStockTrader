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9"/>
  <workbookPr codeName="ThisWorkbook"/>
  <mc:AlternateContent xmlns:mc="http://schemas.openxmlformats.org/markup-compatibility/2006">
    <mc:Choice Requires="x15">
      <x15ac:absPath xmlns:x15ac="http://schemas.microsoft.com/office/spreadsheetml/2010/11/ac" url="/Users/brandongrubb/Desktop/untitled folder/"/>
    </mc:Choice>
  </mc:AlternateContent>
  <xr:revisionPtr revIDLastSave="0" documentId="8_{7CD55CC0-2F6C-534C-9777-38C3C715DCBE}" xr6:coauthVersionLast="31" xr6:coauthVersionMax="31" xr10:uidLastSave="{00000000-0000-0000-0000-000000000000}"/>
  <bookViews>
    <workbookView xWindow="0" yWindow="460" windowWidth="28800" windowHeight="16240" activeTab="1" xr2:uid="{00000000-000D-0000-FFFF-FFFF00000000}"/>
  </bookViews>
  <sheets>
    <sheet name="PMI Analysis" sheetId="3" r:id="rId1"/>
    <sheet name="Sectors" sheetId="4" r:id="rId2"/>
    <sheet name="Industry Comments" sheetId="5" r:id="rId3"/>
  </sheets>
  <externalReferences>
    <externalReference r:id="rId4"/>
    <externalReference r:id="rId5"/>
  </externalReferences>
  <definedNames>
    <definedName name="_xlnm._FilterDatabase" localSheetId="2" hidden="1">'Industry Comments'!$A$1:$A$501</definedName>
    <definedName name="_xlnm._FilterDatabase" localSheetId="0" hidden="1">'PMI Analysis'!#REF!</definedName>
    <definedName name="_xlnm._FilterDatabase" localSheetId="1" hidden="1">Sectors!$B$143:$C$161</definedName>
  </definedNames>
  <calcPr calcId="179017"/>
</workbook>
</file>

<file path=xl/calcChain.xml><?xml version="1.0" encoding="utf-8"?>
<calcChain xmlns="http://schemas.openxmlformats.org/spreadsheetml/2006/main">
  <c r="C167" i="4" l="1"/>
  <c r="D167" i="4" s="1"/>
  <c r="E167" i="4" s="1"/>
  <c r="F167" i="4" s="1"/>
  <c r="G167" i="4" s="1"/>
  <c r="H167" i="4" s="1"/>
  <c r="I167" i="4" s="1"/>
  <c r="J167" i="4" s="1"/>
  <c r="K167" i="4" s="1"/>
  <c r="L167" i="4" s="1"/>
  <c r="M167" i="4" s="1"/>
  <c r="N167" i="4" s="1"/>
  <c r="O167" i="4" s="1"/>
  <c r="P167" i="4" s="1"/>
  <c r="Q167" i="4" s="1"/>
  <c r="R167" i="4" s="1"/>
  <c r="C168" i="4"/>
  <c r="D168" i="4" s="1"/>
  <c r="E168" i="4" s="1"/>
  <c r="F168" i="4" s="1"/>
  <c r="G168" i="4" s="1"/>
  <c r="H168" i="4" s="1"/>
  <c r="I168" i="4" s="1"/>
  <c r="J168" i="4" s="1"/>
  <c r="K168" i="4" s="1"/>
  <c r="L168" i="4" s="1"/>
  <c r="M168" i="4" s="1"/>
  <c r="N168" i="4" s="1"/>
  <c r="O168" i="4" s="1"/>
  <c r="P168" i="4" s="1"/>
  <c r="Q168" i="4" s="1"/>
  <c r="R168" i="4" s="1"/>
  <c r="C169" i="4"/>
  <c r="D169" i="4" s="1"/>
  <c r="E169" i="4" s="1"/>
  <c r="F169" i="4" s="1"/>
  <c r="G169" i="4" s="1"/>
  <c r="H169" i="4" s="1"/>
  <c r="I169" i="4" s="1"/>
  <c r="J169" i="4" s="1"/>
  <c r="K169" i="4" s="1"/>
  <c r="L169" i="4" s="1"/>
  <c r="M169" i="4" s="1"/>
  <c r="N169" i="4" s="1"/>
  <c r="O169" i="4" s="1"/>
  <c r="P169" i="4" s="1"/>
  <c r="Q169" i="4" s="1"/>
  <c r="R169" i="4" s="1"/>
  <c r="C170" i="4"/>
  <c r="D170" i="4" s="1"/>
  <c r="E170" i="4" s="1"/>
  <c r="F170" i="4" s="1"/>
  <c r="G170" i="4" s="1"/>
  <c r="H170" i="4" s="1"/>
  <c r="I170" i="4" s="1"/>
  <c r="J170" i="4" s="1"/>
  <c r="K170" i="4" s="1"/>
  <c r="L170" i="4" s="1"/>
  <c r="M170" i="4" s="1"/>
  <c r="N170" i="4" s="1"/>
  <c r="O170" i="4" s="1"/>
  <c r="P170" i="4" s="1"/>
  <c r="Q170" i="4" s="1"/>
  <c r="R170" i="4" s="1"/>
  <c r="C171" i="4"/>
  <c r="D171" i="4" s="1"/>
  <c r="E171" i="4" s="1"/>
  <c r="F171" i="4" s="1"/>
  <c r="G171" i="4" s="1"/>
  <c r="H171" i="4" s="1"/>
  <c r="I171" i="4" s="1"/>
  <c r="J171" i="4" s="1"/>
  <c r="K171" i="4" s="1"/>
  <c r="L171" i="4" s="1"/>
  <c r="M171" i="4" s="1"/>
  <c r="N171" i="4" s="1"/>
  <c r="O171" i="4" s="1"/>
  <c r="P171" i="4" s="1"/>
  <c r="Q171" i="4" s="1"/>
  <c r="R171" i="4" s="1"/>
  <c r="C172" i="4"/>
  <c r="D172" i="4" s="1"/>
  <c r="E172" i="4" s="1"/>
  <c r="F172" i="4" s="1"/>
  <c r="G172" i="4" s="1"/>
  <c r="H172" i="4" s="1"/>
  <c r="I172" i="4" s="1"/>
  <c r="J172" i="4" s="1"/>
  <c r="K172" i="4" s="1"/>
  <c r="L172" i="4" s="1"/>
  <c r="M172" i="4" s="1"/>
  <c r="N172" i="4" s="1"/>
  <c r="O172" i="4" s="1"/>
  <c r="P172" i="4" s="1"/>
  <c r="Q172" i="4" s="1"/>
  <c r="R172" i="4" s="1"/>
  <c r="C173" i="4"/>
  <c r="D173" i="4" s="1"/>
  <c r="E173" i="4" s="1"/>
  <c r="F173" i="4" s="1"/>
  <c r="G173" i="4" s="1"/>
  <c r="H173" i="4" s="1"/>
  <c r="I173" i="4" s="1"/>
  <c r="J173" i="4" s="1"/>
  <c r="K173" i="4" s="1"/>
  <c r="L173" i="4" s="1"/>
  <c r="M173" i="4" s="1"/>
  <c r="N173" i="4" s="1"/>
  <c r="O173" i="4" s="1"/>
  <c r="P173" i="4" s="1"/>
  <c r="Q173" i="4" s="1"/>
  <c r="R173" i="4" s="1"/>
  <c r="C174" i="4"/>
  <c r="D174" i="4" s="1"/>
  <c r="E174" i="4" s="1"/>
  <c r="F174" i="4" s="1"/>
  <c r="G174" i="4" s="1"/>
  <c r="H174" i="4" s="1"/>
  <c r="I174" i="4" s="1"/>
  <c r="J174" i="4" s="1"/>
  <c r="K174" i="4" s="1"/>
  <c r="L174" i="4" s="1"/>
  <c r="M174" i="4" s="1"/>
  <c r="N174" i="4" s="1"/>
  <c r="O174" i="4" s="1"/>
  <c r="P174" i="4" s="1"/>
  <c r="Q174" i="4" s="1"/>
  <c r="R174" i="4" s="1"/>
  <c r="C175" i="4"/>
  <c r="D175" i="4" s="1"/>
  <c r="E175" i="4" s="1"/>
  <c r="F175" i="4" s="1"/>
  <c r="G175" i="4" s="1"/>
  <c r="H175" i="4" s="1"/>
  <c r="I175" i="4" s="1"/>
  <c r="J175" i="4" s="1"/>
  <c r="K175" i="4" s="1"/>
  <c r="L175" i="4" s="1"/>
  <c r="M175" i="4" s="1"/>
  <c r="N175" i="4" s="1"/>
  <c r="O175" i="4" s="1"/>
  <c r="P175" i="4" s="1"/>
  <c r="Q175" i="4" s="1"/>
  <c r="R175" i="4" s="1"/>
  <c r="C176" i="4"/>
  <c r="D176" i="4" s="1"/>
  <c r="E176" i="4" s="1"/>
  <c r="F176" i="4" s="1"/>
  <c r="G176" i="4" s="1"/>
  <c r="H176" i="4" s="1"/>
  <c r="I176" i="4" s="1"/>
  <c r="J176" i="4" s="1"/>
  <c r="K176" i="4" s="1"/>
  <c r="L176" i="4" s="1"/>
  <c r="M176" i="4" s="1"/>
  <c r="N176" i="4" s="1"/>
  <c r="O176" i="4" s="1"/>
  <c r="P176" i="4" s="1"/>
  <c r="Q176" i="4" s="1"/>
  <c r="R176" i="4" s="1"/>
  <c r="C177" i="4"/>
  <c r="D177" i="4" s="1"/>
  <c r="E177" i="4" s="1"/>
  <c r="F177" i="4" s="1"/>
  <c r="G177" i="4" s="1"/>
  <c r="H177" i="4" s="1"/>
  <c r="I177" i="4" s="1"/>
  <c r="J177" i="4" s="1"/>
  <c r="K177" i="4" s="1"/>
  <c r="L177" i="4" s="1"/>
  <c r="M177" i="4" s="1"/>
  <c r="N177" i="4" s="1"/>
  <c r="O177" i="4" s="1"/>
  <c r="P177" i="4" s="1"/>
  <c r="Q177" i="4" s="1"/>
  <c r="R177" i="4" s="1"/>
  <c r="C178" i="4"/>
  <c r="D178" i="4" s="1"/>
  <c r="E178" i="4" s="1"/>
  <c r="F178" i="4" s="1"/>
  <c r="G178" i="4" s="1"/>
  <c r="H178" i="4" s="1"/>
  <c r="I178" i="4" s="1"/>
  <c r="J178" i="4" s="1"/>
  <c r="K178" i="4" s="1"/>
  <c r="L178" i="4" s="1"/>
  <c r="M178" i="4" s="1"/>
  <c r="N178" i="4" s="1"/>
  <c r="O178" i="4" s="1"/>
  <c r="P178" i="4" s="1"/>
  <c r="Q178" i="4" s="1"/>
  <c r="R178" i="4" s="1"/>
  <c r="C179" i="4"/>
  <c r="D179" i="4" s="1"/>
  <c r="E179" i="4" s="1"/>
  <c r="F179" i="4" s="1"/>
  <c r="G179" i="4" s="1"/>
  <c r="H179" i="4" s="1"/>
  <c r="I179" i="4" s="1"/>
  <c r="J179" i="4" s="1"/>
  <c r="K179" i="4" s="1"/>
  <c r="L179" i="4" s="1"/>
  <c r="M179" i="4" s="1"/>
  <c r="N179" i="4" s="1"/>
  <c r="O179" i="4" s="1"/>
  <c r="P179" i="4" s="1"/>
  <c r="Q179" i="4" s="1"/>
  <c r="R179" i="4" s="1"/>
  <c r="C180" i="4"/>
  <c r="D180" i="4" s="1"/>
  <c r="E180" i="4" s="1"/>
  <c r="F180" i="4" s="1"/>
  <c r="G180" i="4" s="1"/>
  <c r="H180" i="4" s="1"/>
  <c r="I180" i="4" s="1"/>
  <c r="J180" i="4" s="1"/>
  <c r="K180" i="4" s="1"/>
  <c r="L180" i="4" s="1"/>
  <c r="M180" i="4" s="1"/>
  <c r="N180" i="4" s="1"/>
  <c r="O180" i="4" s="1"/>
  <c r="P180" i="4" s="1"/>
  <c r="Q180" i="4" s="1"/>
  <c r="R180" i="4" s="1"/>
  <c r="C181" i="4"/>
  <c r="D181" i="4" s="1"/>
  <c r="E181" i="4" s="1"/>
  <c r="F181" i="4" s="1"/>
  <c r="G181" i="4" s="1"/>
  <c r="H181" i="4" s="1"/>
  <c r="I181" i="4" s="1"/>
  <c r="J181" i="4" s="1"/>
  <c r="K181" i="4" s="1"/>
  <c r="L181" i="4" s="1"/>
  <c r="M181" i="4" s="1"/>
  <c r="N181" i="4" s="1"/>
  <c r="O181" i="4" s="1"/>
  <c r="P181" i="4" s="1"/>
  <c r="Q181" i="4" s="1"/>
  <c r="R181" i="4" s="1"/>
  <c r="C182" i="4"/>
  <c r="D182" i="4" s="1"/>
  <c r="E182" i="4" s="1"/>
  <c r="F182" i="4" s="1"/>
  <c r="G182" i="4" s="1"/>
  <c r="H182" i="4" s="1"/>
  <c r="I182" i="4" s="1"/>
  <c r="J182" i="4" s="1"/>
  <c r="K182" i="4" s="1"/>
  <c r="L182" i="4" s="1"/>
  <c r="M182" i="4" s="1"/>
  <c r="N182" i="4" s="1"/>
  <c r="O182" i="4" s="1"/>
  <c r="P182" i="4" s="1"/>
  <c r="Q182" i="4" s="1"/>
  <c r="R182" i="4" s="1"/>
  <c r="C183" i="4"/>
  <c r="D183" i="4" s="1"/>
  <c r="E183" i="4" s="1"/>
  <c r="F183" i="4" s="1"/>
  <c r="G183" i="4" s="1"/>
  <c r="H183" i="4" s="1"/>
  <c r="I183" i="4" s="1"/>
  <c r="J183" i="4" s="1"/>
  <c r="K183" i="4" s="1"/>
  <c r="L183" i="4" s="1"/>
  <c r="M183" i="4" s="1"/>
  <c r="N183" i="4" s="1"/>
  <c r="O183" i="4" s="1"/>
  <c r="P183" i="4" s="1"/>
  <c r="Q183" i="4" s="1"/>
  <c r="R183" i="4" s="1"/>
  <c r="C184" i="4"/>
  <c r="D184" i="4" s="1"/>
  <c r="E184" i="4" s="1"/>
  <c r="F184" i="4" s="1"/>
  <c r="G184" i="4" s="1"/>
  <c r="H184" i="4" s="1"/>
  <c r="I184" i="4" s="1"/>
  <c r="J184" i="4" s="1"/>
  <c r="K184" i="4" s="1"/>
  <c r="L184" i="4" s="1"/>
  <c r="M184" i="4" s="1"/>
  <c r="N184" i="4" s="1"/>
  <c r="O184" i="4" s="1"/>
  <c r="P184" i="4" s="1"/>
  <c r="Q184" i="4" s="1"/>
  <c r="R184" i="4" s="1"/>
  <c r="AB17" i="3" l="1"/>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1"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561"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609"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727" i="3"/>
  <c r="AB728" i="3"/>
  <c r="AB729" i="3"/>
  <c r="AB730" i="3"/>
  <c r="AB731" i="3"/>
  <c r="AB732" i="3"/>
  <c r="AB733" i="3"/>
  <c r="AB734" i="3"/>
  <c r="AB735" i="3"/>
  <c r="AB736" i="3"/>
  <c r="AB737" i="3"/>
  <c r="AB738" i="3"/>
  <c r="AB739" i="3"/>
  <c r="AB740" i="3"/>
  <c r="AB741" i="3"/>
  <c r="AB742" i="3"/>
  <c r="AB743" i="3"/>
  <c r="AB744" i="3"/>
  <c r="AB745" i="3"/>
  <c r="AB746" i="3"/>
  <c r="AB747" i="3"/>
  <c r="AB748" i="3"/>
  <c r="AB749" i="3"/>
  <c r="AB750" i="3"/>
  <c r="AB751" i="3"/>
  <c r="AB752" i="3"/>
  <c r="AB753" i="3"/>
  <c r="AB754" i="3"/>
  <c r="AB755" i="3"/>
  <c r="AB756" i="3"/>
  <c r="AB757" i="3"/>
  <c r="AB758" i="3"/>
  <c r="AB759" i="3"/>
  <c r="AB760" i="3"/>
  <c r="AB761" i="3"/>
  <c r="AB762" i="3"/>
  <c r="AB763" i="3"/>
  <c r="AB764" i="3"/>
  <c r="AB765" i="3"/>
  <c r="AB766" i="3"/>
  <c r="AB767" i="3"/>
  <c r="AB768" i="3"/>
  <c r="AB769" i="3"/>
  <c r="AB770" i="3"/>
  <c r="AB771" i="3"/>
  <c r="AB772" i="3"/>
  <c r="AB773" i="3"/>
  <c r="AB774" i="3"/>
  <c r="AB775" i="3"/>
  <c r="AB776" i="3"/>
  <c r="AB777" i="3"/>
  <c r="AB778" i="3"/>
  <c r="AB779" i="3"/>
  <c r="AB780" i="3"/>
  <c r="AB781" i="3"/>
  <c r="AB782" i="3"/>
  <c r="AB783" i="3"/>
  <c r="AB784" i="3"/>
  <c r="AB785" i="3"/>
  <c r="AB786" i="3"/>
  <c r="AB787" i="3"/>
  <c r="AB788" i="3"/>
  <c r="AB789" i="3"/>
  <c r="AB790" i="3"/>
  <c r="AB791" i="3"/>
  <c r="AB792" i="3"/>
  <c r="AB793" i="3"/>
  <c r="AB794" i="3"/>
  <c r="AB795" i="3"/>
  <c r="AB796" i="3"/>
  <c r="AB797" i="3"/>
  <c r="AB798" i="3"/>
  <c r="AB799" i="3"/>
  <c r="AB800" i="3"/>
  <c r="AB801" i="3"/>
  <c r="AB802" i="3"/>
  <c r="AB803" i="3"/>
  <c r="AB804" i="3"/>
  <c r="AB805" i="3"/>
  <c r="AB806" i="3"/>
  <c r="AB807" i="3"/>
  <c r="AB808" i="3"/>
  <c r="AB809" i="3"/>
  <c r="AB810" i="3"/>
  <c r="AB811" i="3"/>
  <c r="AB812" i="3"/>
  <c r="AB813" i="3"/>
  <c r="AB814" i="3"/>
  <c r="AB815" i="3"/>
  <c r="AB816" i="3"/>
  <c r="AB817" i="3"/>
  <c r="AB818" i="3"/>
  <c r="AB819" i="3"/>
  <c r="AB820" i="3"/>
  <c r="AB821" i="3"/>
  <c r="AB822" i="3"/>
  <c r="AB823" i="3"/>
  <c r="AB824" i="3"/>
  <c r="AB825" i="3"/>
  <c r="AB826" i="3"/>
  <c r="AB827" i="3"/>
  <c r="AB828" i="3"/>
  <c r="AB829" i="3"/>
  <c r="AB830" i="3"/>
  <c r="AB831" i="3"/>
  <c r="AB832" i="3"/>
  <c r="AB833" i="3"/>
  <c r="AB834" i="3"/>
  <c r="AB835" i="3"/>
  <c r="AB836" i="3"/>
  <c r="AB837" i="3"/>
  <c r="AB838" i="3"/>
  <c r="AB839" i="3"/>
  <c r="AB840" i="3"/>
  <c r="AB841" i="3"/>
  <c r="AB842" i="3"/>
  <c r="AB843" i="3"/>
  <c r="AB844" i="3"/>
  <c r="AB845" i="3"/>
  <c r="AB16" i="3"/>
  <c r="AB15" i="3"/>
  <c r="BL358" i="3" l="1"/>
  <c r="BL359" i="3"/>
  <c r="BL360" i="3"/>
  <c r="BL361" i="3"/>
  <c r="BL362" i="3"/>
  <c r="BL363" i="3"/>
  <c r="BL364" i="3"/>
  <c r="BL365" i="3"/>
  <c r="BL366" i="3"/>
  <c r="BL367" i="3"/>
  <c r="BL368" i="3"/>
  <c r="BL369" i="3"/>
  <c r="BL370" i="3"/>
  <c r="BL371" i="3"/>
  <c r="BL372" i="3"/>
  <c r="BL373" i="3"/>
  <c r="BL374" i="3"/>
  <c r="BL375" i="3"/>
  <c r="BL376" i="3"/>
  <c r="BL377" i="3"/>
  <c r="BL378" i="3"/>
  <c r="BL379" i="3"/>
  <c r="BL380" i="3"/>
  <c r="BL381" i="3"/>
  <c r="BL382" i="3"/>
  <c r="BL383" i="3"/>
  <c r="BL384" i="3"/>
  <c r="BL385" i="3"/>
  <c r="BL386" i="3"/>
  <c r="BL387" i="3"/>
  <c r="BL388" i="3"/>
  <c r="BL389" i="3"/>
  <c r="BL390" i="3"/>
  <c r="BL391" i="3"/>
  <c r="BL392" i="3"/>
  <c r="BL393" i="3"/>
  <c r="BL394" i="3"/>
  <c r="BL395" i="3"/>
  <c r="BL396" i="3"/>
  <c r="BL397" i="3"/>
  <c r="BL398" i="3"/>
  <c r="BL399" i="3"/>
  <c r="BL400" i="3"/>
  <c r="BL401" i="3"/>
  <c r="BL402" i="3"/>
  <c r="BL403" i="3"/>
  <c r="BL404" i="3"/>
  <c r="BL405" i="3"/>
  <c r="BL406" i="3"/>
  <c r="BL407" i="3"/>
  <c r="BL408" i="3"/>
  <c r="BL409" i="3"/>
  <c r="BL410" i="3"/>
  <c r="BL411" i="3"/>
  <c r="BL412" i="3"/>
  <c r="BL413" i="3"/>
  <c r="BL414" i="3"/>
  <c r="BL415" i="3"/>
  <c r="BL416" i="3"/>
  <c r="BL417" i="3"/>
  <c r="BL418" i="3"/>
  <c r="BL419" i="3"/>
  <c r="BL420" i="3"/>
  <c r="BL421" i="3"/>
  <c r="BL422" i="3"/>
  <c r="BL423" i="3"/>
  <c r="BL424" i="3"/>
  <c r="BL425" i="3"/>
  <c r="BL426" i="3"/>
  <c r="BL427" i="3"/>
  <c r="BL428" i="3"/>
  <c r="BL429" i="3"/>
  <c r="BL430" i="3"/>
  <c r="BL431" i="3"/>
  <c r="BL432" i="3"/>
  <c r="BL433" i="3"/>
  <c r="BL434" i="3"/>
  <c r="BL435" i="3"/>
  <c r="BL436" i="3"/>
  <c r="BL437" i="3"/>
  <c r="BL438" i="3"/>
  <c r="BL439" i="3"/>
  <c r="BL440" i="3"/>
  <c r="BL441" i="3"/>
  <c r="BL442" i="3"/>
  <c r="BL443" i="3"/>
  <c r="BL444" i="3"/>
  <c r="BL445" i="3"/>
  <c r="BL446" i="3"/>
  <c r="BL447" i="3"/>
  <c r="BL448" i="3"/>
  <c r="BL449" i="3"/>
  <c r="BL450" i="3"/>
  <c r="BL451" i="3"/>
  <c r="BL452" i="3"/>
  <c r="BL453" i="3"/>
  <c r="BL454" i="3"/>
  <c r="BL455" i="3"/>
  <c r="BL456" i="3"/>
  <c r="BL457" i="3"/>
  <c r="BL458" i="3"/>
  <c r="BL459" i="3"/>
  <c r="BL460" i="3"/>
  <c r="BL461" i="3"/>
  <c r="BL462" i="3"/>
  <c r="BL463" i="3"/>
  <c r="BL464" i="3"/>
  <c r="BL465" i="3"/>
  <c r="BL466" i="3"/>
  <c r="BL467" i="3"/>
  <c r="BL468" i="3"/>
  <c r="BL469" i="3"/>
  <c r="BL470" i="3"/>
  <c r="BL471" i="3"/>
  <c r="BL472" i="3"/>
  <c r="BL473" i="3"/>
  <c r="BL474" i="3"/>
  <c r="BL475" i="3"/>
  <c r="BL476" i="3"/>
  <c r="BL477" i="3"/>
  <c r="BL478" i="3"/>
  <c r="BL479" i="3"/>
  <c r="BL480" i="3"/>
  <c r="BL481" i="3"/>
  <c r="BL482" i="3"/>
  <c r="BL483" i="3"/>
  <c r="BL484" i="3"/>
  <c r="BL485" i="3"/>
  <c r="BL486" i="3"/>
  <c r="BL487" i="3"/>
  <c r="BL488" i="3"/>
  <c r="BL489" i="3"/>
  <c r="BL490" i="3"/>
  <c r="BL491" i="3"/>
  <c r="BL492" i="3"/>
  <c r="BL493" i="3"/>
  <c r="BL494" i="3"/>
  <c r="BL495" i="3"/>
  <c r="BL496" i="3"/>
  <c r="BL497" i="3"/>
  <c r="BL498" i="3"/>
  <c r="BL499" i="3"/>
  <c r="BL500" i="3"/>
  <c r="BL501" i="3"/>
  <c r="BL502" i="3"/>
  <c r="BL503" i="3"/>
  <c r="BL504" i="3"/>
  <c r="BL505" i="3"/>
  <c r="BL506" i="3"/>
  <c r="BL507" i="3"/>
  <c r="BL508" i="3"/>
  <c r="BL509" i="3"/>
  <c r="BL510" i="3"/>
  <c r="BL511" i="3"/>
  <c r="BL512" i="3"/>
  <c r="BL513" i="3"/>
  <c r="BL514" i="3"/>
  <c r="BL515" i="3"/>
  <c r="BL516" i="3"/>
  <c r="BL517" i="3"/>
  <c r="BL518" i="3"/>
  <c r="BL519" i="3"/>
  <c r="BL520" i="3"/>
  <c r="BL521" i="3"/>
  <c r="BL522" i="3"/>
  <c r="BL523" i="3"/>
  <c r="BL524" i="3"/>
  <c r="BL525" i="3"/>
  <c r="BL526" i="3"/>
  <c r="BL527" i="3"/>
  <c r="BL528" i="3"/>
  <c r="BL529" i="3"/>
  <c r="BL530" i="3"/>
  <c r="BL531" i="3"/>
  <c r="BL532" i="3"/>
  <c r="BL533" i="3"/>
  <c r="BL534" i="3"/>
  <c r="BL535" i="3"/>
  <c r="BL536" i="3"/>
  <c r="BL537" i="3"/>
  <c r="BL538" i="3"/>
  <c r="BL539" i="3"/>
  <c r="BL540" i="3"/>
  <c r="BL541" i="3"/>
  <c r="BL542" i="3"/>
  <c r="BL543" i="3"/>
  <c r="BL544" i="3"/>
  <c r="BL545" i="3"/>
  <c r="BL546" i="3"/>
  <c r="BL547" i="3"/>
  <c r="BL548" i="3"/>
  <c r="BL549" i="3"/>
  <c r="BL550" i="3"/>
  <c r="BL551" i="3"/>
  <c r="BL552" i="3"/>
  <c r="BL553" i="3"/>
  <c r="BL554" i="3"/>
  <c r="BL555" i="3"/>
  <c r="BL556" i="3"/>
  <c r="BL557" i="3"/>
  <c r="BL558" i="3"/>
  <c r="BL559" i="3"/>
  <c r="BL560" i="3"/>
  <c r="BL561" i="3"/>
  <c r="BL562" i="3"/>
  <c r="BL563" i="3"/>
  <c r="BL564" i="3"/>
  <c r="BL565" i="3"/>
  <c r="BL566" i="3"/>
  <c r="BL567" i="3"/>
  <c r="BL568" i="3"/>
  <c r="BL569" i="3"/>
  <c r="BL570" i="3"/>
  <c r="BL571" i="3"/>
  <c r="BL572" i="3"/>
  <c r="BL573" i="3"/>
  <c r="BL574" i="3"/>
  <c r="BL575" i="3"/>
  <c r="BL576" i="3"/>
  <c r="BL577" i="3"/>
  <c r="BL578" i="3"/>
  <c r="BL579" i="3"/>
  <c r="BL580" i="3"/>
  <c r="BL581" i="3"/>
  <c r="BL582" i="3"/>
  <c r="BL583" i="3"/>
  <c r="BL584" i="3"/>
  <c r="BL585" i="3"/>
  <c r="BL586" i="3"/>
  <c r="BL587" i="3"/>
  <c r="BL588" i="3"/>
  <c r="BL589" i="3"/>
  <c r="BL590" i="3"/>
  <c r="BL591" i="3"/>
  <c r="BL592" i="3"/>
  <c r="BL593" i="3"/>
  <c r="BL594" i="3"/>
  <c r="BL595" i="3"/>
  <c r="BL596" i="3"/>
  <c r="BL597" i="3"/>
  <c r="BL598" i="3"/>
  <c r="BL599" i="3"/>
  <c r="BL600" i="3"/>
  <c r="BL601" i="3"/>
  <c r="BL602" i="3"/>
  <c r="BL603" i="3"/>
  <c r="BL604" i="3"/>
  <c r="BL605" i="3"/>
  <c r="BL606" i="3"/>
  <c r="BL607" i="3"/>
  <c r="BL608" i="3"/>
  <c r="BL609" i="3"/>
  <c r="BL610" i="3"/>
  <c r="BL611" i="3"/>
  <c r="BL612" i="3"/>
  <c r="BL613" i="3"/>
  <c r="BL614" i="3"/>
  <c r="BL615" i="3"/>
  <c r="BL616" i="3"/>
  <c r="BL617" i="3"/>
  <c r="BL618" i="3"/>
  <c r="BL619" i="3"/>
  <c r="BL620" i="3"/>
  <c r="BL621" i="3"/>
  <c r="BL622" i="3"/>
  <c r="BL623" i="3"/>
  <c r="BL624" i="3"/>
  <c r="BL625" i="3"/>
  <c r="BL626" i="3"/>
  <c r="BL627" i="3"/>
  <c r="BL628" i="3"/>
  <c r="BL629" i="3"/>
  <c r="BL630" i="3"/>
  <c r="BL631" i="3"/>
  <c r="BL632" i="3"/>
  <c r="BL633" i="3"/>
  <c r="BL634" i="3"/>
  <c r="BL635" i="3"/>
  <c r="BL636" i="3"/>
  <c r="BL637" i="3"/>
  <c r="BL638" i="3"/>
  <c r="BL639" i="3"/>
  <c r="BL640" i="3"/>
  <c r="BL641" i="3"/>
  <c r="BL642" i="3"/>
  <c r="BL643" i="3"/>
  <c r="BL644" i="3"/>
  <c r="BL645" i="3"/>
  <c r="BL646" i="3"/>
  <c r="BL647" i="3"/>
  <c r="BL648" i="3"/>
  <c r="BL649" i="3"/>
  <c r="BL650" i="3"/>
  <c r="BL651" i="3"/>
  <c r="BL652" i="3"/>
  <c r="BL653" i="3"/>
  <c r="BL654" i="3"/>
  <c r="BL655" i="3"/>
  <c r="BL656" i="3"/>
  <c r="BL657" i="3"/>
  <c r="BL658" i="3"/>
  <c r="BL659" i="3"/>
  <c r="BL660" i="3"/>
  <c r="BL661" i="3"/>
  <c r="BL662" i="3"/>
  <c r="BL663" i="3"/>
  <c r="BL664" i="3"/>
  <c r="BL665" i="3"/>
  <c r="BL666" i="3"/>
  <c r="BL667" i="3"/>
  <c r="BL668" i="3"/>
  <c r="BL669" i="3"/>
  <c r="BL670" i="3"/>
  <c r="BL671" i="3"/>
  <c r="BL672" i="3"/>
  <c r="BL673" i="3"/>
  <c r="BL674" i="3"/>
  <c r="BL675" i="3"/>
  <c r="BL676" i="3"/>
  <c r="BL677" i="3"/>
  <c r="BL678" i="3"/>
  <c r="BL679" i="3"/>
  <c r="BL680" i="3"/>
  <c r="BL681" i="3"/>
  <c r="BL682" i="3"/>
  <c r="BL683" i="3"/>
  <c r="BL684" i="3"/>
  <c r="BL685" i="3"/>
  <c r="BL686" i="3"/>
  <c r="BL687" i="3"/>
  <c r="BL688" i="3"/>
  <c r="BL689" i="3"/>
  <c r="BL690" i="3"/>
  <c r="BL691" i="3"/>
  <c r="BL692" i="3"/>
  <c r="BL693" i="3"/>
  <c r="BL694" i="3"/>
  <c r="BL695" i="3"/>
  <c r="BL696" i="3"/>
  <c r="BL697" i="3"/>
  <c r="BL698" i="3"/>
  <c r="BL699" i="3"/>
  <c r="BL700" i="3"/>
  <c r="BL701" i="3"/>
  <c r="BL702" i="3"/>
  <c r="BL703" i="3"/>
  <c r="BL704" i="3"/>
  <c r="BL705" i="3"/>
  <c r="BL706" i="3"/>
  <c r="BL707" i="3"/>
  <c r="BL708" i="3"/>
  <c r="BL709" i="3"/>
  <c r="BL710" i="3"/>
  <c r="BL711" i="3"/>
  <c r="BL712" i="3"/>
  <c r="BL713" i="3"/>
  <c r="BL714" i="3"/>
  <c r="BL715" i="3"/>
  <c r="BL716" i="3"/>
  <c r="BL717" i="3"/>
  <c r="BL718" i="3"/>
  <c r="BL719" i="3"/>
  <c r="BL720" i="3"/>
  <c r="BL721" i="3"/>
  <c r="BL722" i="3"/>
  <c r="BL723" i="3"/>
  <c r="BL724" i="3"/>
  <c r="BL725" i="3"/>
  <c r="BL726" i="3"/>
  <c r="BL727" i="3"/>
  <c r="BL728" i="3"/>
  <c r="BL729" i="3"/>
  <c r="BL730" i="3"/>
  <c r="BL731" i="3"/>
  <c r="BL732" i="3"/>
  <c r="BL733" i="3"/>
  <c r="BL734" i="3"/>
  <c r="BL735" i="3"/>
  <c r="BL736" i="3"/>
  <c r="BL737" i="3"/>
  <c r="BL738" i="3"/>
  <c r="BL739" i="3"/>
  <c r="BL740" i="3"/>
  <c r="BL741" i="3"/>
  <c r="BL742" i="3"/>
  <c r="BL743" i="3"/>
  <c r="BL744" i="3"/>
  <c r="BL745" i="3"/>
  <c r="BL746" i="3"/>
  <c r="BL747" i="3"/>
  <c r="BL748" i="3"/>
  <c r="BL749" i="3"/>
  <c r="BL750" i="3"/>
  <c r="BL751" i="3"/>
  <c r="BL752" i="3"/>
  <c r="BL753" i="3"/>
  <c r="BL754" i="3"/>
  <c r="BL755" i="3"/>
  <c r="BL756" i="3"/>
  <c r="BL757" i="3"/>
  <c r="BL758" i="3"/>
  <c r="BL759" i="3"/>
  <c r="BL760" i="3"/>
  <c r="BL761" i="3"/>
  <c r="BL762" i="3"/>
  <c r="BL763" i="3"/>
  <c r="BL764" i="3"/>
  <c r="BL765" i="3"/>
  <c r="BL766" i="3"/>
  <c r="BL767" i="3"/>
  <c r="BL768" i="3"/>
  <c r="BL769" i="3"/>
  <c r="BL770" i="3"/>
  <c r="BL771" i="3"/>
  <c r="BL772" i="3"/>
  <c r="BL773" i="3"/>
  <c r="BL774" i="3"/>
  <c r="BL775" i="3"/>
  <c r="BL776" i="3"/>
  <c r="BL777" i="3"/>
  <c r="BL778" i="3"/>
  <c r="BL779" i="3"/>
  <c r="BL780" i="3"/>
  <c r="BL781" i="3"/>
  <c r="BL782" i="3"/>
  <c r="BL783" i="3"/>
  <c r="BL784" i="3"/>
  <c r="BL785" i="3"/>
  <c r="BL786" i="3"/>
  <c r="BL787" i="3"/>
  <c r="BL788" i="3"/>
  <c r="BL789" i="3"/>
  <c r="BL790" i="3"/>
  <c r="BL791" i="3"/>
  <c r="BL792" i="3"/>
  <c r="BL793" i="3"/>
  <c r="BL794" i="3"/>
  <c r="BL795" i="3"/>
  <c r="BL796" i="3"/>
  <c r="BL797" i="3"/>
  <c r="BL798" i="3"/>
  <c r="BL799" i="3"/>
  <c r="BL800" i="3"/>
  <c r="BL801" i="3"/>
  <c r="BL802" i="3"/>
  <c r="BL803" i="3"/>
  <c r="BL804" i="3"/>
  <c r="BL805" i="3"/>
  <c r="BL806" i="3"/>
  <c r="BL807" i="3"/>
  <c r="BL808" i="3"/>
  <c r="BL809" i="3"/>
  <c r="BL810" i="3"/>
  <c r="BL811" i="3"/>
  <c r="BL812" i="3"/>
  <c r="BL813" i="3"/>
  <c r="BL814" i="3"/>
  <c r="BL815" i="3"/>
  <c r="BL816" i="3"/>
  <c r="BL817" i="3"/>
  <c r="BL818" i="3"/>
  <c r="BL819" i="3"/>
  <c r="BL820" i="3"/>
  <c r="BL821" i="3"/>
  <c r="BL822" i="3"/>
  <c r="BL823" i="3"/>
  <c r="BL824" i="3"/>
  <c r="BL825" i="3"/>
  <c r="BL826" i="3"/>
  <c r="BL827" i="3"/>
  <c r="BL828" i="3"/>
  <c r="BL829" i="3"/>
  <c r="BL830" i="3"/>
  <c r="BL831" i="3"/>
  <c r="BL832" i="3"/>
  <c r="BL833" i="3"/>
  <c r="BL834" i="3"/>
  <c r="BL350" i="3"/>
  <c r="BJ524" i="3"/>
  <c r="BJ525" i="3"/>
  <c r="BJ526" i="3"/>
  <c r="BJ527" i="3"/>
  <c r="BJ528" i="3"/>
  <c r="BJ529" i="3"/>
  <c r="BJ530" i="3"/>
  <c r="BJ531" i="3"/>
  <c r="BJ532" i="3"/>
  <c r="BJ533" i="3"/>
  <c r="BJ534" i="3"/>
  <c r="BJ535" i="3"/>
  <c r="BJ536" i="3"/>
  <c r="BJ537" i="3"/>
  <c r="BJ538" i="3"/>
  <c r="BJ539" i="3"/>
  <c r="BJ540" i="3"/>
  <c r="BJ541" i="3"/>
  <c r="BJ542" i="3"/>
  <c r="BJ543" i="3"/>
  <c r="BJ544" i="3"/>
  <c r="BJ545" i="3"/>
  <c r="BJ546" i="3"/>
  <c r="BJ547" i="3"/>
  <c r="BJ548" i="3"/>
  <c r="BJ549" i="3"/>
  <c r="BJ550" i="3"/>
  <c r="BJ551" i="3"/>
  <c r="BJ552" i="3"/>
  <c r="BJ553" i="3"/>
  <c r="BJ554" i="3"/>
  <c r="BJ555" i="3"/>
  <c r="BJ556" i="3"/>
  <c r="BJ557" i="3"/>
  <c r="BJ558" i="3"/>
  <c r="BJ559" i="3"/>
  <c r="BJ560" i="3"/>
  <c r="BJ561" i="3"/>
  <c r="BJ562" i="3"/>
  <c r="BJ563" i="3"/>
  <c r="BJ564" i="3"/>
  <c r="BJ565" i="3"/>
  <c r="BJ566" i="3"/>
  <c r="BJ567" i="3"/>
  <c r="BJ568" i="3"/>
  <c r="BJ569" i="3"/>
  <c r="BJ570" i="3"/>
  <c r="BJ571" i="3"/>
  <c r="BJ572" i="3"/>
  <c r="BJ573" i="3"/>
  <c r="BJ574" i="3"/>
  <c r="BJ575" i="3"/>
  <c r="BJ576" i="3"/>
  <c r="BJ577" i="3"/>
  <c r="BJ578" i="3"/>
  <c r="BJ579" i="3"/>
  <c r="BJ580" i="3"/>
  <c r="BJ581" i="3"/>
  <c r="BJ582" i="3"/>
  <c r="BJ583" i="3"/>
  <c r="BJ584" i="3"/>
  <c r="BJ585" i="3"/>
  <c r="BJ586" i="3"/>
  <c r="BJ587" i="3"/>
  <c r="BJ588" i="3"/>
  <c r="BJ589" i="3"/>
  <c r="BJ590" i="3"/>
  <c r="BJ591" i="3"/>
  <c r="BJ592" i="3"/>
  <c r="BJ593" i="3"/>
  <c r="BJ594" i="3"/>
  <c r="BJ595" i="3"/>
  <c r="BJ596" i="3"/>
  <c r="BJ597" i="3"/>
  <c r="BJ598" i="3"/>
  <c r="BJ599" i="3"/>
  <c r="BJ600" i="3"/>
  <c r="BJ601" i="3"/>
  <c r="BJ602" i="3"/>
  <c r="BJ603" i="3"/>
  <c r="BJ604" i="3"/>
  <c r="BJ605" i="3"/>
  <c r="BJ606" i="3"/>
  <c r="BJ607" i="3"/>
  <c r="BJ608" i="3"/>
  <c r="BJ609" i="3"/>
  <c r="BJ610" i="3"/>
  <c r="BJ611" i="3"/>
  <c r="BJ612" i="3"/>
  <c r="BJ613" i="3"/>
  <c r="BJ614" i="3"/>
  <c r="BJ615" i="3"/>
  <c r="BJ616" i="3"/>
  <c r="BJ617" i="3"/>
  <c r="BJ618" i="3"/>
  <c r="BJ619" i="3"/>
  <c r="BJ620" i="3"/>
  <c r="BJ621" i="3"/>
  <c r="BJ622" i="3"/>
  <c r="BJ623" i="3"/>
  <c r="BJ624" i="3"/>
  <c r="BJ625" i="3"/>
  <c r="BJ626" i="3"/>
  <c r="BJ627" i="3"/>
  <c r="BJ628" i="3"/>
  <c r="BJ629" i="3"/>
  <c r="BJ630" i="3"/>
  <c r="BJ631" i="3"/>
  <c r="BJ632" i="3"/>
  <c r="BJ633" i="3"/>
  <c r="BJ634" i="3"/>
  <c r="BJ635" i="3"/>
  <c r="BJ636" i="3"/>
  <c r="BJ637" i="3"/>
  <c r="BJ638" i="3"/>
  <c r="BJ639" i="3"/>
  <c r="BJ640" i="3"/>
  <c r="BJ641" i="3"/>
  <c r="BJ642" i="3"/>
  <c r="BJ643" i="3"/>
  <c r="BJ644" i="3"/>
  <c r="BJ645" i="3"/>
  <c r="BJ646" i="3"/>
  <c r="BJ647" i="3"/>
  <c r="BJ648" i="3"/>
  <c r="BJ649" i="3"/>
  <c r="BJ650" i="3"/>
  <c r="BJ651" i="3"/>
  <c r="BJ652" i="3"/>
  <c r="BJ653" i="3"/>
  <c r="BJ654" i="3"/>
  <c r="BJ655" i="3"/>
  <c r="BJ656" i="3"/>
  <c r="BJ657" i="3"/>
  <c r="BJ658" i="3"/>
  <c r="BJ659" i="3"/>
  <c r="BJ660" i="3"/>
  <c r="BJ661" i="3"/>
  <c r="BJ662" i="3"/>
  <c r="BJ663" i="3"/>
  <c r="BJ664" i="3"/>
  <c r="BJ665" i="3"/>
  <c r="BJ666" i="3"/>
  <c r="BJ667" i="3"/>
  <c r="BJ668" i="3"/>
  <c r="BJ669" i="3"/>
  <c r="BJ670" i="3"/>
  <c r="BJ671" i="3"/>
  <c r="BJ672" i="3"/>
  <c r="BJ673" i="3"/>
  <c r="BJ674" i="3"/>
  <c r="BJ675" i="3"/>
  <c r="BJ676" i="3"/>
  <c r="BJ677" i="3"/>
  <c r="BJ678" i="3"/>
  <c r="BJ679" i="3"/>
  <c r="BJ680" i="3"/>
  <c r="BJ681" i="3"/>
  <c r="BJ682" i="3"/>
  <c r="BJ683" i="3"/>
  <c r="BJ684" i="3"/>
  <c r="BJ685" i="3"/>
  <c r="BJ686" i="3"/>
  <c r="BJ687" i="3"/>
  <c r="BJ688" i="3"/>
  <c r="BJ689" i="3"/>
  <c r="BJ690" i="3"/>
  <c r="BJ691" i="3"/>
  <c r="BJ692" i="3"/>
  <c r="BJ693" i="3"/>
  <c r="BJ694" i="3"/>
  <c r="BJ695" i="3"/>
  <c r="BJ696" i="3"/>
  <c r="BJ697" i="3"/>
  <c r="BJ698" i="3"/>
  <c r="BJ699" i="3"/>
  <c r="BJ700" i="3"/>
  <c r="BJ701" i="3"/>
  <c r="BJ702" i="3"/>
  <c r="BJ703" i="3"/>
  <c r="BJ704" i="3"/>
  <c r="BJ705" i="3"/>
  <c r="BJ706" i="3"/>
  <c r="BJ707" i="3"/>
  <c r="BJ708" i="3"/>
  <c r="BJ709" i="3"/>
  <c r="BJ710" i="3"/>
  <c r="BJ711" i="3"/>
  <c r="BJ712" i="3"/>
  <c r="BJ713" i="3"/>
  <c r="BJ714" i="3"/>
  <c r="BJ715" i="3"/>
  <c r="BJ716" i="3"/>
  <c r="BJ717" i="3"/>
  <c r="BJ718" i="3"/>
  <c r="BJ719" i="3"/>
  <c r="BJ720" i="3"/>
  <c r="BJ721" i="3"/>
  <c r="BJ722" i="3"/>
  <c r="BJ723" i="3"/>
  <c r="BJ724" i="3"/>
  <c r="BJ725" i="3"/>
  <c r="BJ726" i="3"/>
  <c r="BJ727" i="3"/>
  <c r="BJ728" i="3"/>
  <c r="BJ729" i="3"/>
  <c r="BJ730" i="3"/>
  <c r="BJ731" i="3"/>
  <c r="BJ732" i="3"/>
  <c r="BJ733" i="3"/>
  <c r="BJ734" i="3"/>
  <c r="BJ735" i="3"/>
  <c r="BJ736" i="3"/>
  <c r="BJ737" i="3"/>
  <c r="BJ738" i="3"/>
  <c r="BJ739" i="3"/>
  <c r="BJ740" i="3"/>
  <c r="BJ741" i="3"/>
  <c r="BJ742" i="3"/>
  <c r="BJ743" i="3"/>
  <c r="BJ744" i="3"/>
  <c r="BJ745" i="3"/>
  <c r="BJ746" i="3"/>
  <c r="BJ747" i="3"/>
  <c r="BJ748" i="3"/>
  <c r="BJ749" i="3"/>
  <c r="BJ750" i="3"/>
  <c r="BJ751" i="3"/>
  <c r="BJ752" i="3"/>
  <c r="BJ753" i="3"/>
  <c r="BJ754" i="3"/>
  <c r="BJ755" i="3"/>
  <c r="BJ756" i="3"/>
  <c r="BJ757" i="3"/>
  <c r="BJ758" i="3"/>
  <c r="BJ759" i="3"/>
  <c r="BJ760" i="3"/>
  <c r="BJ761" i="3"/>
  <c r="BJ762" i="3"/>
  <c r="BJ763" i="3"/>
  <c r="BJ764" i="3"/>
  <c r="BJ765" i="3"/>
  <c r="BJ766" i="3"/>
  <c r="BJ767" i="3"/>
  <c r="BJ768" i="3"/>
  <c r="BJ769" i="3"/>
  <c r="BJ770" i="3"/>
  <c r="BJ771" i="3"/>
  <c r="BJ772" i="3"/>
  <c r="BJ773" i="3"/>
  <c r="BJ774" i="3"/>
  <c r="BJ775" i="3"/>
  <c r="BJ776" i="3"/>
  <c r="BJ777" i="3"/>
  <c r="BJ778" i="3"/>
  <c r="BJ779" i="3"/>
  <c r="BJ780" i="3"/>
  <c r="BJ781" i="3"/>
  <c r="BJ782" i="3"/>
  <c r="BJ783" i="3"/>
  <c r="BJ784" i="3"/>
  <c r="BJ785" i="3"/>
  <c r="BJ786" i="3"/>
  <c r="BJ787" i="3"/>
  <c r="BJ788" i="3"/>
  <c r="BJ789" i="3"/>
  <c r="BJ790" i="3"/>
  <c r="BJ791" i="3"/>
  <c r="BJ792" i="3"/>
  <c r="BJ793" i="3"/>
  <c r="BJ794" i="3"/>
  <c r="BJ795" i="3"/>
  <c r="BJ796" i="3"/>
  <c r="BJ797" i="3"/>
  <c r="BJ798" i="3"/>
  <c r="BJ799" i="3"/>
  <c r="BJ800" i="3"/>
  <c r="BJ801" i="3"/>
  <c r="BJ802" i="3"/>
  <c r="BJ803" i="3"/>
  <c r="BJ804" i="3"/>
  <c r="BJ805" i="3"/>
  <c r="BJ806" i="3"/>
  <c r="BJ807" i="3"/>
  <c r="BJ808" i="3"/>
  <c r="BJ809" i="3"/>
  <c r="BJ810" i="3"/>
  <c r="BJ811" i="3"/>
  <c r="BJ812" i="3"/>
  <c r="BJ813" i="3"/>
  <c r="BJ814" i="3"/>
  <c r="BJ815" i="3"/>
  <c r="BJ816" i="3"/>
  <c r="BJ817" i="3"/>
  <c r="BJ818" i="3"/>
  <c r="BJ819" i="3"/>
  <c r="BJ820" i="3"/>
  <c r="BJ821" i="3"/>
  <c r="BJ822" i="3"/>
  <c r="BJ823" i="3"/>
  <c r="BJ824" i="3"/>
  <c r="BJ825" i="3"/>
  <c r="BJ826" i="3"/>
  <c r="BJ827" i="3"/>
  <c r="BJ828" i="3"/>
  <c r="BJ829" i="3"/>
  <c r="BJ830" i="3"/>
  <c r="BJ831" i="3"/>
  <c r="BJ832" i="3"/>
  <c r="BJ833" i="3"/>
  <c r="BJ834" i="3"/>
  <c r="BJ358" i="3"/>
  <c r="BJ359" i="3"/>
  <c r="BJ360" i="3"/>
  <c r="BJ361" i="3"/>
  <c r="BJ362" i="3"/>
  <c r="BJ363" i="3"/>
  <c r="BJ364" i="3"/>
  <c r="BJ365" i="3"/>
  <c r="BJ366" i="3"/>
  <c r="BJ367" i="3"/>
  <c r="BJ368" i="3"/>
  <c r="BJ369" i="3"/>
  <c r="BJ370" i="3"/>
  <c r="BJ371" i="3"/>
  <c r="BJ372" i="3"/>
  <c r="BJ373" i="3"/>
  <c r="BJ374" i="3"/>
  <c r="BJ375" i="3"/>
  <c r="BJ376" i="3"/>
  <c r="BJ377" i="3"/>
  <c r="BJ378" i="3"/>
  <c r="BJ379" i="3"/>
  <c r="BJ380" i="3"/>
  <c r="BJ381" i="3"/>
  <c r="BJ382" i="3"/>
  <c r="BJ383" i="3"/>
  <c r="BJ384" i="3"/>
  <c r="BJ385" i="3"/>
  <c r="BJ386" i="3"/>
  <c r="BJ387" i="3"/>
  <c r="BJ388" i="3"/>
  <c r="BJ389" i="3"/>
  <c r="BJ390" i="3"/>
  <c r="BJ391" i="3"/>
  <c r="BJ392" i="3"/>
  <c r="BJ393" i="3"/>
  <c r="BJ394" i="3"/>
  <c r="BJ395" i="3"/>
  <c r="BJ396" i="3"/>
  <c r="BJ397" i="3"/>
  <c r="BJ398" i="3"/>
  <c r="BJ399" i="3"/>
  <c r="BJ400" i="3"/>
  <c r="BJ401" i="3"/>
  <c r="BJ402" i="3"/>
  <c r="BJ403" i="3"/>
  <c r="BJ404" i="3"/>
  <c r="BJ405" i="3"/>
  <c r="BJ406" i="3"/>
  <c r="BJ407" i="3"/>
  <c r="BJ408" i="3"/>
  <c r="BJ409" i="3"/>
  <c r="BJ410" i="3"/>
  <c r="BJ411" i="3"/>
  <c r="BJ412" i="3"/>
  <c r="BJ413" i="3"/>
  <c r="BJ414" i="3"/>
  <c r="BJ415" i="3"/>
  <c r="BJ416" i="3"/>
  <c r="BJ417" i="3"/>
  <c r="BJ418" i="3"/>
  <c r="BJ419" i="3"/>
  <c r="BJ420" i="3"/>
  <c r="BJ421" i="3"/>
  <c r="BJ422" i="3"/>
  <c r="BJ423" i="3"/>
  <c r="BJ424" i="3"/>
  <c r="BJ425" i="3"/>
  <c r="BJ426" i="3"/>
  <c r="BJ427" i="3"/>
  <c r="BJ428" i="3"/>
  <c r="BJ429" i="3"/>
  <c r="BJ430" i="3"/>
  <c r="BJ431" i="3"/>
  <c r="BJ432" i="3"/>
  <c r="BJ433" i="3"/>
  <c r="BJ434" i="3"/>
  <c r="BJ435" i="3"/>
  <c r="BJ436" i="3"/>
  <c r="BJ437" i="3"/>
  <c r="BJ438" i="3"/>
  <c r="BJ439" i="3"/>
  <c r="BJ440" i="3"/>
  <c r="BJ441" i="3"/>
  <c r="BJ442" i="3"/>
  <c r="BJ443" i="3"/>
  <c r="BJ444" i="3"/>
  <c r="BJ445" i="3"/>
  <c r="BJ446" i="3"/>
  <c r="BJ447" i="3"/>
  <c r="BJ448" i="3"/>
  <c r="BJ449" i="3"/>
  <c r="BJ450" i="3"/>
  <c r="BJ451" i="3"/>
  <c r="BJ452" i="3"/>
  <c r="BJ453" i="3"/>
  <c r="BJ454" i="3"/>
  <c r="BJ455" i="3"/>
  <c r="BJ456" i="3"/>
  <c r="BJ457" i="3"/>
  <c r="BJ458" i="3"/>
  <c r="BJ459" i="3"/>
  <c r="BJ460" i="3"/>
  <c r="BJ461" i="3"/>
  <c r="BJ462" i="3"/>
  <c r="BJ463" i="3"/>
  <c r="BJ464" i="3"/>
  <c r="BJ465" i="3"/>
  <c r="BJ466" i="3"/>
  <c r="BJ467" i="3"/>
  <c r="BJ468" i="3"/>
  <c r="BJ469" i="3"/>
  <c r="BJ470" i="3"/>
  <c r="BJ471" i="3"/>
  <c r="BJ472" i="3"/>
  <c r="BJ473" i="3"/>
  <c r="BJ474" i="3"/>
  <c r="BJ475" i="3"/>
  <c r="BJ476" i="3"/>
  <c r="BJ477" i="3"/>
  <c r="BJ478" i="3"/>
  <c r="BJ479" i="3"/>
  <c r="BJ480" i="3"/>
  <c r="BJ481" i="3"/>
  <c r="BJ482" i="3"/>
  <c r="BJ483" i="3"/>
  <c r="BJ484" i="3"/>
  <c r="BJ485" i="3"/>
  <c r="BJ486" i="3"/>
  <c r="BJ487" i="3"/>
  <c r="BJ488" i="3"/>
  <c r="BJ489" i="3"/>
  <c r="BJ490" i="3"/>
  <c r="BJ491" i="3"/>
  <c r="BJ492" i="3"/>
  <c r="BJ493" i="3"/>
  <c r="BJ494" i="3"/>
  <c r="BJ495" i="3"/>
  <c r="BJ496" i="3"/>
  <c r="BJ497" i="3"/>
  <c r="BJ498" i="3"/>
  <c r="BJ499" i="3"/>
  <c r="BJ500" i="3"/>
  <c r="BJ501" i="3"/>
  <c r="BJ502" i="3"/>
  <c r="BJ503" i="3"/>
  <c r="BJ504" i="3"/>
  <c r="BJ505" i="3"/>
  <c r="BJ506" i="3"/>
  <c r="BJ507" i="3"/>
  <c r="BJ508" i="3"/>
  <c r="BJ509" i="3"/>
  <c r="BJ510" i="3"/>
  <c r="BJ511" i="3"/>
  <c r="BJ512" i="3"/>
  <c r="BJ513" i="3"/>
  <c r="BJ514" i="3"/>
  <c r="BJ515" i="3"/>
  <c r="BJ516" i="3"/>
  <c r="BJ517" i="3"/>
  <c r="BJ518" i="3"/>
  <c r="BJ519" i="3"/>
  <c r="BJ520" i="3"/>
  <c r="BJ521" i="3"/>
  <c r="BJ522" i="3"/>
  <c r="BJ523" i="3"/>
  <c r="BH611" i="3"/>
  <c r="BH612" i="3"/>
  <c r="BH613" i="3"/>
  <c r="BH614" i="3"/>
  <c r="BH615" i="3"/>
  <c r="BH616" i="3"/>
  <c r="BH617" i="3"/>
  <c r="BH618" i="3"/>
  <c r="BH619" i="3"/>
  <c r="BH620" i="3"/>
  <c r="BH621" i="3"/>
  <c r="BH622" i="3"/>
  <c r="BH623" i="3"/>
  <c r="BH624" i="3"/>
  <c r="BH625" i="3"/>
  <c r="BH626" i="3"/>
  <c r="BH627" i="3"/>
  <c r="BH628" i="3"/>
  <c r="BH629" i="3"/>
  <c r="BH630" i="3"/>
  <c r="BH631" i="3"/>
  <c r="BH632" i="3"/>
  <c r="BH633" i="3"/>
  <c r="BH634" i="3"/>
  <c r="BH635" i="3"/>
  <c r="BH636" i="3"/>
  <c r="BH637" i="3"/>
  <c r="BH638" i="3"/>
  <c r="BH639" i="3"/>
  <c r="BH640" i="3"/>
  <c r="BH641" i="3"/>
  <c r="BH642" i="3"/>
  <c r="BH643" i="3"/>
  <c r="BH644" i="3"/>
  <c r="BH645" i="3"/>
  <c r="BH646" i="3"/>
  <c r="BH647" i="3"/>
  <c r="BH648" i="3"/>
  <c r="BH649" i="3"/>
  <c r="BH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5" i="3"/>
  <c r="BH676" i="3"/>
  <c r="BH677" i="3"/>
  <c r="BH678" i="3"/>
  <c r="BH679" i="3"/>
  <c r="BH680" i="3"/>
  <c r="BH681" i="3"/>
  <c r="BH682" i="3"/>
  <c r="BH683" i="3"/>
  <c r="BH684" i="3"/>
  <c r="BH685" i="3"/>
  <c r="BH686" i="3"/>
  <c r="BH687" i="3"/>
  <c r="BH688" i="3"/>
  <c r="BH689" i="3"/>
  <c r="BH690" i="3"/>
  <c r="BH691" i="3"/>
  <c r="BH692" i="3"/>
  <c r="BH693" i="3"/>
  <c r="BH694" i="3"/>
  <c r="BH695" i="3"/>
  <c r="BH696" i="3"/>
  <c r="BH697" i="3"/>
  <c r="BH698" i="3"/>
  <c r="BH699" i="3"/>
  <c r="BH700" i="3"/>
  <c r="BH701" i="3"/>
  <c r="BH702" i="3"/>
  <c r="BH703" i="3"/>
  <c r="BH704" i="3"/>
  <c r="BH705" i="3"/>
  <c r="BH706" i="3"/>
  <c r="BH707" i="3"/>
  <c r="BH708" i="3"/>
  <c r="BH709" i="3"/>
  <c r="BH710" i="3"/>
  <c r="BH711" i="3"/>
  <c r="BH712" i="3"/>
  <c r="BH713" i="3"/>
  <c r="BH714" i="3"/>
  <c r="BH715" i="3"/>
  <c r="BH716" i="3"/>
  <c r="BH717" i="3"/>
  <c r="BH718" i="3"/>
  <c r="BH719" i="3"/>
  <c r="BH720" i="3"/>
  <c r="BH721" i="3"/>
  <c r="BH722" i="3"/>
  <c r="BH723" i="3"/>
  <c r="BH724" i="3"/>
  <c r="BH725" i="3"/>
  <c r="BH726" i="3"/>
  <c r="BH727" i="3"/>
  <c r="BH728" i="3"/>
  <c r="BH729" i="3"/>
  <c r="BH730" i="3"/>
  <c r="BH731" i="3"/>
  <c r="BH732" i="3"/>
  <c r="BH733" i="3"/>
  <c r="BH734" i="3"/>
  <c r="BH735" i="3"/>
  <c r="BH736" i="3"/>
  <c r="BH737" i="3"/>
  <c r="BH738" i="3"/>
  <c r="BH739" i="3"/>
  <c r="BH740" i="3"/>
  <c r="BH741" i="3"/>
  <c r="BH742" i="3"/>
  <c r="BH743" i="3"/>
  <c r="BH744" i="3"/>
  <c r="BH745" i="3"/>
  <c r="BH746" i="3"/>
  <c r="BH747" i="3"/>
  <c r="BH748" i="3"/>
  <c r="BH749" i="3"/>
  <c r="BH750" i="3"/>
  <c r="BH751" i="3"/>
  <c r="BH752" i="3"/>
  <c r="BH753" i="3"/>
  <c r="BH754" i="3"/>
  <c r="BH755" i="3"/>
  <c r="BH756" i="3"/>
  <c r="BH757" i="3"/>
  <c r="BH758" i="3"/>
  <c r="BH759" i="3"/>
  <c r="BH760" i="3"/>
  <c r="BH761" i="3"/>
  <c r="BH762" i="3"/>
  <c r="BH763" i="3"/>
  <c r="BH764" i="3"/>
  <c r="BH765" i="3"/>
  <c r="BH766" i="3"/>
  <c r="BH767" i="3"/>
  <c r="BH768" i="3"/>
  <c r="BH769" i="3"/>
  <c r="BH770" i="3"/>
  <c r="BH771" i="3"/>
  <c r="BH772" i="3"/>
  <c r="BH773" i="3"/>
  <c r="BH774" i="3"/>
  <c r="BH775" i="3"/>
  <c r="BH776" i="3"/>
  <c r="BH777" i="3"/>
  <c r="BH778" i="3"/>
  <c r="BH779" i="3"/>
  <c r="BH780" i="3"/>
  <c r="BH781" i="3"/>
  <c r="BH782" i="3"/>
  <c r="BH783" i="3"/>
  <c r="BH784" i="3"/>
  <c r="BH785" i="3"/>
  <c r="BH786" i="3"/>
  <c r="BH787" i="3"/>
  <c r="BH788" i="3"/>
  <c r="BH789" i="3"/>
  <c r="BH790" i="3"/>
  <c r="BH791" i="3"/>
  <c r="BH792" i="3"/>
  <c r="BH793" i="3"/>
  <c r="BH794" i="3"/>
  <c r="BH795" i="3"/>
  <c r="BH796" i="3"/>
  <c r="BH797" i="3"/>
  <c r="BH798" i="3"/>
  <c r="BH799" i="3"/>
  <c r="BH800" i="3"/>
  <c r="BH801" i="3"/>
  <c r="BH802" i="3"/>
  <c r="BH803" i="3"/>
  <c r="BH804" i="3"/>
  <c r="BH805" i="3"/>
  <c r="BH806" i="3"/>
  <c r="BH807" i="3"/>
  <c r="BH808" i="3"/>
  <c r="BH809" i="3"/>
  <c r="BH810" i="3"/>
  <c r="BH811" i="3"/>
  <c r="BH812" i="3"/>
  <c r="BH813" i="3"/>
  <c r="BH814" i="3"/>
  <c r="BH815" i="3"/>
  <c r="BH816" i="3"/>
  <c r="BH817" i="3"/>
  <c r="BH818" i="3"/>
  <c r="BH819" i="3"/>
  <c r="BH820" i="3"/>
  <c r="BH821" i="3"/>
  <c r="BH822" i="3"/>
  <c r="BH823" i="3"/>
  <c r="BH824" i="3"/>
  <c r="BH825" i="3"/>
  <c r="BH826" i="3"/>
  <c r="BH827" i="3"/>
  <c r="BH828" i="3"/>
  <c r="BH829" i="3"/>
  <c r="BH830" i="3"/>
  <c r="BH831" i="3"/>
  <c r="BH832" i="3"/>
  <c r="BH833" i="3"/>
  <c r="BH834" i="3"/>
  <c r="BH358" i="3"/>
  <c r="BH359" i="3"/>
  <c r="BH360" i="3"/>
  <c r="BH361" i="3"/>
  <c r="BH362" i="3"/>
  <c r="BH363" i="3"/>
  <c r="BH364" i="3"/>
  <c r="BH365" i="3"/>
  <c r="BH366" i="3"/>
  <c r="BH367" i="3"/>
  <c r="BH368" i="3"/>
  <c r="BH369" i="3"/>
  <c r="BH370" i="3"/>
  <c r="BH371" i="3"/>
  <c r="BH372" i="3"/>
  <c r="BH373" i="3"/>
  <c r="BH374" i="3"/>
  <c r="BH375" i="3"/>
  <c r="BH376" i="3"/>
  <c r="BH377" i="3"/>
  <c r="BH378" i="3"/>
  <c r="BH379" i="3"/>
  <c r="BH380" i="3"/>
  <c r="BH381" i="3"/>
  <c r="BH382" i="3"/>
  <c r="BH383" i="3"/>
  <c r="BH384" i="3"/>
  <c r="BH385" i="3"/>
  <c r="BH386" i="3"/>
  <c r="BH387" i="3"/>
  <c r="BH388" i="3"/>
  <c r="BH389" i="3"/>
  <c r="BH390" i="3"/>
  <c r="BH391" i="3"/>
  <c r="BH392" i="3"/>
  <c r="BH393" i="3"/>
  <c r="BH394" i="3"/>
  <c r="BH395" i="3"/>
  <c r="BH396" i="3"/>
  <c r="BH397" i="3"/>
  <c r="BH398" i="3"/>
  <c r="BH399" i="3"/>
  <c r="BH400" i="3"/>
  <c r="BH401" i="3"/>
  <c r="BH402" i="3"/>
  <c r="BH403" i="3"/>
  <c r="BH404" i="3"/>
  <c r="BH405" i="3"/>
  <c r="BH406" i="3"/>
  <c r="BH407" i="3"/>
  <c r="BH408" i="3"/>
  <c r="BH409" i="3"/>
  <c r="BH410" i="3"/>
  <c r="BH411" i="3"/>
  <c r="BH412" i="3"/>
  <c r="BH413" i="3"/>
  <c r="BH414" i="3"/>
  <c r="BH415" i="3"/>
  <c r="BH416" i="3"/>
  <c r="BH417" i="3"/>
  <c r="BH418" i="3"/>
  <c r="BH419" i="3"/>
  <c r="BH420" i="3"/>
  <c r="BH421" i="3"/>
  <c r="BH422" i="3"/>
  <c r="BH423" i="3"/>
  <c r="BH424" i="3"/>
  <c r="BH425" i="3"/>
  <c r="BH426" i="3"/>
  <c r="BH427" i="3"/>
  <c r="BH428" i="3"/>
  <c r="BH429" i="3"/>
  <c r="BH430" i="3"/>
  <c r="BH431" i="3"/>
  <c r="BH432" i="3"/>
  <c r="BH433" i="3"/>
  <c r="BH434" i="3"/>
  <c r="BH435" i="3"/>
  <c r="BH436" i="3"/>
  <c r="BH437" i="3"/>
  <c r="BH438" i="3"/>
  <c r="BH439" i="3"/>
  <c r="BH440" i="3"/>
  <c r="BH441" i="3"/>
  <c r="BH442" i="3"/>
  <c r="BH443" i="3"/>
  <c r="BH444" i="3"/>
  <c r="BH445" i="3"/>
  <c r="BH446" i="3"/>
  <c r="BH447" i="3"/>
  <c r="BH448" i="3"/>
  <c r="BH449" i="3"/>
  <c r="BH450" i="3"/>
  <c r="BH451" i="3"/>
  <c r="BH452" i="3"/>
  <c r="BH453" i="3"/>
  <c r="BH454" i="3"/>
  <c r="BH455" i="3"/>
  <c r="BH456" i="3"/>
  <c r="BH457" i="3"/>
  <c r="BH458" i="3"/>
  <c r="BH459" i="3"/>
  <c r="BH460" i="3"/>
  <c r="BH461" i="3"/>
  <c r="BH462" i="3"/>
  <c r="BH463" i="3"/>
  <c r="BH464" i="3"/>
  <c r="BH465" i="3"/>
  <c r="BH466" i="3"/>
  <c r="BH467" i="3"/>
  <c r="BH468" i="3"/>
  <c r="BH469" i="3"/>
  <c r="BH470" i="3"/>
  <c r="BH471" i="3"/>
  <c r="BH472" i="3"/>
  <c r="BH473" i="3"/>
  <c r="BH474" i="3"/>
  <c r="BH475" i="3"/>
  <c r="BH476" i="3"/>
  <c r="BH477" i="3"/>
  <c r="BH478" i="3"/>
  <c r="BH479" i="3"/>
  <c r="BH480" i="3"/>
  <c r="BH481" i="3"/>
  <c r="BH482" i="3"/>
  <c r="BH483" i="3"/>
  <c r="BH484" i="3"/>
  <c r="BH485" i="3"/>
  <c r="BH486" i="3"/>
  <c r="BH487" i="3"/>
  <c r="BH488" i="3"/>
  <c r="BH489" i="3"/>
  <c r="BH490" i="3"/>
  <c r="BH491" i="3"/>
  <c r="BH492" i="3"/>
  <c r="BH493" i="3"/>
  <c r="BH494" i="3"/>
  <c r="BH495" i="3"/>
  <c r="BH496" i="3"/>
  <c r="BH497" i="3"/>
  <c r="BH498" i="3"/>
  <c r="BH499" i="3"/>
  <c r="BH500" i="3"/>
  <c r="BH501" i="3"/>
  <c r="BH502" i="3"/>
  <c r="BH503" i="3"/>
  <c r="BH504" i="3"/>
  <c r="BH505" i="3"/>
  <c r="BH506" i="3"/>
  <c r="BH507" i="3"/>
  <c r="BH508" i="3"/>
  <c r="BH509" i="3"/>
  <c r="BH510" i="3"/>
  <c r="BH511" i="3"/>
  <c r="BH512" i="3"/>
  <c r="BH513" i="3"/>
  <c r="BH514" i="3"/>
  <c r="BH515" i="3"/>
  <c r="BH516" i="3"/>
  <c r="BH517" i="3"/>
  <c r="BH518" i="3"/>
  <c r="BH519" i="3"/>
  <c r="BH520" i="3"/>
  <c r="BH521" i="3"/>
  <c r="BH522" i="3"/>
  <c r="BH523" i="3"/>
  <c r="BH524" i="3"/>
  <c r="BH525" i="3"/>
  <c r="BH526" i="3"/>
  <c r="BH527" i="3"/>
  <c r="BH528" i="3"/>
  <c r="BH529" i="3"/>
  <c r="BH530" i="3"/>
  <c r="BH531" i="3"/>
  <c r="BH532" i="3"/>
  <c r="BH533" i="3"/>
  <c r="BH534" i="3"/>
  <c r="BH535" i="3"/>
  <c r="BH536" i="3"/>
  <c r="BH537" i="3"/>
  <c r="BH538" i="3"/>
  <c r="BH539" i="3"/>
  <c r="BH540" i="3"/>
  <c r="BH541" i="3"/>
  <c r="BH542" i="3"/>
  <c r="BH543" i="3"/>
  <c r="BH544" i="3"/>
  <c r="BH545" i="3"/>
  <c r="BH546" i="3"/>
  <c r="BH547" i="3"/>
  <c r="BH548" i="3"/>
  <c r="BH549" i="3"/>
  <c r="BH550" i="3"/>
  <c r="BH551" i="3"/>
  <c r="BH552" i="3"/>
  <c r="BH553" i="3"/>
  <c r="BH554" i="3"/>
  <c r="BH555" i="3"/>
  <c r="BH556" i="3"/>
  <c r="BH557" i="3"/>
  <c r="BH558" i="3"/>
  <c r="BH559" i="3"/>
  <c r="BH560" i="3"/>
  <c r="BH561" i="3"/>
  <c r="BH562" i="3"/>
  <c r="BH563" i="3"/>
  <c r="BH564" i="3"/>
  <c r="BH565" i="3"/>
  <c r="BH566" i="3"/>
  <c r="BH567" i="3"/>
  <c r="BH568" i="3"/>
  <c r="BH569" i="3"/>
  <c r="BH570" i="3"/>
  <c r="BH571" i="3"/>
  <c r="BH572" i="3"/>
  <c r="BH573" i="3"/>
  <c r="BH574" i="3"/>
  <c r="BH575" i="3"/>
  <c r="BH576" i="3"/>
  <c r="BH577" i="3"/>
  <c r="BH578" i="3"/>
  <c r="BH579" i="3"/>
  <c r="BH580" i="3"/>
  <c r="BH581" i="3"/>
  <c r="BH582" i="3"/>
  <c r="BH583" i="3"/>
  <c r="BH584" i="3"/>
  <c r="BH585" i="3"/>
  <c r="BH586" i="3"/>
  <c r="BH587" i="3"/>
  <c r="BH588" i="3"/>
  <c r="BH589" i="3"/>
  <c r="BH590" i="3"/>
  <c r="BH591" i="3"/>
  <c r="BH592" i="3"/>
  <c r="BH593" i="3"/>
  <c r="BH594" i="3"/>
  <c r="BH595" i="3"/>
  <c r="BH596" i="3"/>
  <c r="BH597" i="3"/>
  <c r="BH598" i="3"/>
  <c r="BH599" i="3"/>
  <c r="BH600" i="3"/>
  <c r="BH601" i="3"/>
  <c r="BH602" i="3"/>
  <c r="BH603" i="3"/>
  <c r="BH604" i="3"/>
  <c r="BH605" i="3"/>
  <c r="BH606" i="3"/>
  <c r="BH607" i="3"/>
  <c r="BH608" i="3"/>
  <c r="BH609" i="3"/>
  <c r="BH610" i="3"/>
  <c r="BF358" i="3"/>
  <c r="BF359" i="3"/>
  <c r="BF360" i="3"/>
  <c r="BF361" i="3"/>
  <c r="BF362" i="3"/>
  <c r="BF363" i="3"/>
  <c r="BF364" i="3"/>
  <c r="BF365" i="3"/>
  <c r="BF366" i="3"/>
  <c r="BF367" i="3"/>
  <c r="BF368" i="3"/>
  <c r="BF369" i="3"/>
  <c r="BF370" i="3"/>
  <c r="BF371" i="3"/>
  <c r="BF372" i="3"/>
  <c r="BF373" i="3"/>
  <c r="BF374" i="3"/>
  <c r="BF375" i="3"/>
  <c r="BF376" i="3"/>
  <c r="BF377" i="3"/>
  <c r="BF378" i="3"/>
  <c r="BF379" i="3"/>
  <c r="BF380" i="3"/>
  <c r="BF381" i="3"/>
  <c r="BF382" i="3"/>
  <c r="BF383" i="3"/>
  <c r="BF384" i="3"/>
  <c r="BF385" i="3"/>
  <c r="BF386" i="3"/>
  <c r="BF387" i="3"/>
  <c r="BF388" i="3"/>
  <c r="BF389" i="3"/>
  <c r="BF390" i="3"/>
  <c r="BF391" i="3"/>
  <c r="BF392" i="3"/>
  <c r="BF393" i="3"/>
  <c r="BF394" i="3"/>
  <c r="BF395" i="3"/>
  <c r="BF396" i="3"/>
  <c r="BF397" i="3"/>
  <c r="BF398" i="3"/>
  <c r="BF399" i="3"/>
  <c r="BF400" i="3"/>
  <c r="BF401" i="3"/>
  <c r="BF402" i="3"/>
  <c r="BF403" i="3"/>
  <c r="BF404" i="3"/>
  <c r="BF405" i="3"/>
  <c r="BF406" i="3"/>
  <c r="BF407" i="3"/>
  <c r="BF408" i="3"/>
  <c r="BF409" i="3"/>
  <c r="BF410" i="3"/>
  <c r="BF411" i="3"/>
  <c r="BF412" i="3"/>
  <c r="BF413" i="3"/>
  <c r="BF414" i="3"/>
  <c r="BF415" i="3"/>
  <c r="BF416" i="3"/>
  <c r="BF417" i="3"/>
  <c r="BF418" i="3"/>
  <c r="BF419" i="3"/>
  <c r="BF420" i="3"/>
  <c r="BF421" i="3"/>
  <c r="BF422" i="3"/>
  <c r="BF423" i="3"/>
  <c r="BF424" i="3"/>
  <c r="BF425" i="3"/>
  <c r="BF426" i="3"/>
  <c r="BF427" i="3"/>
  <c r="BF428" i="3"/>
  <c r="BF429" i="3"/>
  <c r="BF430" i="3"/>
  <c r="BF431" i="3"/>
  <c r="BF432" i="3"/>
  <c r="BF433" i="3"/>
  <c r="BF434" i="3"/>
  <c r="BF435" i="3"/>
  <c r="BF436" i="3"/>
  <c r="BF437" i="3"/>
  <c r="BF438" i="3"/>
  <c r="BF439" i="3"/>
  <c r="BF440" i="3"/>
  <c r="BF441" i="3"/>
  <c r="BF442" i="3"/>
  <c r="BF443" i="3"/>
  <c r="BF444" i="3"/>
  <c r="BF445" i="3"/>
  <c r="BF446" i="3"/>
  <c r="BF447" i="3"/>
  <c r="BF448" i="3"/>
  <c r="BF449" i="3"/>
  <c r="BF450" i="3"/>
  <c r="BF451" i="3"/>
  <c r="BF452" i="3"/>
  <c r="BF453" i="3"/>
  <c r="BF454" i="3"/>
  <c r="BF455" i="3"/>
  <c r="BF456" i="3"/>
  <c r="BF457" i="3"/>
  <c r="BF458" i="3"/>
  <c r="BF459" i="3"/>
  <c r="BF460" i="3"/>
  <c r="BF461" i="3"/>
  <c r="BF462" i="3"/>
  <c r="BF463" i="3"/>
  <c r="BF464" i="3"/>
  <c r="BF465" i="3"/>
  <c r="BF466" i="3"/>
  <c r="BF467" i="3"/>
  <c r="BF468" i="3"/>
  <c r="BF469" i="3"/>
  <c r="BF470" i="3"/>
  <c r="BF471" i="3"/>
  <c r="BF472" i="3"/>
  <c r="BF473" i="3"/>
  <c r="BF474" i="3"/>
  <c r="BF475" i="3"/>
  <c r="BF476" i="3"/>
  <c r="BF477" i="3"/>
  <c r="BF478" i="3"/>
  <c r="BF479" i="3"/>
  <c r="BF480" i="3"/>
  <c r="BF481" i="3"/>
  <c r="BF482" i="3"/>
  <c r="BF483" i="3"/>
  <c r="BF484" i="3"/>
  <c r="BF485" i="3"/>
  <c r="BF486" i="3"/>
  <c r="BF487" i="3"/>
  <c r="BF488" i="3"/>
  <c r="BF489" i="3"/>
  <c r="BF490" i="3"/>
  <c r="BF491" i="3"/>
  <c r="BF492" i="3"/>
  <c r="BF493" i="3"/>
  <c r="BF494" i="3"/>
  <c r="BF495" i="3"/>
  <c r="BF496" i="3"/>
  <c r="BF497" i="3"/>
  <c r="BF498" i="3"/>
  <c r="BF499" i="3"/>
  <c r="BF500" i="3"/>
  <c r="BF501" i="3"/>
  <c r="BF502" i="3"/>
  <c r="BF503" i="3"/>
  <c r="BF504" i="3"/>
  <c r="BF505" i="3"/>
  <c r="BF506" i="3"/>
  <c r="BF507" i="3"/>
  <c r="BF508" i="3"/>
  <c r="BF509" i="3"/>
  <c r="BF510" i="3"/>
  <c r="BF511" i="3"/>
  <c r="BF512" i="3"/>
  <c r="BF513" i="3"/>
  <c r="BF514" i="3"/>
  <c r="BF515" i="3"/>
  <c r="BF516" i="3"/>
  <c r="BF517" i="3"/>
  <c r="BF518" i="3"/>
  <c r="BF519" i="3"/>
  <c r="BF520" i="3"/>
  <c r="BF521" i="3"/>
  <c r="BF522" i="3"/>
  <c r="BF523" i="3"/>
  <c r="BF524" i="3"/>
  <c r="BF525" i="3"/>
  <c r="BF526" i="3"/>
  <c r="BF527" i="3"/>
  <c r="BF528" i="3"/>
  <c r="BF529" i="3"/>
  <c r="BF530" i="3"/>
  <c r="BF531" i="3"/>
  <c r="BF532" i="3"/>
  <c r="BF533" i="3"/>
  <c r="BF534" i="3"/>
  <c r="BF535" i="3"/>
  <c r="BF536" i="3"/>
  <c r="BF537" i="3"/>
  <c r="BF538" i="3"/>
  <c r="BF539" i="3"/>
  <c r="BF540" i="3"/>
  <c r="BF541" i="3"/>
  <c r="BF542" i="3"/>
  <c r="BF543" i="3"/>
  <c r="BF544" i="3"/>
  <c r="BF545" i="3"/>
  <c r="BF546" i="3"/>
  <c r="BF547" i="3"/>
  <c r="BF548" i="3"/>
  <c r="BF549" i="3"/>
  <c r="BF550" i="3"/>
  <c r="BF551" i="3"/>
  <c r="BF552" i="3"/>
  <c r="BF553" i="3"/>
  <c r="BF554" i="3"/>
  <c r="BF555" i="3"/>
  <c r="BF556" i="3"/>
  <c r="BF557" i="3"/>
  <c r="BF558" i="3"/>
  <c r="BF559" i="3"/>
  <c r="BF560" i="3"/>
  <c r="BF561" i="3"/>
  <c r="BF562" i="3"/>
  <c r="BF563" i="3"/>
  <c r="BF564" i="3"/>
  <c r="BF565" i="3"/>
  <c r="BF566" i="3"/>
  <c r="BF567" i="3"/>
  <c r="BF568" i="3"/>
  <c r="BF569" i="3"/>
  <c r="BF570" i="3"/>
  <c r="BF571" i="3"/>
  <c r="BF572" i="3"/>
  <c r="BF573" i="3"/>
  <c r="BF574" i="3"/>
  <c r="BF575" i="3"/>
  <c r="BF576" i="3"/>
  <c r="BF577" i="3"/>
  <c r="BF578" i="3"/>
  <c r="BF579" i="3"/>
  <c r="BF580" i="3"/>
  <c r="BF581" i="3"/>
  <c r="BF582" i="3"/>
  <c r="BF583" i="3"/>
  <c r="BF584" i="3"/>
  <c r="BF585" i="3"/>
  <c r="BF586" i="3"/>
  <c r="BF587" i="3"/>
  <c r="BF588" i="3"/>
  <c r="BF589" i="3"/>
  <c r="BF590" i="3"/>
  <c r="BF591" i="3"/>
  <c r="BF592" i="3"/>
  <c r="BF593" i="3"/>
  <c r="BF594" i="3"/>
  <c r="BF595" i="3"/>
  <c r="BF596" i="3"/>
  <c r="BF597" i="3"/>
  <c r="BF598" i="3"/>
  <c r="BF599" i="3"/>
  <c r="BF600" i="3"/>
  <c r="BF601" i="3"/>
  <c r="BF602" i="3"/>
  <c r="BF603" i="3"/>
  <c r="BF604" i="3"/>
  <c r="BF605" i="3"/>
  <c r="BF606" i="3"/>
  <c r="BF607" i="3"/>
  <c r="BF608" i="3"/>
  <c r="BF609" i="3"/>
  <c r="BF610" i="3"/>
  <c r="BF611" i="3"/>
  <c r="BF612" i="3"/>
  <c r="BF613" i="3"/>
  <c r="BF614" i="3"/>
  <c r="BF615" i="3"/>
  <c r="BF616" i="3"/>
  <c r="BF617" i="3"/>
  <c r="BF618" i="3"/>
  <c r="BF619" i="3"/>
  <c r="BF620" i="3"/>
  <c r="BF621" i="3"/>
  <c r="BF622" i="3"/>
  <c r="BF623" i="3"/>
  <c r="BF624" i="3"/>
  <c r="BF625" i="3"/>
  <c r="BF626" i="3"/>
  <c r="BF627" i="3"/>
  <c r="BF628" i="3"/>
  <c r="BF629" i="3"/>
  <c r="BF630" i="3"/>
  <c r="BF631" i="3"/>
  <c r="BF632" i="3"/>
  <c r="BF633" i="3"/>
  <c r="BF634" i="3"/>
  <c r="BF635" i="3"/>
  <c r="BF636" i="3"/>
  <c r="BF637" i="3"/>
  <c r="BF638" i="3"/>
  <c r="BF639" i="3"/>
  <c r="BF640" i="3"/>
  <c r="BF641" i="3"/>
  <c r="BF642" i="3"/>
  <c r="BF643" i="3"/>
  <c r="BF644" i="3"/>
  <c r="BF645" i="3"/>
  <c r="BF646" i="3"/>
  <c r="BF647" i="3"/>
  <c r="BF648" i="3"/>
  <c r="BF649" i="3"/>
  <c r="BF650" i="3"/>
  <c r="BF651" i="3"/>
  <c r="BF652" i="3"/>
  <c r="BF653" i="3"/>
  <c r="BF654" i="3"/>
  <c r="BF655" i="3"/>
  <c r="BF656" i="3"/>
  <c r="BF657" i="3"/>
  <c r="BF658" i="3"/>
  <c r="BF659" i="3"/>
  <c r="BF660" i="3"/>
  <c r="BF661" i="3"/>
  <c r="BF662" i="3"/>
  <c r="BF663" i="3"/>
  <c r="BF664" i="3"/>
  <c r="BF665" i="3"/>
  <c r="BF666" i="3"/>
  <c r="BF667" i="3"/>
  <c r="BF668" i="3"/>
  <c r="BF669" i="3"/>
  <c r="BF670" i="3"/>
  <c r="BF671" i="3"/>
  <c r="BF672" i="3"/>
  <c r="BF673" i="3"/>
  <c r="BF674" i="3"/>
  <c r="BF675" i="3"/>
  <c r="BF676" i="3"/>
  <c r="BF677" i="3"/>
  <c r="BF678" i="3"/>
  <c r="BF679" i="3"/>
  <c r="BF680" i="3"/>
  <c r="BF681" i="3"/>
  <c r="BF682" i="3"/>
  <c r="BF683" i="3"/>
  <c r="BF684" i="3"/>
  <c r="BF685" i="3"/>
  <c r="BF686" i="3"/>
  <c r="BF687" i="3"/>
  <c r="BF688" i="3"/>
  <c r="BF689" i="3"/>
  <c r="BF690" i="3"/>
  <c r="BF691" i="3"/>
  <c r="BF692" i="3"/>
  <c r="BF693" i="3"/>
  <c r="BF694" i="3"/>
  <c r="BF695" i="3"/>
  <c r="BF696" i="3"/>
  <c r="BF697" i="3"/>
  <c r="BF698" i="3"/>
  <c r="BF699" i="3"/>
  <c r="BF700" i="3"/>
  <c r="BF701" i="3"/>
  <c r="BF702" i="3"/>
  <c r="BF703" i="3"/>
  <c r="BF704" i="3"/>
  <c r="BF705" i="3"/>
  <c r="BF706" i="3"/>
  <c r="BF707" i="3"/>
  <c r="BF708" i="3"/>
  <c r="BF709" i="3"/>
  <c r="BF710" i="3"/>
  <c r="BF711" i="3"/>
  <c r="BF712" i="3"/>
  <c r="BF713" i="3"/>
  <c r="BF714" i="3"/>
  <c r="BF715" i="3"/>
  <c r="BF716" i="3"/>
  <c r="BF717" i="3"/>
  <c r="BF718" i="3"/>
  <c r="BF719" i="3"/>
  <c r="BF720" i="3"/>
  <c r="BF721" i="3"/>
  <c r="BF722" i="3"/>
  <c r="BF723" i="3"/>
  <c r="BF724" i="3"/>
  <c r="BF725" i="3"/>
  <c r="BF726" i="3"/>
  <c r="BF727" i="3"/>
  <c r="BF728" i="3"/>
  <c r="BF729" i="3"/>
  <c r="BF730" i="3"/>
  <c r="BF731" i="3"/>
  <c r="BF732" i="3"/>
  <c r="BF733" i="3"/>
  <c r="BF734" i="3"/>
  <c r="BF735" i="3"/>
  <c r="BF736" i="3"/>
  <c r="BF737" i="3"/>
  <c r="BF738" i="3"/>
  <c r="BF739" i="3"/>
  <c r="BF740" i="3"/>
  <c r="BF741" i="3"/>
  <c r="BF742" i="3"/>
  <c r="BF743" i="3"/>
  <c r="BF744" i="3"/>
  <c r="BF745" i="3"/>
  <c r="BF746" i="3"/>
  <c r="BF747" i="3"/>
  <c r="BF748" i="3"/>
  <c r="BF749" i="3"/>
  <c r="BF750" i="3"/>
  <c r="BF751" i="3"/>
  <c r="BF752" i="3"/>
  <c r="BF753" i="3"/>
  <c r="BF754" i="3"/>
  <c r="BF755" i="3"/>
  <c r="BF756" i="3"/>
  <c r="BF757" i="3"/>
  <c r="BF758" i="3"/>
  <c r="BF759" i="3"/>
  <c r="BF760" i="3"/>
  <c r="BF761" i="3"/>
  <c r="BF762" i="3"/>
  <c r="BF763" i="3"/>
  <c r="BF764" i="3"/>
  <c r="BF765" i="3"/>
  <c r="BF766" i="3"/>
  <c r="BF767" i="3"/>
  <c r="BF768" i="3"/>
  <c r="BF769" i="3"/>
  <c r="BF770" i="3"/>
  <c r="BF771" i="3"/>
  <c r="BF772" i="3"/>
  <c r="BF773" i="3"/>
  <c r="BF774" i="3"/>
  <c r="BF775" i="3"/>
  <c r="BF776" i="3"/>
  <c r="BF777" i="3"/>
  <c r="BF778" i="3"/>
  <c r="BF779" i="3"/>
  <c r="BF780" i="3"/>
  <c r="BF781" i="3"/>
  <c r="BF782" i="3"/>
  <c r="BF783" i="3"/>
  <c r="BF784" i="3"/>
  <c r="BF785" i="3"/>
  <c r="BF786" i="3"/>
  <c r="BF787" i="3"/>
  <c r="BF788" i="3"/>
  <c r="BF789" i="3"/>
  <c r="BF790" i="3"/>
  <c r="BF791" i="3"/>
  <c r="BF792" i="3"/>
  <c r="BF793" i="3"/>
  <c r="BF794" i="3"/>
  <c r="BF795" i="3"/>
  <c r="BF796" i="3"/>
  <c r="BF797" i="3"/>
  <c r="BF798" i="3"/>
  <c r="BF799" i="3"/>
  <c r="BF800" i="3"/>
  <c r="BF801" i="3"/>
  <c r="BF802" i="3"/>
  <c r="BF803" i="3"/>
  <c r="BF804" i="3"/>
  <c r="BF805" i="3"/>
  <c r="BF806" i="3"/>
  <c r="BF807" i="3"/>
  <c r="BF808" i="3"/>
  <c r="BF809" i="3"/>
  <c r="BF810" i="3"/>
  <c r="BF811" i="3"/>
  <c r="BF812" i="3"/>
  <c r="BF813" i="3"/>
  <c r="BF814" i="3"/>
  <c r="BF815" i="3"/>
  <c r="BF816" i="3"/>
  <c r="BF817" i="3"/>
  <c r="BF818" i="3"/>
  <c r="BF819" i="3"/>
  <c r="BF820" i="3"/>
  <c r="BF821" i="3"/>
  <c r="BF822" i="3"/>
  <c r="BF823" i="3"/>
  <c r="BF824" i="3"/>
  <c r="BF825" i="3"/>
  <c r="BF826" i="3"/>
  <c r="BF827" i="3"/>
  <c r="BF828" i="3"/>
  <c r="BF829" i="3"/>
  <c r="BF830" i="3"/>
  <c r="BF831" i="3"/>
  <c r="BF832" i="3"/>
  <c r="BF833" i="3"/>
  <c r="BF834" i="3"/>
  <c r="BD358" i="3"/>
  <c r="BD359" i="3"/>
  <c r="BD360" i="3"/>
  <c r="BD361" i="3"/>
  <c r="BD362" i="3"/>
  <c r="BD363" i="3"/>
  <c r="BD364" i="3"/>
  <c r="BD365" i="3"/>
  <c r="BD366" i="3"/>
  <c r="BD367" i="3"/>
  <c r="BD368" i="3"/>
  <c r="BD369" i="3"/>
  <c r="BD370" i="3"/>
  <c r="BD371" i="3"/>
  <c r="BD372" i="3"/>
  <c r="BD373" i="3"/>
  <c r="BD374" i="3"/>
  <c r="BD375" i="3"/>
  <c r="BD376" i="3"/>
  <c r="BD377" i="3"/>
  <c r="BD378" i="3"/>
  <c r="BD379" i="3"/>
  <c r="BD380" i="3"/>
  <c r="BD381" i="3"/>
  <c r="BD382" i="3"/>
  <c r="BD383" i="3"/>
  <c r="BD384" i="3"/>
  <c r="BD385" i="3"/>
  <c r="BD386" i="3"/>
  <c r="BD387" i="3"/>
  <c r="BD388" i="3"/>
  <c r="BD389" i="3"/>
  <c r="BD390" i="3"/>
  <c r="BD391" i="3"/>
  <c r="BD392" i="3"/>
  <c r="BD393" i="3"/>
  <c r="BD394" i="3"/>
  <c r="BD395" i="3"/>
  <c r="BD396" i="3"/>
  <c r="BD397" i="3"/>
  <c r="BD398" i="3"/>
  <c r="BD399" i="3"/>
  <c r="BD400" i="3"/>
  <c r="BD401" i="3"/>
  <c r="BD402" i="3"/>
  <c r="BD403" i="3"/>
  <c r="BD404" i="3"/>
  <c r="BD405" i="3"/>
  <c r="BD406" i="3"/>
  <c r="BD407" i="3"/>
  <c r="BD408" i="3"/>
  <c r="BD409" i="3"/>
  <c r="BD410" i="3"/>
  <c r="BD411" i="3"/>
  <c r="BD412" i="3"/>
  <c r="BD413" i="3"/>
  <c r="BD414" i="3"/>
  <c r="BD415" i="3"/>
  <c r="BD416" i="3"/>
  <c r="BD417" i="3"/>
  <c r="BD418" i="3"/>
  <c r="BD419" i="3"/>
  <c r="BD420" i="3"/>
  <c r="BD421" i="3"/>
  <c r="BD422" i="3"/>
  <c r="BD423" i="3"/>
  <c r="BD424" i="3"/>
  <c r="BD425" i="3"/>
  <c r="BD426" i="3"/>
  <c r="BD427" i="3"/>
  <c r="BD428" i="3"/>
  <c r="BD429" i="3"/>
  <c r="BD430" i="3"/>
  <c r="BD431" i="3"/>
  <c r="BD432" i="3"/>
  <c r="BD433" i="3"/>
  <c r="BD434" i="3"/>
  <c r="BD435" i="3"/>
  <c r="BD436" i="3"/>
  <c r="BD437" i="3"/>
  <c r="BD438" i="3"/>
  <c r="BD439" i="3"/>
  <c r="BD440" i="3"/>
  <c r="BD441" i="3"/>
  <c r="BD442" i="3"/>
  <c r="BD443" i="3"/>
  <c r="BD444" i="3"/>
  <c r="BD445" i="3"/>
  <c r="BD446" i="3"/>
  <c r="BD447" i="3"/>
  <c r="BD448" i="3"/>
  <c r="BD449" i="3"/>
  <c r="BD450" i="3"/>
  <c r="BD451" i="3"/>
  <c r="BD452" i="3"/>
  <c r="BD453" i="3"/>
  <c r="BD454" i="3"/>
  <c r="BD455" i="3"/>
  <c r="BD456" i="3"/>
  <c r="BD457" i="3"/>
  <c r="BD458" i="3"/>
  <c r="BD459" i="3"/>
  <c r="BD460" i="3"/>
  <c r="BD461" i="3"/>
  <c r="BD462" i="3"/>
  <c r="BD463" i="3"/>
  <c r="BD464" i="3"/>
  <c r="BD465" i="3"/>
  <c r="BD466" i="3"/>
  <c r="BD467" i="3"/>
  <c r="BD468" i="3"/>
  <c r="BD469" i="3"/>
  <c r="BD470" i="3"/>
  <c r="BD471" i="3"/>
  <c r="BD472" i="3"/>
  <c r="BD473" i="3"/>
  <c r="BD474" i="3"/>
  <c r="BD475" i="3"/>
  <c r="BD476" i="3"/>
  <c r="BD477" i="3"/>
  <c r="BD478" i="3"/>
  <c r="BD479" i="3"/>
  <c r="BD480" i="3"/>
  <c r="BD481" i="3"/>
  <c r="BD482" i="3"/>
  <c r="BD483" i="3"/>
  <c r="BD484" i="3"/>
  <c r="BD485" i="3"/>
  <c r="BD486" i="3"/>
  <c r="BD487" i="3"/>
  <c r="BD488" i="3"/>
  <c r="BD489" i="3"/>
  <c r="BD490" i="3"/>
  <c r="BD491" i="3"/>
  <c r="BD492" i="3"/>
  <c r="BD493" i="3"/>
  <c r="BD494" i="3"/>
  <c r="BD495" i="3"/>
  <c r="BD496" i="3"/>
  <c r="BD497" i="3"/>
  <c r="BD498" i="3"/>
  <c r="BD499" i="3"/>
  <c r="BD500" i="3"/>
  <c r="BD501" i="3"/>
  <c r="BD502" i="3"/>
  <c r="BD503" i="3"/>
  <c r="BD504" i="3"/>
  <c r="BD505" i="3"/>
  <c r="BD506" i="3"/>
  <c r="BD507" i="3"/>
  <c r="BD508" i="3"/>
  <c r="BD509" i="3"/>
  <c r="BD510" i="3"/>
  <c r="BD511" i="3"/>
  <c r="BD512" i="3"/>
  <c r="BD513" i="3"/>
  <c r="BD514" i="3"/>
  <c r="BD515" i="3"/>
  <c r="BD516" i="3"/>
  <c r="BD517" i="3"/>
  <c r="BD518" i="3"/>
  <c r="BD519" i="3"/>
  <c r="BD520" i="3"/>
  <c r="BD521" i="3"/>
  <c r="BD522" i="3"/>
  <c r="BD523" i="3"/>
  <c r="BD524" i="3"/>
  <c r="BD525" i="3"/>
  <c r="BD526" i="3"/>
  <c r="BD527" i="3"/>
  <c r="BD528" i="3"/>
  <c r="BD529" i="3"/>
  <c r="BD530" i="3"/>
  <c r="BD531" i="3"/>
  <c r="BD532" i="3"/>
  <c r="BD533" i="3"/>
  <c r="BD534" i="3"/>
  <c r="BD535" i="3"/>
  <c r="BD536" i="3"/>
  <c r="BD537" i="3"/>
  <c r="BD538" i="3"/>
  <c r="BD539" i="3"/>
  <c r="BD540" i="3"/>
  <c r="BD541" i="3"/>
  <c r="BD542" i="3"/>
  <c r="BD543" i="3"/>
  <c r="BD544" i="3"/>
  <c r="BD545" i="3"/>
  <c r="BD546" i="3"/>
  <c r="BD547" i="3"/>
  <c r="BD548" i="3"/>
  <c r="BD549" i="3"/>
  <c r="BD550" i="3"/>
  <c r="BD551" i="3"/>
  <c r="BD552" i="3"/>
  <c r="BD553" i="3"/>
  <c r="BD554" i="3"/>
  <c r="BD555" i="3"/>
  <c r="BD556" i="3"/>
  <c r="BD557" i="3"/>
  <c r="BD558" i="3"/>
  <c r="BD559" i="3"/>
  <c r="BD560" i="3"/>
  <c r="BD561" i="3"/>
  <c r="BD562" i="3"/>
  <c r="BD563" i="3"/>
  <c r="BD564" i="3"/>
  <c r="BD565" i="3"/>
  <c r="BD566" i="3"/>
  <c r="BD567" i="3"/>
  <c r="BD568" i="3"/>
  <c r="BD569" i="3"/>
  <c r="BD570" i="3"/>
  <c r="BD571" i="3"/>
  <c r="BD572" i="3"/>
  <c r="BD573" i="3"/>
  <c r="BD574" i="3"/>
  <c r="BD575" i="3"/>
  <c r="BD576" i="3"/>
  <c r="BD577" i="3"/>
  <c r="BD578" i="3"/>
  <c r="BD579" i="3"/>
  <c r="BD580" i="3"/>
  <c r="BD581" i="3"/>
  <c r="BD582" i="3"/>
  <c r="BD583" i="3"/>
  <c r="BD584" i="3"/>
  <c r="BD585" i="3"/>
  <c r="BD586" i="3"/>
  <c r="BD587" i="3"/>
  <c r="BD588" i="3"/>
  <c r="BD589" i="3"/>
  <c r="BD590" i="3"/>
  <c r="BD591" i="3"/>
  <c r="BD592" i="3"/>
  <c r="BD593" i="3"/>
  <c r="BD594" i="3"/>
  <c r="BD595" i="3"/>
  <c r="BD596" i="3"/>
  <c r="BD597" i="3"/>
  <c r="BD598" i="3"/>
  <c r="BD599" i="3"/>
  <c r="BD600" i="3"/>
  <c r="BD601" i="3"/>
  <c r="BD602" i="3"/>
  <c r="BD603" i="3"/>
  <c r="BD604" i="3"/>
  <c r="BD605" i="3"/>
  <c r="BD606" i="3"/>
  <c r="BD607" i="3"/>
  <c r="BD608" i="3"/>
  <c r="BD609" i="3"/>
  <c r="BD610" i="3"/>
  <c r="BD611" i="3"/>
  <c r="BD612" i="3"/>
  <c r="BD613" i="3"/>
  <c r="BD614" i="3"/>
  <c r="BD615" i="3"/>
  <c r="BD616" i="3"/>
  <c r="BD617" i="3"/>
  <c r="BD618" i="3"/>
  <c r="BD619" i="3"/>
  <c r="BD620" i="3"/>
  <c r="BD621" i="3"/>
  <c r="BD622" i="3"/>
  <c r="BD623" i="3"/>
  <c r="BD624" i="3"/>
  <c r="BD625" i="3"/>
  <c r="BD626" i="3"/>
  <c r="BD627" i="3"/>
  <c r="BD628" i="3"/>
  <c r="BD629" i="3"/>
  <c r="BD630" i="3"/>
  <c r="BD631" i="3"/>
  <c r="BD632" i="3"/>
  <c r="BD633" i="3"/>
  <c r="BD634" i="3"/>
  <c r="BD635" i="3"/>
  <c r="BD636" i="3"/>
  <c r="BD637" i="3"/>
  <c r="BD638" i="3"/>
  <c r="BD639" i="3"/>
  <c r="BD640" i="3"/>
  <c r="BD641" i="3"/>
  <c r="BD642" i="3"/>
  <c r="BD643" i="3"/>
  <c r="BD644" i="3"/>
  <c r="BD645" i="3"/>
  <c r="BD646" i="3"/>
  <c r="BD647" i="3"/>
  <c r="BD648" i="3"/>
  <c r="BD649" i="3"/>
  <c r="BD650" i="3"/>
  <c r="BD651" i="3"/>
  <c r="BD652" i="3"/>
  <c r="BD653" i="3"/>
  <c r="BD654" i="3"/>
  <c r="BD655" i="3"/>
  <c r="BD656" i="3"/>
  <c r="BD657" i="3"/>
  <c r="BD658" i="3"/>
  <c r="BD659" i="3"/>
  <c r="BD660" i="3"/>
  <c r="BD661" i="3"/>
  <c r="BD662" i="3"/>
  <c r="BD663" i="3"/>
  <c r="BD664" i="3"/>
  <c r="BD665" i="3"/>
  <c r="BD666" i="3"/>
  <c r="BD667" i="3"/>
  <c r="BD668" i="3"/>
  <c r="BD669" i="3"/>
  <c r="BD670" i="3"/>
  <c r="BD671" i="3"/>
  <c r="BD672" i="3"/>
  <c r="BD673" i="3"/>
  <c r="BD674" i="3"/>
  <c r="BD675" i="3"/>
  <c r="BD676" i="3"/>
  <c r="BD677" i="3"/>
  <c r="BD678" i="3"/>
  <c r="BD679" i="3"/>
  <c r="BD680" i="3"/>
  <c r="BD681" i="3"/>
  <c r="BD682" i="3"/>
  <c r="BD683" i="3"/>
  <c r="BD684" i="3"/>
  <c r="BD685" i="3"/>
  <c r="BD686" i="3"/>
  <c r="BD687" i="3"/>
  <c r="BD688" i="3"/>
  <c r="BD689" i="3"/>
  <c r="BD690" i="3"/>
  <c r="BD691" i="3"/>
  <c r="BD692" i="3"/>
  <c r="BD693" i="3"/>
  <c r="BD694" i="3"/>
  <c r="BD695" i="3"/>
  <c r="BD696" i="3"/>
  <c r="BD697" i="3"/>
  <c r="BD698" i="3"/>
  <c r="BD699" i="3"/>
  <c r="BD700" i="3"/>
  <c r="BD701" i="3"/>
  <c r="BD702" i="3"/>
  <c r="BD703" i="3"/>
  <c r="BD704" i="3"/>
  <c r="BD705" i="3"/>
  <c r="BD706" i="3"/>
  <c r="BD707" i="3"/>
  <c r="BD708" i="3"/>
  <c r="BD709" i="3"/>
  <c r="BD710" i="3"/>
  <c r="BD711" i="3"/>
  <c r="BD712" i="3"/>
  <c r="BD713" i="3"/>
  <c r="BD714" i="3"/>
  <c r="BD715" i="3"/>
  <c r="BD716" i="3"/>
  <c r="BD717" i="3"/>
  <c r="BD718" i="3"/>
  <c r="BD719" i="3"/>
  <c r="BD720" i="3"/>
  <c r="BD721" i="3"/>
  <c r="BD722" i="3"/>
  <c r="BD723" i="3"/>
  <c r="BD724" i="3"/>
  <c r="BD725" i="3"/>
  <c r="BD726" i="3"/>
  <c r="BD727" i="3"/>
  <c r="BD728" i="3"/>
  <c r="BD729" i="3"/>
  <c r="BD730" i="3"/>
  <c r="BD731" i="3"/>
  <c r="BD732" i="3"/>
  <c r="BD733" i="3"/>
  <c r="BD734" i="3"/>
  <c r="BD735" i="3"/>
  <c r="BD736" i="3"/>
  <c r="BD737" i="3"/>
  <c r="BD738" i="3"/>
  <c r="BD739" i="3"/>
  <c r="BD740" i="3"/>
  <c r="BD741" i="3"/>
  <c r="BD742" i="3"/>
  <c r="BD743" i="3"/>
  <c r="BD744" i="3"/>
  <c r="BD745" i="3"/>
  <c r="BD746" i="3"/>
  <c r="BD747" i="3"/>
  <c r="BD748" i="3"/>
  <c r="BD749" i="3"/>
  <c r="BD750" i="3"/>
  <c r="BD751" i="3"/>
  <c r="BD752" i="3"/>
  <c r="BD753" i="3"/>
  <c r="BD754" i="3"/>
  <c r="BD755" i="3"/>
  <c r="BD756" i="3"/>
  <c r="BD757" i="3"/>
  <c r="BD758" i="3"/>
  <c r="BD759" i="3"/>
  <c r="BD760" i="3"/>
  <c r="BD761" i="3"/>
  <c r="BD762" i="3"/>
  <c r="BD763" i="3"/>
  <c r="BD764" i="3"/>
  <c r="BD765" i="3"/>
  <c r="BD766" i="3"/>
  <c r="BD767" i="3"/>
  <c r="BD768" i="3"/>
  <c r="BD769" i="3"/>
  <c r="BD770" i="3"/>
  <c r="BD771" i="3"/>
  <c r="BD772" i="3"/>
  <c r="BD773" i="3"/>
  <c r="BD774" i="3"/>
  <c r="BD775" i="3"/>
  <c r="BD776" i="3"/>
  <c r="BD777" i="3"/>
  <c r="BD778" i="3"/>
  <c r="BD779" i="3"/>
  <c r="BD780" i="3"/>
  <c r="BD781" i="3"/>
  <c r="BD782" i="3"/>
  <c r="BD783" i="3"/>
  <c r="BD784" i="3"/>
  <c r="BD785" i="3"/>
  <c r="BD786" i="3"/>
  <c r="BD787" i="3"/>
  <c r="BD788" i="3"/>
  <c r="BD789" i="3"/>
  <c r="BD790" i="3"/>
  <c r="BD791" i="3"/>
  <c r="BD792" i="3"/>
  <c r="BD793" i="3"/>
  <c r="BD794" i="3"/>
  <c r="BD795" i="3"/>
  <c r="BD796" i="3"/>
  <c r="BD797" i="3"/>
  <c r="BD798" i="3"/>
  <c r="BD799" i="3"/>
  <c r="BD800" i="3"/>
  <c r="BD801" i="3"/>
  <c r="BD802" i="3"/>
  <c r="BD803" i="3"/>
  <c r="BD804" i="3"/>
  <c r="BD805" i="3"/>
  <c r="BD806" i="3"/>
  <c r="BD807" i="3"/>
  <c r="BD808" i="3"/>
  <c r="BD809" i="3"/>
  <c r="BD810" i="3"/>
  <c r="BD811" i="3"/>
  <c r="BD812" i="3"/>
  <c r="BD813" i="3"/>
  <c r="BD814" i="3"/>
  <c r="BD815" i="3"/>
  <c r="BD816" i="3"/>
  <c r="BD817" i="3"/>
  <c r="BD818" i="3"/>
  <c r="BD819" i="3"/>
  <c r="BD820" i="3"/>
  <c r="BD821" i="3"/>
  <c r="BD822" i="3"/>
  <c r="BD823" i="3"/>
  <c r="BD824" i="3"/>
  <c r="BD825" i="3"/>
  <c r="BD826" i="3"/>
  <c r="BD827" i="3"/>
  <c r="BD828" i="3"/>
  <c r="BD829" i="3"/>
  <c r="BD830" i="3"/>
  <c r="BD831" i="3"/>
  <c r="BD832" i="3"/>
  <c r="BD833" i="3"/>
  <c r="BD834" i="3"/>
  <c r="BB358" i="3"/>
  <c r="BB359" i="3"/>
  <c r="BB360" i="3"/>
  <c r="BB361" i="3"/>
  <c r="BB362" i="3"/>
  <c r="BB363" i="3"/>
  <c r="BB364" i="3"/>
  <c r="BB365" i="3"/>
  <c r="BB366" i="3"/>
  <c r="BB367" i="3"/>
  <c r="BB368" i="3"/>
  <c r="BB369" i="3"/>
  <c r="BB370" i="3"/>
  <c r="BB371" i="3"/>
  <c r="BB372" i="3"/>
  <c r="BB373" i="3"/>
  <c r="BB374" i="3"/>
  <c r="BB375" i="3"/>
  <c r="BB376" i="3"/>
  <c r="BB377" i="3"/>
  <c r="BB378" i="3"/>
  <c r="BB379" i="3"/>
  <c r="BB380" i="3"/>
  <c r="BB381" i="3"/>
  <c r="BB382" i="3"/>
  <c r="BB383" i="3"/>
  <c r="BB384" i="3"/>
  <c r="BB385" i="3"/>
  <c r="BB386" i="3"/>
  <c r="BB387" i="3"/>
  <c r="BB388" i="3"/>
  <c r="BB389" i="3"/>
  <c r="BB390" i="3"/>
  <c r="BB391" i="3"/>
  <c r="BB392" i="3"/>
  <c r="BB393" i="3"/>
  <c r="BB394" i="3"/>
  <c r="BB395" i="3"/>
  <c r="BB396" i="3"/>
  <c r="BB397" i="3"/>
  <c r="BB398" i="3"/>
  <c r="BB399" i="3"/>
  <c r="BB400" i="3"/>
  <c r="BB401" i="3"/>
  <c r="BB402" i="3"/>
  <c r="BB403" i="3"/>
  <c r="BB404" i="3"/>
  <c r="BB405" i="3"/>
  <c r="BB406" i="3"/>
  <c r="BB407" i="3"/>
  <c r="BB408" i="3"/>
  <c r="BB409" i="3"/>
  <c r="BB410" i="3"/>
  <c r="BB411" i="3"/>
  <c r="BB412" i="3"/>
  <c r="BB413" i="3"/>
  <c r="BB414" i="3"/>
  <c r="BB415" i="3"/>
  <c r="BB416" i="3"/>
  <c r="BB417" i="3"/>
  <c r="BB418" i="3"/>
  <c r="BB419" i="3"/>
  <c r="BB420" i="3"/>
  <c r="BB421" i="3"/>
  <c r="BB422" i="3"/>
  <c r="BB423" i="3"/>
  <c r="BB424" i="3"/>
  <c r="BB425" i="3"/>
  <c r="BB426" i="3"/>
  <c r="BB427" i="3"/>
  <c r="BB428" i="3"/>
  <c r="BB429" i="3"/>
  <c r="BB430" i="3"/>
  <c r="BB431" i="3"/>
  <c r="BB432" i="3"/>
  <c r="BB433" i="3"/>
  <c r="BB434" i="3"/>
  <c r="BB435" i="3"/>
  <c r="BB436" i="3"/>
  <c r="BB437" i="3"/>
  <c r="BB438" i="3"/>
  <c r="BB439" i="3"/>
  <c r="BB440" i="3"/>
  <c r="BB441" i="3"/>
  <c r="BB442" i="3"/>
  <c r="BB443" i="3"/>
  <c r="BB444" i="3"/>
  <c r="BB445" i="3"/>
  <c r="BB446" i="3"/>
  <c r="BB447" i="3"/>
  <c r="BB448" i="3"/>
  <c r="BB449" i="3"/>
  <c r="BB450" i="3"/>
  <c r="BB451" i="3"/>
  <c r="BB452" i="3"/>
  <c r="BB453" i="3"/>
  <c r="BB454" i="3"/>
  <c r="BB455" i="3"/>
  <c r="BB456" i="3"/>
  <c r="BB457" i="3"/>
  <c r="BB458" i="3"/>
  <c r="BB459" i="3"/>
  <c r="BB460" i="3"/>
  <c r="BB461" i="3"/>
  <c r="BB462" i="3"/>
  <c r="BB463" i="3"/>
  <c r="BB464" i="3"/>
  <c r="BB465" i="3"/>
  <c r="BB466" i="3"/>
  <c r="BB467" i="3"/>
  <c r="BB468" i="3"/>
  <c r="BB469" i="3"/>
  <c r="BB470" i="3"/>
  <c r="BB471" i="3"/>
  <c r="BB472" i="3"/>
  <c r="BB473" i="3"/>
  <c r="BB474" i="3"/>
  <c r="BB475" i="3"/>
  <c r="BB476" i="3"/>
  <c r="BB477" i="3"/>
  <c r="BB478" i="3"/>
  <c r="BB479" i="3"/>
  <c r="BB480" i="3"/>
  <c r="BB481" i="3"/>
  <c r="BB482" i="3"/>
  <c r="BB483" i="3"/>
  <c r="BB484" i="3"/>
  <c r="BB485" i="3"/>
  <c r="BB486" i="3"/>
  <c r="BB487" i="3"/>
  <c r="BB488" i="3"/>
  <c r="BB489" i="3"/>
  <c r="BB490" i="3"/>
  <c r="BB491" i="3"/>
  <c r="BB492" i="3"/>
  <c r="BB493" i="3"/>
  <c r="BB494" i="3"/>
  <c r="BB495" i="3"/>
  <c r="BB496" i="3"/>
  <c r="BB497" i="3"/>
  <c r="BB498" i="3"/>
  <c r="BB499" i="3"/>
  <c r="BB500" i="3"/>
  <c r="BB501" i="3"/>
  <c r="BB502" i="3"/>
  <c r="BB503" i="3"/>
  <c r="BB504" i="3"/>
  <c r="BB505" i="3"/>
  <c r="BB506" i="3"/>
  <c r="BB507" i="3"/>
  <c r="BB508" i="3"/>
  <c r="BB509" i="3"/>
  <c r="BB510" i="3"/>
  <c r="BB511" i="3"/>
  <c r="BB512" i="3"/>
  <c r="BB513" i="3"/>
  <c r="BB514" i="3"/>
  <c r="BB515" i="3"/>
  <c r="BB516" i="3"/>
  <c r="BB517" i="3"/>
  <c r="BB518" i="3"/>
  <c r="BB519" i="3"/>
  <c r="BB520" i="3"/>
  <c r="BB521" i="3"/>
  <c r="BB522" i="3"/>
  <c r="BB523" i="3"/>
  <c r="BB524" i="3"/>
  <c r="BB525" i="3"/>
  <c r="BB526" i="3"/>
  <c r="BB527" i="3"/>
  <c r="BB528" i="3"/>
  <c r="BB529" i="3"/>
  <c r="BB530" i="3"/>
  <c r="BB531" i="3"/>
  <c r="BB532" i="3"/>
  <c r="BB533" i="3"/>
  <c r="BB534" i="3"/>
  <c r="BB535" i="3"/>
  <c r="BB536" i="3"/>
  <c r="BB537" i="3"/>
  <c r="BB538" i="3"/>
  <c r="BB539" i="3"/>
  <c r="BB540" i="3"/>
  <c r="BB541" i="3"/>
  <c r="BB542" i="3"/>
  <c r="BB543" i="3"/>
  <c r="BB544" i="3"/>
  <c r="BB545" i="3"/>
  <c r="BB546" i="3"/>
  <c r="BB547" i="3"/>
  <c r="BB548" i="3"/>
  <c r="BB549" i="3"/>
  <c r="BB550" i="3"/>
  <c r="BB551" i="3"/>
  <c r="BB552" i="3"/>
  <c r="BB553" i="3"/>
  <c r="BB554" i="3"/>
  <c r="BB555" i="3"/>
  <c r="BB556" i="3"/>
  <c r="BB557" i="3"/>
  <c r="BB558" i="3"/>
  <c r="BB559" i="3"/>
  <c r="BB560" i="3"/>
  <c r="BB561" i="3"/>
  <c r="BB562" i="3"/>
  <c r="BB563" i="3"/>
  <c r="BB564" i="3"/>
  <c r="BB565" i="3"/>
  <c r="BB566" i="3"/>
  <c r="BB567" i="3"/>
  <c r="BB568" i="3"/>
  <c r="BB569" i="3"/>
  <c r="BB570" i="3"/>
  <c r="BB571" i="3"/>
  <c r="BB572" i="3"/>
  <c r="BB573" i="3"/>
  <c r="BB574" i="3"/>
  <c r="BB575" i="3"/>
  <c r="BB576" i="3"/>
  <c r="BB577" i="3"/>
  <c r="BB578" i="3"/>
  <c r="BB579" i="3"/>
  <c r="BB580" i="3"/>
  <c r="BB581" i="3"/>
  <c r="BB582" i="3"/>
  <c r="BB583" i="3"/>
  <c r="BB584" i="3"/>
  <c r="BB585" i="3"/>
  <c r="BB586" i="3"/>
  <c r="BB587" i="3"/>
  <c r="BB588" i="3"/>
  <c r="BB589" i="3"/>
  <c r="BB590" i="3"/>
  <c r="BB591" i="3"/>
  <c r="BB592" i="3"/>
  <c r="BB593" i="3"/>
  <c r="BB594" i="3"/>
  <c r="BB595" i="3"/>
  <c r="BB596" i="3"/>
  <c r="BB597" i="3"/>
  <c r="BB598" i="3"/>
  <c r="BB599" i="3"/>
  <c r="BB600" i="3"/>
  <c r="BB601" i="3"/>
  <c r="BB602" i="3"/>
  <c r="BB603" i="3"/>
  <c r="BB604" i="3"/>
  <c r="BB605" i="3"/>
  <c r="BB606" i="3"/>
  <c r="BB607" i="3"/>
  <c r="BB608" i="3"/>
  <c r="BB609" i="3"/>
  <c r="BB610" i="3"/>
  <c r="BB611" i="3"/>
  <c r="BB612" i="3"/>
  <c r="BB613" i="3"/>
  <c r="BB614" i="3"/>
  <c r="BB615" i="3"/>
  <c r="BB616" i="3"/>
  <c r="BB617" i="3"/>
  <c r="BB618" i="3"/>
  <c r="BB619" i="3"/>
  <c r="BB620" i="3"/>
  <c r="BB621" i="3"/>
  <c r="BB622" i="3"/>
  <c r="BB623" i="3"/>
  <c r="BB624" i="3"/>
  <c r="BB625" i="3"/>
  <c r="BB626" i="3"/>
  <c r="BB627" i="3"/>
  <c r="BB628" i="3"/>
  <c r="BB629" i="3"/>
  <c r="BB630" i="3"/>
  <c r="BB631" i="3"/>
  <c r="BB632" i="3"/>
  <c r="BB633" i="3"/>
  <c r="BB634" i="3"/>
  <c r="BB635" i="3"/>
  <c r="BB636" i="3"/>
  <c r="BB637" i="3"/>
  <c r="BB638" i="3"/>
  <c r="BB639" i="3"/>
  <c r="BB640" i="3"/>
  <c r="BB641" i="3"/>
  <c r="BB642" i="3"/>
  <c r="BB643" i="3"/>
  <c r="BB644" i="3"/>
  <c r="BB645" i="3"/>
  <c r="BB646" i="3"/>
  <c r="BB647" i="3"/>
  <c r="BB648" i="3"/>
  <c r="BB649" i="3"/>
  <c r="BB650" i="3"/>
  <c r="BB651" i="3"/>
  <c r="BB652" i="3"/>
  <c r="BB653" i="3"/>
  <c r="BB654" i="3"/>
  <c r="BB655" i="3"/>
  <c r="BB656" i="3"/>
  <c r="BB657" i="3"/>
  <c r="BB658" i="3"/>
  <c r="BB659" i="3"/>
  <c r="BB660" i="3"/>
  <c r="BB661" i="3"/>
  <c r="BB662" i="3"/>
  <c r="BB663" i="3"/>
  <c r="BB664" i="3"/>
  <c r="BB665" i="3"/>
  <c r="BB666" i="3"/>
  <c r="BB667" i="3"/>
  <c r="BB668" i="3"/>
  <c r="BB669" i="3"/>
  <c r="BB670" i="3"/>
  <c r="BB671" i="3"/>
  <c r="BB672" i="3"/>
  <c r="BB673" i="3"/>
  <c r="BB674" i="3"/>
  <c r="BB675" i="3"/>
  <c r="BB676" i="3"/>
  <c r="BB677" i="3"/>
  <c r="BB678" i="3"/>
  <c r="BB679" i="3"/>
  <c r="BB680" i="3"/>
  <c r="BB681" i="3"/>
  <c r="BB682" i="3"/>
  <c r="BB683" i="3"/>
  <c r="BB684" i="3"/>
  <c r="BB685" i="3"/>
  <c r="BB686" i="3"/>
  <c r="BB687" i="3"/>
  <c r="BB688" i="3"/>
  <c r="BB689" i="3"/>
  <c r="BB690" i="3"/>
  <c r="BB691" i="3"/>
  <c r="BB692" i="3"/>
  <c r="BB693" i="3"/>
  <c r="BB694" i="3"/>
  <c r="BB695" i="3"/>
  <c r="BB696" i="3"/>
  <c r="BB697" i="3"/>
  <c r="BB698" i="3"/>
  <c r="BB699" i="3"/>
  <c r="BB700" i="3"/>
  <c r="BB701" i="3"/>
  <c r="BB702" i="3"/>
  <c r="BB703" i="3"/>
  <c r="BB704" i="3"/>
  <c r="BB705" i="3"/>
  <c r="BB706" i="3"/>
  <c r="BB707" i="3"/>
  <c r="BB708" i="3"/>
  <c r="BB709" i="3"/>
  <c r="BB710" i="3"/>
  <c r="BB711" i="3"/>
  <c r="BB712" i="3"/>
  <c r="BB713" i="3"/>
  <c r="BB714" i="3"/>
  <c r="BB715" i="3"/>
  <c r="BB716" i="3"/>
  <c r="BB717" i="3"/>
  <c r="BB718" i="3"/>
  <c r="BB719" i="3"/>
  <c r="BB720" i="3"/>
  <c r="BB721" i="3"/>
  <c r="BB722" i="3"/>
  <c r="BB723" i="3"/>
  <c r="BB724" i="3"/>
  <c r="BB725" i="3"/>
  <c r="BB726" i="3"/>
  <c r="BB727" i="3"/>
  <c r="BB728" i="3"/>
  <c r="BB729" i="3"/>
  <c r="BB730" i="3"/>
  <c r="BB731" i="3"/>
  <c r="BB732" i="3"/>
  <c r="BB733" i="3"/>
  <c r="BB734" i="3"/>
  <c r="BB735" i="3"/>
  <c r="BB736" i="3"/>
  <c r="BB737" i="3"/>
  <c r="BB738" i="3"/>
  <c r="BB739" i="3"/>
  <c r="BB740" i="3"/>
  <c r="BB741" i="3"/>
  <c r="BB742" i="3"/>
  <c r="BB743" i="3"/>
  <c r="BB744" i="3"/>
  <c r="BB745" i="3"/>
  <c r="BB746" i="3"/>
  <c r="BB747" i="3"/>
  <c r="BB748" i="3"/>
  <c r="BB749" i="3"/>
  <c r="BB750" i="3"/>
  <c r="BB751" i="3"/>
  <c r="BB752" i="3"/>
  <c r="BB753" i="3"/>
  <c r="BB754" i="3"/>
  <c r="BB755" i="3"/>
  <c r="BB756" i="3"/>
  <c r="BB757" i="3"/>
  <c r="BB758" i="3"/>
  <c r="BB759" i="3"/>
  <c r="BB760" i="3"/>
  <c r="BB761" i="3"/>
  <c r="BB762" i="3"/>
  <c r="BB763" i="3"/>
  <c r="BB764" i="3"/>
  <c r="BB765" i="3"/>
  <c r="BB766" i="3"/>
  <c r="BB767" i="3"/>
  <c r="BB768" i="3"/>
  <c r="BB769" i="3"/>
  <c r="BB770" i="3"/>
  <c r="BB771" i="3"/>
  <c r="BB772" i="3"/>
  <c r="BB773" i="3"/>
  <c r="BB774" i="3"/>
  <c r="BB775" i="3"/>
  <c r="BB776" i="3"/>
  <c r="BB777" i="3"/>
  <c r="BB778" i="3"/>
  <c r="BB779" i="3"/>
  <c r="BB780" i="3"/>
  <c r="BB781" i="3"/>
  <c r="BB782" i="3"/>
  <c r="BB783" i="3"/>
  <c r="BB784" i="3"/>
  <c r="BB785" i="3"/>
  <c r="BB786" i="3"/>
  <c r="BB787" i="3"/>
  <c r="BB788" i="3"/>
  <c r="BB789" i="3"/>
  <c r="BB790" i="3"/>
  <c r="BB791" i="3"/>
  <c r="BB792" i="3"/>
  <c r="BB793" i="3"/>
  <c r="BB794" i="3"/>
  <c r="BB795" i="3"/>
  <c r="BB796" i="3"/>
  <c r="BB797" i="3"/>
  <c r="BB798" i="3"/>
  <c r="BB799" i="3"/>
  <c r="BB800" i="3"/>
  <c r="BB801" i="3"/>
  <c r="BB802" i="3"/>
  <c r="BB803" i="3"/>
  <c r="BB804" i="3"/>
  <c r="BB805" i="3"/>
  <c r="BB806" i="3"/>
  <c r="BB807" i="3"/>
  <c r="BB808" i="3"/>
  <c r="BB809" i="3"/>
  <c r="BB810" i="3"/>
  <c r="BB811" i="3"/>
  <c r="BB812" i="3"/>
  <c r="BB813" i="3"/>
  <c r="BB814" i="3"/>
  <c r="BB815" i="3"/>
  <c r="BB816" i="3"/>
  <c r="BB817" i="3"/>
  <c r="BB818" i="3"/>
  <c r="BB819" i="3"/>
  <c r="BB820" i="3"/>
  <c r="BB821" i="3"/>
  <c r="BB822" i="3"/>
  <c r="BB823" i="3"/>
  <c r="BB824" i="3"/>
  <c r="BB825" i="3"/>
  <c r="BB826" i="3"/>
  <c r="BB827" i="3"/>
  <c r="BB828" i="3"/>
  <c r="BB829" i="3"/>
  <c r="BB830" i="3"/>
  <c r="BB831" i="3"/>
  <c r="BB832" i="3"/>
  <c r="BB833" i="3"/>
  <c r="BB834" i="3"/>
  <c r="AZ358" i="3"/>
  <c r="AZ359" i="3"/>
  <c r="AZ360" i="3"/>
  <c r="AZ361" i="3"/>
  <c r="AZ362" i="3"/>
  <c r="AZ363" i="3"/>
  <c r="AZ364" i="3"/>
  <c r="AZ365" i="3"/>
  <c r="AZ366" i="3"/>
  <c r="AZ367" i="3"/>
  <c r="AZ368" i="3"/>
  <c r="AZ369" i="3"/>
  <c r="AZ370" i="3"/>
  <c r="AZ371" i="3"/>
  <c r="AZ372" i="3"/>
  <c r="AZ373" i="3"/>
  <c r="AZ374" i="3"/>
  <c r="AZ375" i="3"/>
  <c r="AZ376" i="3"/>
  <c r="AZ377" i="3"/>
  <c r="AZ378" i="3"/>
  <c r="AZ379" i="3"/>
  <c r="AZ380" i="3"/>
  <c r="AZ381" i="3"/>
  <c r="AZ382" i="3"/>
  <c r="AZ383" i="3"/>
  <c r="AZ384" i="3"/>
  <c r="AZ385" i="3"/>
  <c r="AZ386" i="3"/>
  <c r="AZ387" i="3"/>
  <c r="AZ388" i="3"/>
  <c r="AZ389" i="3"/>
  <c r="AZ390" i="3"/>
  <c r="AZ391" i="3"/>
  <c r="AZ392" i="3"/>
  <c r="AZ393" i="3"/>
  <c r="AZ394" i="3"/>
  <c r="AZ395" i="3"/>
  <c r="AZ396" i="3"/>
  <c r="AZ397" i="3"/>
  <c r="AZ398" i="3"/>
  <c r="AZ399" i="3"/>
  <c r="AZ400" i="3"/>
  <c r="AZ401" i="3"/>
  <c r="AZ402" i="3"/>
  <c r="AZ403" i="3"/>
  <c r="AZ404" i="3"/>
  <c r="AZ405" i="3"/>
  <c r="AZ406" i="3"/>
  <c r="AZ407" i="3"/>
  <c r="AZ408" i="3"/>
  <c r="AZ409" i="3"/>
  <c r="AZ410" i="3"/>
  <c r="AZ411" i="3"/>
  <c r="AZ412" i="3"/>
  <c r="AZ413" i="3"/>
  <c r="AZ414" i="3"/>
  <c r="AZ415" i="3"/>
  <c r="AZ416" i="3"/>
  <c r="AZ417" i="3"/>
  <c r="AZ418" i="3"/>
  <c r="AZ419" i="3"/>
  <c r="AZ420" i="3"/>
  <c r="AZ421" i="3"/>
  <c r="AZ422" i="3"/>
  <c r="AZ423" i="3"/>
  <c r="AZ424" i="3"/>
  <c r="AZ425" i="3"/>
  <c r="AZ426" i="3"/>
  <c r="AZ427" i="3"/>
  <c r="AZ428" i="3"/>
  <c r="AZ429" i="3"/>
  <c r="AZ430" i="3"/>
  <c r="AZ431" i="3"/>
  <c r="AZ432" i="3"/>
  <c r="AZ433" i="3"/>
  <c r="AZ434" i="3"/>
  <c r="AZ435" i="3"/>
  <c r="AZ436" i="3"/>
  <c r="AZ437" i="3"/>
  <c r="AZ438" i="3"/>
  <c r="AZ439" i="3"/>
  <c r="AZ440" i="3"/>
  <c r="AZ441" i="3"/>
  <c r="AZ442" i="3"/>
  <c r="AZ443" i="3"/>
  <c r="AZ444" i="3"/>
  <c r="AZ445" i="3"/>
  <c r="AZ446" i="3"/>
  <c r="AZ447" i="3"/>
  <c r="AZ448" i="3"/>
  <c r="AZ449" i="3"/>
  <c r="AZ450" i="3"/>
  <c r="AZ451" i="3"/>
  <c r="AZ452" i="3"/>
  <c r="AZ453" i="3"/>
  <c r="AZ454" i="3"/>
  <c r="AZ455" i="3"/>
  <c r="AZ456" i="3"/>
  <c r="AZ457" i="3"/>
  <c r="AZ458" i="3"/>
  <c r="AZ459" i="3"/>
  <c r="AZ460" i="3"/>
  <c r="AZ461" i="3"/>
  <c r="AZ462" i="3"/>
  <c r="AZ463" i="3"/>
  <c r="AZ464" i="3"/>
  <c r="AZ465" i="3"/>
  <c r="AZ466" i="3"/>
  <c r="AZ467" i="3"/>
  <c r="AZ468" i="3"/>
  <c r="AZ469" i="3"/>
  <c r="AZ470" i="3"/>
  <c r="AZ471" i="3"/>
  <c r="AZ472" i="3"/>
  <c r="AZ473" i="3"/>
  <c r="AZ474" i="3"/>
  <c r="AZ475" i="3"/>
  <c r="AZ476" i="3"/>
  <c r="AZ477" i="3"/>
  <c r="AZ478" i="3"/>
  <c r="AZ479" i="3"/>
  <c r="AZ480" i="3"/>
  <c r="AZ481" i="3"/>
  <c r="AZ482" i="3"/>
  <c r="AZ483" i="3"/>
  <c r="AZ484" i="3"/>
  <c r="AZ485" i="3"/>
  <c r="AZ486" i="3"/>
  <c r="AZ487" i="3"/>
  <c r="AZ488" i="3"/>
  <c r="AZ489" i="3"/>
  <c r="AZ490" i="3"/>
  <c r="AZ491" i="3"/>
  <c r="AZ492" i="3"/>
  <c r="AZ493" i="3"/>
  <c r="AZ494" i="3"/>
  <c r="AZ495" i="3"/>
  <c r="AZ496" i="3"/>
  <c r="AZ497" i="3"/>
  <c r="AZ498" i="3"/>
  <c r="AZ499" i="3"/>
  <c r="AZ500" i="3"/>
  <c r="AZ501" i="3"/>
  <c r="AZ502" i="3"/>
  <c r="AZ503" i="3"/>
  <c r="AZ504" i="3"/>
  <c r="AZ505" i="3"/>
  <c r="AZ506" i="3"/>
  <c r="AZ507" i="3"/>
  <c r="AZ508" i="3"/>
  <c r="AZ509" i="3"/>
  <c r="AZ510" i="3"/>
  <c r="AZ511" i="3"/>
  <c r="AZ512" i="3"/>
  <c r="AZ513" i="3"/>
  <c r="AZ514" i="3"/>
  <c r="AZ515" i="3"/>
  <c r="AZ516" i="3"/>
  <c r="AZ517" i="3"/>
  <c r="AZ518" i="3"/>
  <c r="AZ519" i="3"/>
  <c r="AZ520" i="3"/>
  <c r="AZ521" i="3"/>
  <c r="AZ522" i="3"/>
  <c r="AZ523" i="3"/>
  <c r="AZ524" i="3"/>
  <c r="AZ525" i="3"/>
  <c r="AZ526" i="3"/>
  <c r="AZ527" i="3"/>
  <c r="AZ528" i="3"/>
  <c r="AZ529" i="3"/>
  <c r="AZ530" i="3"/>
  <c r="AZ531" i="3"/>
  <c r="AZ532" i="3"/>
  <c r="AZ533" i="3"/>
  <c r="AZ534" i="3"/>
  <c r="AZ535" i="3"/>
  <c r="AZ536" i="3"/>
  <c r="AZ537" i="3"/>
  <c r="AZ538" i="3"/>
  <c r="AZ539" i="3"/>
  <c r="AZ540" i="3"/>
  <c r="AZ541" i="3"/>
  <c r="AZ542" i="3"/>
  <c r="AZ543" i="3"/>
  <c r="AZ544" i="3"/>
  <c r="AZ545" i="3"/>
  <c r="AZ546" i="3"/>
  <c r="AZ547" i="3"/>
  <c r="AZ548" i="3"/>
  <c r="AZ549" i="3"/>
  <c r="AZ550" i="3"/>
  <c r="AZ551" i="3"/>
  <c r="AZ552" i="3"/>
  <c r="AZ553" i="3"/>
  <c r="AZ554" i="3"/>
  <c r="AZ555" i="3"/>
  <c r="AZ556" i="3"/>
  <c r="AZ557" i="3"/>
  <c r="AZ558" i="3"/>
  <c r="AZ559" i="3"/>
  <c r="AZ560" i="3"/>
  <c r="AZ561" i="3"/>
  <c r="AZ562" i="3"/>
  <c r="AZ563" i="3"/>
  <c r="AZ564" i="3"/>
  <c r="AZ565" i="3"/>
  <c r="AZ566" i="3"/>
  <c r="AZ567" i="3"/>
  <c r="AZ568" i="3"/>
  <c r="AZ569" i="3"/>
  <c r="AZ570" i="3"/>
  <c r="AZ571" i="3"/>
  <c r="AZ572" i="3"/>
  <c r="AZ573" i="3"/>
  <c r="AZ574" i="3"/>
  <c r="AZ575" i="3"/>
  <c r="AZ576" i="3"/>
  <c r="AZ577" i="3"/>
  <c r="AZ578" i="3"/>
  <c r="AZ579" i="3"/>
  <c r="AZ580" i="3"/>
  <c r="AZ581" i="3"/>
  <c r="AZ582" i="3"/>
  <c r="AZ583" i="3"/>
  <c r="AZ584" i="3"/>
  <c r="AZ585" i="3"/>
  <c r="AZ586" i="3"/>
  <c r="AZ587" i="3"/>
  <c r="AZ588" i="3"/>
  <c r="AZ589" i="3"/>
  <c r="AZ590" i="3"/>
  <c r="AZ591" i="3"/>
  <c r="AZ592" i="3"/>
  <c r="AZ593" i="3"/>
  <c r="AZ594" i="3"/>
  <c r="AZ595" i="3"/>
  <c r="AZ596" i="3"/>
  <c r="AZ597" i="3"/>
  <c r="AZ598" i="3"/>
  <c r="AZ599" i="3"/>
  <c r="AZ600" i="3"/>
  <c r="AZ601" i="3"/>
  <c r="AZ602" i="3"/>
  <c r="AZ603" i="3"/>
  <c r="AZ604" i="3"/>
  <c r="AZ605" i="3"/>
  <c r="AZ606" i="3"/>
  <c r="AZ607" i="3"/>
  <c r="AZ608" i="3"/>
  <c r="AZ609" i="3"/>
  <c r="AZ610" i="3"/>
  <c r="AZ611" i="3"/>
  <c r="AZ612" i="3"/>
  <c r="AZ613" i="3"/>
  <c r="AZ614" i="3"/>
  <c r="AZ615" i="3"/>
  <c r="AZ616" i="3"/>
  <c r="AZ617" i="3"/>
  <c r="AZ618" i="3"/>
  <c r="AZ619" i="3"/>
  <c r="AZ620" i="3"/>
  <c r="AZ621" i="3"/>
  <c r="AZ622" i="3"/>
  <c r="AZ623" i="3"/>
  <c r="AZ624" i="3"/>
  <c r="AZ625" i="3"/>
  <c r="AZ626" i="3"/>
  <c r="AZ627" i="3"/>
  <c r="AZ628" i="3"/>
  <c r="AZ629" i="3"/>
  <c r="AZ630" i="3"/>
  <c r="AZ631" i="3"/>
  <c r="AZ632" i="3"/>
  <c r="AZ633" i="3"/>
  <c r="AZ634" i="3"/>
  <c r="AZ635" i="3"/>
  <c r="AZ636" i="3"/>
  <c r="AZ637" i="3"/>
  <c r="AZ638" i="3"/>
  <c r="AZ639" i="3"/>
  <c r="AZ640" i="3"/>
  <c r="AZ641" i="3"/>
  <c r="AZ642" i="3"/>
  <c r="AZ643" i="3"/>
  <c r="AZ644" i="3"/>
  <c r="AZ645" i="3"/>
  <c r="AZ646" i="3"/>
  <c r="AZ647" i="3"/>
  <c r="AZ648" i="3"/>
  <c r="AZ649" i="3"/>
  <c r="AZ650" i="3"/>
  <c r="AZ651" i="3"/>
  <c r="AZ652" i="3"/>
  <c r="AZ653" i="3"/>
  <c r="AZ654" i="3"/>
  <c r="AZ655" i="3"/>
  <c r="AZ656" i="3"/>
  <c r="AZ657" i="3"/>
  <c r="AZ658" i="3"/>
  <c r="AZ659" i="3"/>
  <c r="AZ660" i="3"/>
  <c r="AZ661" i="3"/>
  <c r="AZ662" i="3"/>
  <c r="AZ663" i="3"/>
  <c r="AZ664" i="3"/>
  <c r="AZ665" i="3"/>
  <c r="AZ666" i="3"/>
  <c r="AZ667" i="3"/>
  <c r="AZ668" i="3"/>
  <c r="AZ669" i="3"/>
  <c r="AZ670" i="3"/>
  <c r="AZ671" i="3"/>
  <c r="AZ672" i="3"/>
  <c r="AZ673" i="3"/>
  <c r="AZ674" i="3"/>
  <c r="AZ675" i="3"/>
  <c r="AZ676" i="3"/>
  <c r="AZ677" i="3"/>
  <c r="AZ678" i="3"/>
  <c r="AZ679" i="3"/>
  <c r="AZ680" i="3"/>
  <c r="AZ681" i="3"/>
  <c r="AZ682" i="3"/>
  <c r="AZ683" i="3"/>
  <c r="AZ684" i="3"/>
  <c r="AZ685" i="3"/>
  <c r="AZ686" i="3"/>
  <c r="AZ687" i="3"/>
  <c r="AZ688" i="3"/>
  <c r="AZ689" i="3"/>
  <c r="AZ690" i="3"/>
  <c r="AZ691" i="3"/>
  <c r="AZ692" i="3"/>
  <c r="AZ693" i="3"/>
  <c r="AZ694" i="3"/>
  <c r="AZ695" i="3"/>
  <c r="AZ696" i="3"/>
  <c r="AZ697" i="3"/>
  <c r="AZ698" i="3"/>
  <c r="AZ699" i="3"/>
  <c r="AZ700" i="3"/>
  <c r="AZ701" i="3"/>
  <c r="AZ702" i="3"/>
  <c r="AZ703" i="3"/>
  <c r="AZ704" i="3"/>
  <c r="AZ705" i="3"/>
  <c r="AZ706" i="3"/>
  <c r="AZ707" i="3"/>
  <c r="AZ708" i="3"/>
  <c r="AZ709" i="3"/>
  <c r="AZ710" i="3"/>
  <c r="AZ711" i="3"/>
  <c r="AZ712" i="3"/>
  <c r="AZ713" i="3"/>
  <c r="AZ714" i="3"/>
  <c r="AZ715" i="3"/>
  <c r="AZ716" i="3"/>
  <c r="AZ717" i="3"/>
  <c r="AZ718" i="3"/>
  <c r="AZ719" i="3"/>
  <c r="AZ720" i="3"/>
  <c r="AZ721" i="3"/>
  <c r="AZ722" i="3"/>
  <c r="AZ723" i="3"/>
  <c r="AZ724" i="3"/>
  <c r="AZ725" i="3"/>
  <c r="AZ726" i="3"/>
  <c r="AZ727" i="3"/>
  <c r="AZ728" i="3"/>
  <c r="AZ729" i="3"/>
  <c r="AZ730" i="3"/>
  <c r="AZ731" i="3"/>
  <c r="AZ732" i="3"/>
  <c r="AZ733" i="3"/>
  <c r="AZ734" i="3"/>
  <c r="AZ735" i="3"/>
  <c r="AZ736" i="3"/>
  <c r="AZ737" i="3"/>
  <c r="AZ738" i="3"/>
  <c r="AZ739" i="3"/>
  <c r="AZ740" i="3"/>
  <c r="AZ741" i="3"/>
  <c r="AZ742" i="3"/>
  <c r="AZ743" i="3"/>
  <c r="AZ744" i="3"/>
  <c r="AZ745" i="3"/>
  <c r="AZ746" i="3"/>
  <c r="AZ747" i="3"/>
  <c r="AZ748" i="3"/>
  <c r="AZ749" i="3"/>
  <c r="AZ750" i="3"/>
  <c r="AZ751" i="3"/>
  <c r="AZ752" i="3"/>
  <c r="AZ753" i="3"/>
  <c r="AZ754" i="3"/>
  <c r="AZ755" i="3"/>
  <c r="AZ756" i="3"/>
  <c r="AZ757" i="3"/>
  <c r="AZ758" i="3"/>
  <c r="AZ759" i="3"/>
  <c r="AZ760" i="3"/>
  <c r="AZ761" i="3"/>
  <c r="AZ762" i="3"/>
  <c r="AZ763" i="3"/>
  <c r="AZ764" i="3"/>
  <c r="AZ765" i="3"/>
  <c r="AZ766" i="3"/>
  <c r="AZ767" i="3"/>
  <c r="AZ768" i="3"/>
  <c r="AZ769" i="3"/>
  <c r="AZ770" i="3"/>
  <c r="AZ771" i="3"/>
  <c r="AZ772" i="3"/>
  <c r="AZ773" i="3"/>
  <c r="AZ774" i="3"/>
  <c r="AZ775" i="3"/>
  <c r="AZ776" i="3"/>
  <c r="AZ777" i="3"/>
  <c r="AZ778" i="3"/>
  <c r="AZ779" i="3"/>
  <c r="AZ780" i="3"/>
  <c r="AZ781" i="3"/>
  <c r="AZ782" i="3"/>
  <c r="AZ783" i="3"/>
  <c r="AZ784" i="3"/>
  <c r="AZ785" i="3"/>
  <c r="AZ786" i="3"/>
  <c r="AZ787" i="3"/>
  <c r="AZ788" i="3"/>
  <c r="AZ789" i="3"/>
  <c r="AZ790" i="3"/>
  <c r="AZ791" i="3"/>
  <c r="AZ792" i="3"/>
  <c r="AZ793" i="3"/>
  <c r="AZ794" i="3"/>
  <c r="AZ795" i="3"/>
  <c r="AZ796" i="3"/>
  <c r="AZ797" i="3"/>
  <c r="AZ798" i="3"/>
  <c r="AZ799" i="3"/>
  <c r="AZ800" i="3"/>
  <c r="AZ801" i="3"/>
  <c r="AZ802" i="3"/>
  <c r="AZ803" i="3"/>
  <c r="AZ804" i="3"/>
  <c r="AZ805" i="3"/>
  <c r="AZ806" i="3"/>
  <c r="AZ807" i="3"/>
  <c r="AZ808" i="3"/>
  <c r="AZ809" i="3"/>
  <c r="AZ810" i="3"/>
  <c r="AZ811" i="3"/>
  <c r="AZ812" i="3"/>
  <c r="AZ813" i="3"/>
  <c r="AZ814" i="3"/>
  <c r="AZ815" i="3"/>
  <c r="AZ816" i="3"/>
  <c r="AZ817" i="3"/>
  <c r="AZ818" i="3"/>
  <c r="AZ819" i="3"/>
  <c r="AZ820" i="3"/>
  <c r="AZ821" i="3"/>
  <c r="AZ822" i="3"/>
  <c r="AZ823" i="3"/>
  <c r="AZ824" i="3"/>
  <c r="AZ825" i="3"/>
  <c r="AZ826" i="3"/>
  <c r="AZ827" i="3"/>
  <c r="AZ828" i="3"/>
  <c r="AZ829" i="3"/>
  <c r="AZ830" i="3"/>
  <c r="AZ831" i="3"/>
  <c r="AZ832" i="3"/>
  <c r="AZ833" i="3"/>
  <c r="AZ834" i="3"/>
  <c r="AX358" i="3"/>
  <c r="AX359" i="3"/>
  <c r="AX360" i="3"/>
  <c r="AX361" i="3"/>
  <c r="AX362" i="3"/>
  <c r="AX363" i="3"/>
  <c r="AX364" i="3"/>
  <c r="AX365" i="3"/>
  <c r="AX366" i="3"/>
  <c r="AX367" i="3"/>
  <c r="AX368" i="3"/>
  <c r="AX369" i="3"/>
  <c r="AX370" i="3"/>
  <c r="AX371" i="3"/>
  <c r="AX372" i="3"/>
  <c r="AX373" i="3"/>
  <c r="AX374" i="3"/>
  <c r="AX375" i="3"/>
  <c r="AX376" i="3"/>
  <c r="AX377" i="3"/>
  <c r="AX378" i="3"/>
  <c r="AX379" i="3"/>
  <c r="AX380" i="3"/>
  <c r="AX381" i="3"/>
  <c r="AX382" i="3"/>
  <c r="AX383" i="3"/>
  <c r="AX384" i="3"/>
  <c r="AX385" i="3"/>
  <c r="AX386" i="3"/>
  <c r="AX387" i="3"/>
  <c r="AX388" i="3"/>
  <c r="AX389" i="3"/>
  <c r="AX390" i="3"/>
  <c r="AX391" i="3"/>
  <c r="AX392" i="3"/>
  <c r="AX393" i="3"/>
  <c r="AX394" i="3"/>
  <c r="AX395" i="3"/>
  <c r="AX396" i="3"/>
  <c r="AX397" i="3"/>
  <c r="AX398" i="3"/>
  <c r="AX399" i="3"/>
  <c r="AX400" i="3"/>
  <c r="AX401" i="3"/>
  <c r="AX402" i="3"/>
  <c r="AX403" i="3"/>
  <c r="AX404" i="3"/>
  <c r="AX405" i="3"/>
  <c r="AX406" i="3"/>
  <c r="AX407" i="3"/>
  <c r="AX408" i="3"/>
  <c r="AX409" i="3"/>
  <c r="AX410" i="3"/>
  <c r="AX411" i="3"/>
  <c r="AX412" i="3"/>
  <c r="AX413" i="3"/>
  <c r="AX414" i="3"/>
  <c r="AX415" i="3"/>
  <c r="AX416" i="3"/>
  <c r="AX417" i="3"/>
  <c r="AX418" i="3"/>
  <c r="AX419" i="3"/>
  <c r="AX420" i="3"/>
  <c r="AX421" i="3"/>
  <c r="AX422" i="3"/>
  <c r="AX423" i="3"/>
  <c r="AX424" i="3"/>
  <c r="AX425" i="3"/>
  <c r="AX426" i="3"/>
  <c r="AX427" i="3"/>
  <c r="AX428" i="3"/>
  <c r="AX429" i="3"/>
  <c r="AX430" i="3"/>
  <c r="AX431" i="3"/>
  <c r="AX432" i="3"/>
  <c r="AX433" i="3"/>
  <c r="AX434" i="3"/>
  <c r="AX435" i="3"/>
  <c r="AX436" i="3"/>
  <c r="AX437" i="3"/>
  <c r="AX438" i="3"/>
  <c r="AX439" i="3"/>
  <c r="AX440" i="3"/>
  <c r="AX441" i="3"/>
  <c r="AX442" i="3"/>
  <c r="AX443" i="3"/>
  <c r="AX444" i="3"/>
  <c r="AX445" i="3"/>
  <c r="AX446" i="3"/>
  <c r="AX447" i="3"/>
  <c r="AX448" i="3"/>
  <c r="AX449" i="3"/>
  <c r="AX450" i="3"/>
  <c r="AX451" i="3"/>
  <c r="AX452" i="3"/>
  <c r="AX453" i="3"/>
  <c r="AX454" i="3"/>
  <c r="AX455" i="3"/>
  <c r="AX456" i="3"/>
  <c r="AX457" i="3"/>
  <c r="AX458" i="3"/>
  <c r="AX459" i="3"/>
  <c r="AX460" i="3"/>
  <c r="AX461" i="3"/>
  <c r="AX462" i="3"/>
  <c r="AX463" i="3"/>
  <c r="AX464" i="3"/>
  <c r="AX465" i="3"/>
  <c r="AX466" i="3"/>
  <c r="AX467" i="3"/>
  <c r="AX468" i="3"/>
  <c r="AX469" i="3"/>
  <c r="AX470" i="3"/>
  <c r="AX471" i="3"/>
  <c r="AX472" i="3"/>
  <c r="AX473" i="3"/>
  <c r="AX474" i="3"/>
  <c r="AX475" i="3"/>
  <c r="AX476" i="3"/>
  <c r="AX477" i="3"/>
  <c r="AX478" i="3"/>
  <c r="AX479" i="3"/>
  <c r="AX480" i="3"/>
  <c r="AX481" i="3"/>
  <c r="AX482" i="3"/>
  <c r="AX483" i="3"/>
  <c r="AX484" i="3"/>
  <c r="AX485" i="3"/>
  <c r="AX486" i="3"/>
  <c r="AX487" i="3"/>
  <c r="AX488" i="3"/>
  <c r="AX489" i="3"/>
  <c r="AX490" i="3"/>
  <c r="AX491" i="3"/>
  <c r="AX492" i="3"/>
  <c r="AX493" i="3"/>
  <c r="AX494" i="3"/>
  <c r="AX495" i="3"/>
  <c r="AX496" i="3"/>
  <c r="AX497" i="3"/>
  <c r="AX498" i="3"/>
  <c r="AX499" i="3"/>
  <c r="AX500" i="3"/>
  <c r="AX501" i="3"/>
  <c r="AX502" i="3"/>
  <c r="AX503" i="3"/>
  <c r="AX504" i="3"/>
  <c r="AX505" i="3"/>
  <c r="AX506" i="3"/>
  <c r="AX507" i="3"/>
  <c r="AX508" i="3"/>
  <c r="AX509" i="3"/>
  <c r="AX510" i="3"/>
  <c r="AX511" i="3"/>
  <c r="AX512" i="3"/>
  <c r="AX513" i="3"/>
  <c r="AX514" i="3"/>
  <c r="AX515" i="3"/>
  <c r="AX516" i="3"/>
  <c r="AX517" i="3"/>
  <c r="AX518" i="3"/>
  <c r="AX519" i="3"/>
  <c r="AX520" i="3"/>
  <c r="AX521" i="3"/>
  <c r="AX522" i="3"/>
  <c r="AX523" i="3"/>
  <c r="AX524" i="3"/>
  <c r="AX525" i="3"/>
  <c r="AX526" i="3"/>
  <c r="AX527" i="3"/>
  <c r="AX528" i="3"/>
  <c r="AX529" i="3"/>
  <c r="AX530" i="3"/>
  <c r="AX531" i="3"/>
  <c r="AX532" i="3"/>
  <c r="AX533" i="3"/>
  <c r="AX534" i="3"/>
  <c r="AX535" i="3"/>
  <c r="AX536" i="3"/>
  <c r="AX537" i="3"/>
  <c r="AX538" i="3"/>
  <c r="AX539" i="3"/>
  <c r="AX540" i="3"/>
  <c r="AX541" i="3"/>
  <c r="AX542" i="3"/>
  <c r="AX543" i="3"/>
  <c r="AX544" i="3"/>
  <c r="AX545" i="3"/>
  <c r="AX546" i="3"/>
  <c r="AX547" i="3"/>
  <c r="AX548" i="3"/>
  <c r="AX549" i="3"/>
  <c r="AX550" i="3"/>
  <c r="AX551" i="3"/>
  <c r="AX552" i="3"/>
  <c r="AX553" i="3"/>
  <c r="AX554" i="3"/>
  <c r="AX555" i="3"/>
  <c r="AX556" i="3"/>
  <c r="AX557" i="3"/>
  <c r="AX558" i="3"/>
  <c r="AX559" i="3"/>
  <c r="AX560" i="3"/>
  <c r="AX561" i="3"/>
  <c r="AX562" i="3"/>
  <c r="AX563" i="3"/>
  <c r="AX564" i="3"/>
  <c r="AX565" i="3"/>
  <c r="AX566" i="3"/>
  <c r="AX567" i="3"/>
  <c r="AX568" i="3"/>
  <c r="AX569" i="3"/>
  <c r="AX570" i="3"/>
  <c r="AX571" i="3"/>
  <c r="AX572" i="3"/>
  <c r="AX573" i="3"/>
  <c r="AX574" i="3"/>
  <c r="AX575" i="3"/>
  <c r="AX576" i="3"/>
  <c r="AX577" i="3"/>
  <c r="AX578" i="3"/>
  <c r="AX579" i="3"/>
  <c r="AX580" i="3"/>
  <c r="AX581" i="3"/>
  <c r="AX582" i="3"/>
  <c r="AX583" i="3"/>
  <c r="AX584" i="3"/>
  <c r="AX585" i="3"/>
  <c r="AX586" i="3"/>
  <c r="AX587" i="3"/>
  <c r="AX588" i="3"/>
  <c r="AX589" i="3"/>
  <c r="AX590" i="3"/>
  <c r="AX591" i="3"/>
  <c r="AX592" i="3"/>
  <c r="AX593" i="3"/>
  <c r="AX594" i="3"/>
  <c r="AX595" i="3"/>
  <c r="AX596" i="3"/>
  <c r="AX597" i="3"/>
  <c r="AX598" i="3"/>
  <c r="AX599" i="3"/>
  <c r="AX600" i="3"/>
  <c r="AX601" i="3"/>
  <c r="AX602" i="3"/>
  <c r="AX603" i="3"/>
  <c r="AX604" i="3"/>
  <c r="AX605" i="3"/>
  <c r="AX606" i="3"/>
  <c r="AX607" i="3"/>
  <c r="AX608" i="3"/>
  <c r="AX609" i="3"/>
  <c r="AX610" i="3"/>
  <c r="AX611" i="3"/>
  <c r="AX612" i="3"/>
  <c r="AX613" i="3"/>
  <c r="AX614" i="3"/>
  <c r="AX615" i="3"/>
  <c r="AX616" i="3"/>
  <c r="AX617" i="3"/>
  <c r="AX618" i="3"/>
  <c r="AX619" i="3"/>
  <c r="AX620" i="3"/>
  <c r="AX621" i="3"/>
  <c r="AX622" i="3"/>
  <c r="AX623" i="3"/>
  <c r="AX624" i="3"/>
  <c r="AX625" i="3"/>
  <c r="AX626" i="3"/>
  <c r="AX627" i="3"/>
  <c r="AX628" i="3"/>
  <c r="AX629" i="3"/>
  <c r="AX630" i="3"/>
  <c r="AX631" i="3"/>
  <c r="AX632" i="3"/>
  <c r="AX633" i="3"/>
  <c r="AX634" i="3"/>
  <c r="AX635" i="3"/>
  <c r="AX636" i="3"/>
  <c r="AX637" i="3"/>
  <c r="AX638" i="3"/>
  <c r="AX639" i="3"/>
  <c r="AX640" i="3"/>
  <c r="AX641" i="3"/>
  <c r="AX642" i="3"/>
  <c r="AX643" i="3"/>
  <c r="AX644" i="3"/>
  <c r="AX645" i="3"/>
  <c r="AX646" i="3"/>
  <c r="AX647" i="3"/>
  <c r="AX648" i="3"/>
  <c r="AX649" i="3"/>
  <c r="AX650" i="3"/>
  <c r="AX651" i="3"/>
  <c r="AX652" i="3"/>
  <c r="AX653" i="3"/>
  <c r="AX654" i="3"/>
  <c r="AX655" i="3"/>
  <c r="AX656" i="3"/>
  <c r="AX657" i="3"/>
  <c r="AX658" i="3"/>
  <c r="AX659" i="3"/>
  <c r="AX660" i="3"/>
  <c r="AX661" i="3"/>
  <c r="AX662" i="3"/>
  <c r="AX663" i="3"/>
  <c r="AX664" i="3"/>
  <c r="AX665" i="3"/>
  <c r="AX666" i="3"/>
  <c r="AX667" i="3"/>
  <c r="AX668" i="3"/>
  <c r="AX669" i="3"/>
  <c r="AX670" i="3"/>
  <c r="AX671" i="3"/>
  <c r="AX672" i="3"/>
  <c r="AX673" i="3"/>
  <c r="AX674" i="3"/>
  <c r="AX675" i="3"/>
  <c r="AX676" i="3"/>
  <c r="AX677" i="3"/>
  <c r="AX678" i="3"/>
  <c r="AX679" i="3"/>
  <c r="AX680" i="3"/>
  <c r="AX681" i="3"/>
  <c r="AX682" i="3"/>
  <c r="AX683" i="3"/>
  <c r="AX684" i="3"/>
  <c r="AX685" i="3"/>
  <c r="AX686" i="3"/>
  <c r="AX687" i="3"/>
  <c r="AX688" i="3"/>
  <c r="AX689" i="3"/>
  <c r="AX690" i="3"/>
  <c r="AX691" i="3"/>
  <c r="AX692" i="3"/>
  <c r="AX693" i="3"/>
  <c r="AX694" i="3"/>
  <c r="AX695" i="3"/>
  <c r="AX696" i="3"/>
  <c r="AX697" i="3"/>
  <c r="AX698" i="3"/>
  <c r="AX699" i="3"/>
  <c r="AX700" i="3"/>
  <c r="AX701" i="3"/>
  <c r="AX702" i="3"/>
  <c r="AX703" i="3"/>
  <c r="AX704" i="3"/>
  <c r="AX705" i="3"/>
  <c r="AX706" i="3"/>
  <c r="AX707" i="3"/>
  <c r="AX708" i="3"/>
  <c r="AX709" i="3"/>
  <c r="AX710" i="3"/>
  <c r="AX711" i="3"/>
  <c r="AX712" i="3"/>
  <c r="AX713" i="3"/>
  <c r="AX714" i="3"/>
  <c r="AX715" i="3"/>
  <c r="AX716" i="3"/>
  <c r="AX717" i="3"/>
  <c r="AX718" i="3"/>
  <c r="AX719" i="3"/>
  <c r="AX720" i="3"/>
  <c r="AX721" i="3"/>
  <c r="AX722" i="3"/>
  <c r="AX723" i="3"/>
  <c r="AX724" i="3"/>
  <c r="AX725" i="3"/>
  <c r="AX726" i="3"/>
  <c r="AX727" i="3"/>
  <c r="AX728" i="3"/>
  <c r="AX729" i="3"/>
  <c r="AX730" i="3"/>
  <c r="AX731" i="3"/>
  <c r="AX732" i="3"/>
  <c r="AX733" i="3"/>
  <c r="AX734" i="3"/>
  <c r="AX735" i="3"/>
  <c r="AX736" i="3"/>
  <c r="AX737" i="3"/>
  <c r="AX738" i="3"/>
  <c r="AX739" i="3"/>
  <c r="AX740" i="3"/>
  <c r="AX741" i="3"/>
  <c r="AX742" i="3"/>
  <c r="AX743" i="3"/>
  <c r="AX744" i="3"/>
  <c r="AX745" i="3"/>
  <c r="AX746" i="3"/>
  <c r="AX747" i="3"/>
  <c r="AX748" i="3"/>
  <c r="AX749" i="3"/>
  <c r="AX750" i="3"/>
  <c r="AX751" i="3"/>
  <c r="AX752" i="3"/>
  <c r="AX753" i="3"/>
  <c r="AX754" i="3"/>
  <c r="AX755" i="3"/>
  <c r="AX756" i="3"/>
  <c r="AX757" i="3"/>
  <c r="AX758" i="3"/>
  <c r="AX759" i="3"/>
  <c r="AX760" i="3"/>
  <c r="AX761" i="3"/>
  <c r="AX762" i="3"/>
  <c r="AX763" i="3"/>
  <c r="AX764" i="3"/>
  <c r="AX765" i="3"/>
  <c r="AX766" i="3"/>
  <c r="AX767" i="3"/>
  <c r="AX768" i="3"/>
  <c r="AX769" i="3"/>
  <c r="AX770" i="3"/>
  <c r="AX771" i="3"/>
  <c r="AX772" i="3"/>
  <c r="AX773" i="3"/>
  <c r="AX774" i="3"/>
  <c r="AX775" i="3"/>
  <c r="AX776" i="3"/>
  <c r="AX777" i="3"/>
  <c r="AX778" i="3"/>
  <c r="AX779" i="3"/>
  <c r="AX780" i="3"/>
  <c r="AX781" i="3"/>
  <c r="AX782" i="3"/>
  <c r="AX783" i="3"/>
  <c r="AX784" i="3"/>
  <c r="AX785" i="3"/>
  <c r="AX786" i="3"/>
  <c r="AX787" i="3"/>
  <c r="AX788" i="3"/>
  <c r="AX789" i="3"/>
  <c r="AX790" i="3"/>
  <c r="AX791" i="3"/>
  <c r="AX792" i="3"/>
  <c r="AX793" i="3"/>
  <c r="AX794" i="3"/>
  <c r="AX795" i="3"/>
  <c r="AX796" i="3"/>
  <c r="AX797" i="3"/>
  <c r="AX798" i="3"/>
  <c r="AX799" i="3"/>
  <c r="AX800" i="3"/>
  <c r="AX801" i="3"/>
  <c r="AX802" i="3"/>
  <c r="AX803" i="3"/>
  <c r="AX804" i="3"/>
  <c r="AX805" i="3"/>
  <c r="AX806" i="3"/>
  <c r="AX807" i="3"/>
  <c r="AX808" i="3"/>
  <c r="AX809" i="3"/>
  <c r="AX810" i="3"/>
  <c r="AX811" i="3"/>
  <c r="AX812" i="3"/>
  <c r="AX813" i="3"/>
  <c r="AX814" i="3"/>
  <c r="AX815" i="3"/>
  <c r="AX816" i="3"/>
  <c r="AX817" i="3"/>
  <c r="AX818" i="3"/>
  <c r="AX819" i="3"/>
  <c r="AX820" i="3"/>
  <c r="AX821" i="3"/>
  <c r="AX822" i="3"/>
  <c r="AX823" i="3"/>
  <c r="AX824" i="3"/>
  <c r="AX825" i="3"/>
  <c r="AX826" i="3"/>
  <c r="AX827" i="3"/>
  <c r="AX828" i="3"/>
  <c r="AX829" i="3"/>
  <c r="AX830" i="3"/>
  <c r="AX831" i="3"/>
  <c r="AX832" i="3"/>
  <c r="AX833" i="3"/>
  <c r="AX834" i="3"/>
  <c r="AV358" i="3"/>
  <c r="AV359" i="3"/>
  <c r="AV360" i="3"/>
  <c r="AV361" i="3"/>
  <c r="AV362" i="3"/>
  <c r="AV363" i="3"/>
  <c r="AV364" i="3"/>
  <c r="AV365" i="3"/>
  <c r="AV366" i="3"/>
  <c r="AV367" i="3"/>
  <c r="AV368" i="3"/>
  <c r="AV369" i="3"/>
  <c r="AV370" i="3"/>
  <c r="AV371" i="3"/>
  <c r="AV372" i="3"/>
  <c r="AV373" i="3"/>
  <c r="AV374" i="3"/>
  <c r="AV375" i="3"/>
  <c r="AV376" i="3"/>
  <c r="AV377" i="3"/>
  <c r="AV378" i="3"/>
  <c r="AV379" i="3"/>
  <c r="AV380" i="3"/>
  <c r="AV381" i="3"/>
  <c r="AV382" i="3"/>
  <c r="AV383" i="3"/>
  <c r="AV384" i="3"/>
  <c r="AV385" i="3"/>
  <c r="AV386" i="3"/>
  <c r="AV387" i="3"/>
  <c r="AV388" i="3"/>
  <c r="AV389" i="3"/>
  <c r="AV390" i="3"/>
  <c r="AV391" i="3"/>
  <c r="AV392" i="3"/>
  <c r="AV393" i="3"/>
  <c r="AV394" i="3"/>
  <c r="AV395" i="3"/>
  <c r="AV396" i="3"/>
  <c r="AV397" i="3"/>
  <c r="AV398" i="3"/>
  <c r="AV399" i="3"/>
  <c r="AV400" i="3"/>
  <c r="AV401" i="3"/>
  <c r="AV402" i="3"/>
  <c r="AV403" i="3"/>
  <c r="AV404" i="3"/>
  <c r="AV405" i="3"/>
  <c r="AV406" i="3"/>
  <c r="AV407" i="3"/>
  <c r="AV408" i="3"/>
  <c r="AV409" i="3"/>
  <c r="AV410" i="3"/>
  <c r="AV411" i="3"/>
  <c r="AV412" i="3"/>
  <c r="AV413" i="3"/>
  <c r="AV414" i="3"/>
  <c r="AV415" i="3"/>
  <c r="AV416" i="3"/>
  <c r="AV417" i="3"/>
  <c r="AV418" i="3"/>
  <c r="AV419" i="3"/>
  <c r="AV420" i="3"/>
  <c r="AV421" i="3"/>
  <c r="AV422" i="3"/>
  <c r="AV423" i="3"/>
  <c r="AV424" i="3"/>
  <c r="AV425" i="3"/>
  <c r="AV426" i="3"/>
  <c r="AV427" i="3"/>
  <c r="AV428" i="3"/>
  <c r="AV429" i="3"/>
  <c r="AV430" i="3"/>
  <c r="AV431" i="3"/>
  <c r="AV432" i="3"/>
  <c r="AV433" i="3"/>
  <c r="AV434" i="3"/>
  <c r="AV435" i="3"/>
  <c r="AV436" i="3"/>
  <c r="AV437" i="3"/>
  <c r="AV438" i="3"/>
  <c r="AV439" i="3"/>
  <c r="AV440" i="3"/>
  <c r="AV441" i="3"/>
  <c r="AV442" i="3"/>
  <c r="AV443" i="3"/>
  <c r="AV444" i="3"/>
  <c r="AV445" i="3"/>
  <c r="AV446" i="3"/>
  <c r="AV447" i="3"/>
  <c r="AV448" i="3"/>
  <c r="AV449" i="3"/>
  <c r="AV450" i="3"/>
  <c r="AV451" i="3"/>
  <c r="AV452" i="3"/>
  <c r="AV453" i="3"/>
  <c r="AV454" i="3"/>
  <c r="AV455" i="3"/>
  <c r="AV456" i="3"/>
  <c r="AV457" i="3"/>
  <c r="AV458" i="3"/>
  <c r="AV459" i="3"/>
  <c r="AV460" i="3"/>
  <c r="AV461" i="3"/>
  <c r="AV462" i="3"/>
  <c r="AV463" i="3"/>
  <c r="AV464" i="3"/>
  <c r="AV465" i="3"/>
  <c r="AV466" i="3"/>
  <c r="AV467" i="3"/>
  <c r="AV468" i="3"/>
  <c r="AV469" i="3"/>
  <c r="AV470" i="3"/>
  <c r="AV471" i="3"/>
  <c r="AV472" i="3"/>
  <c r="AV473" i="3"/>
  <c r="AV474" i="3"/>
  <c r="AV475" i="3"/>
  <c r="AV476" i="3"/>
  <c r="AV477" i="3"/>
  <c r="AV478" i="3"/>
  <c r="AV479" i="3"/>
  <c r="AV480" i="3"/>
  <c r="AV481" i="3"/>
  <c r="AV482" i="3"/>
  <c r="AV483" i="3"/>
  <c r="AV484" i="3"/>
  <c r="AV485" i="3"/>
  <c r="AV486" i="3"/>
  <c r="AV487" i="3"/>
  <c r="AV488" i="3"/>
  <c r="AV489" i="3"/>
  <c r="AV490" i="3"/>
  <c r="AV491" i="3"/>
  <c r="AV492" i="3"/>
  <c r="AV493" i="3"/>
  <c r="AV494" i="3"/>
  <c r="AV495" i="3"/>
  <c r="AV496" i="3"/>
  <c r="AV497" i="3"/>
  <c r="AV498" i="3"/>
  <c r="AV499" i="3"/>
  <c r="AV500" i="3"/>
  <c r="AV501" i="3"/>
  <c r="AV502" i="3"/>
  <c r="AV503" i="3"/>
  <c r="AV504" i="3"/>
  <c r="AV505" i="3"/>
  <c r="AV506" i="3"/>
  <c r="AV507" i="3"/>
  <c r="AV508" i="3"/>
  <c r="AV509" i="3"/>
  <c r="AV510" i="3"/>
  <c r="AV511" i="3"/>
  <c r="AV512" i="3"/>
  <c r="AV513" i="3"/>
  <c r="AV514" i="3"/>
  <c r="AV515" i="3"/>
  <c r="AV516" i="3"/>
  <c r="AV517" i="3"/>
  <c r="AV518" i="3"/>
  <c r="AV519" i="3"/>
  <c r="AV520" i="3"/>
  <c r="AV521" i="3"/>
  <c r="AV522" i="3"/>
  <c r="AV523" i="3"/>
  <c r="AV524" i="3"/>
  <c r="AV525" i="3"/>
  <c r="AV526" i="3"/>
  <c r="AV527" i="3"/>
  <c r="AV528" i="3"/>
  <c r="AV529" i="3"/>
  <c r="AV530" i="3"/>
  <c r="AV531" i="3"/>
  <c r="AV532" i="3"/>
  <c r="AV533" i="3"/>
  <c r="AV534" i="3"/>
  <c r="AV535" i="3"/>
  <c r="AV536" i="3"/>
  <c r="AV537" i="3"/>
  <c r="AV538" i="3"/>
  <c r="AV539" i="3"/>
  <c r="AV540" i="3"/>
  <c r="AV541" i="3"/>
  <c r="AV542" i="3"/>
  <c r="AV543" i="3"/>
  <c r="AV544" i="3"/>
  <c r="AV545" i="3"/>
  <c r="AV546" i="3"/>
  <c r="AV547" i="3"/>
  <c r="AV548" i="3"/>
  <c r="AV549" i="3"/>
  <c r="AV550" i="3"/>
  <c r="AV551" i="3"/>
  <c r="AV552" i="3"/>
  <c r="AV553" i="3"/>
  <c r="AV554" i="3"/>
  <c r="AV555" i="3"/>
  <c r="AV556" i="3"/>
  <c r="AV557" i="3"/>
  <c r="AV558" i="3"/>
  <c r="AV559" i="3"/>
  <c r="AV560" i="3"/>
  <c r="AV561" i="3"/>
  <c r="AV562" i="3"/>
  <c r="AV563" i="3"/>
  <c r="AV564" i="3"/>
  <c r="AV565" i="3"/>
  <c r="AV566" i="3"/>
  <c r="AV567" i="3"/>
  <c r="AV568" i="3"/>
  <c r="AV569" i="3"/>
  <c r="AV570" i="3"/>
  <c r="AV571" i="3"/>
  <c r="AV572" i="3"/>
  <c r="AV573" i="3"/>
  <c r="AV574" i="3"/>
  <c r="AV575" i="3"/>
  <c r="AV576" i="3"/>
  <c r="AV577" i="3"/>
  <c r="AV578" i="3"/>
  <c r="AV579" i="3"/>
  <c r="AV580" i="3"/>
  <c r="AV581" i="3"/>
  <c r="AV582" i="3"/>
  <c r="AV583" i="3"/>
  <c r="AV584" i="3"/>
  <c r="AV585" i="3"/>
  <c r="AV586" i="3"/>
  <c r="AV587" i="3"/>
  <c r="AV588" i="3"/>
  <c r="AV589" i="3"/>
  <c r="AV590" i="3"/>
  <c r="AV591" i="3"/>
  <c r="AV592" i="3"/>
  <c r="AV593" i="3"/>
  <c r="AV594" i="3"/>
  <c r="AV595" i="3"/>
  <c r="AV596" i="3"/>
  <c r="AV597" i="3"/>
  <c r="AV598" i="3"/>
  <c r="AV599" i="3"/>
  <c r="AV600" i="3"/>
  <c r="AV601" i="3"/>
  <c r="AV602" i="3"/>
  <c r="AV603" i="3"/>
  <c r="AV604" i="3"/>
  <c r="AV605" i="3"/>
  <c r="AV606" i="3"/>
  <c r="AV607" i="3"/>
  <c r="AV608" i="3"/>
  <c r="AV609" i="3"/>
  <c r="AV610" i="3"/>
  <c r="AV611" i="3"/>
  <c r="AV612" i="3"/>
  <c r="AV613" i="3"/>
  <c r="AV614" i="3"/>
  <c r="AV615" i="3"/>
  <c r="AV616" i="3"/>
  <c r="AV617" i="3"/>
  <c r="AV618" i="3"/>
  <c r="AV619" i="3"/>
  <c r="AV620" i="3"/>
  <c r="AV621" i="3"/>
  <c r="AV622" i="3"/>
  <c r="AV623" i="3"/>
  <c r="AV624" i="3"/>
  <c r="AV625" i="3"/>
  <c r="AV626" i="3"/>
  <c r="AV627" i="3"/>
  <c r="AV628" i="3"/>
  <c r="AV629" i="3"/>
  <c r="AV630" i="3"/>
  <c r="AV631" i="3"/>
  <c r="AV632" i="3"/>
  <c r="AV633" i="3"/>
  <c r="AV634" i="3"/>
  <c r="AV635" i="3"/>
  <c r="AV636" i="3"/>
  <c r="AV637" i="3"/>
  <c r="AV638" i="3"/>
  <c r="AV639" i="3"/>
  <c r="AV640" i="3"/>
  <c r="AV641" i="3"/>
  <c r="AV642" i="3"/>
  <c r="AV643" i="3"/>
  <c r="AV644" i="3"/>
  <c r="AV645" i="3"/>
  <c r="AV646" i="3"/>
  <c r="AV647" i="3"/>
  <c r="AV648" i="3"/>
  <c r="AV649" i="3"/>
  <c r="AV650" i="3"/>
  <c r="AV651" i="3"/>
  <c r="AV652" i="3"/>
  <c r="AV653" i="3"/>
  <c r="AV654" i="3"/>
  <c r="AV655" i="3"/>
  <c r="AV656" i="3"/>
  <c r="AV657" i="3"/>
  <c r="AV658" i="3"/>
  <c r="AV659" i="3"/>
  <c r="AV660" i="3"/>
  <c r="AV661" i="3"/>
  <c r="AV662" i="3"/>
  <c r="AV663" i="3"/>
  <c r="AV664" i="3"/>
  <c r="AV665" i="3"/>
  <c r="AV666" i="3"/>
  <c r="AV667" i="3"/>
  <c r="AV668" i="3"/>
  <c r="AV669" i="3"/>
  <c r="AV670" i="3"/>
  <c r="AV671" i="3"/>
  <c r="AV672" i="3"/>
  <c r="AV673" i="3"/>
  <c r="AV674" i="3"/>
  <c r="AV675" i="3"/>
  <c r="AV676" i="3"/>
  <c r="AV677" i="3"/>
  <c r="AV678" i="3"/>
  <c r="AV679" i="3"/>
  <c r="AV680" i="3"/>
  <c r="AV681" i="3"/>
  <c r="AV682" i="3"/>
  <c r="AV683" i="3"/>
  <c r="AV684" i="3"/>
  <c r="AV685" i="3"/>
  <c r="AV686" i="3"/>
  <c r="AV687" i="3"/>
  <c r="AV688" i="3"/>
  <c r="AV689" i="3"/>
  <c r="AV690" i="3"/>
  <c r="AV691" i="3"/>
  <c r="AV692" i="3"/>
  <c r="AV693" i="3"/>
  <c r="AV694" i="3"/>
  <c r="AV695" i="3"/>
  <c r="AV696" i="3"/>
  <c r="AV697" i="3"/>
  <c r="AV698" i="3"/>
  <c r="AV699" i="3"/>
  <c r="AV700" i="3"/>
  <c r="AV701" i="3"/>
  <c r="AV702" i="3"/>
  <c r="AV703" i="3"/>
  <c r="AV704" i="3"/>
  <c r="AV705" i="3"/>
  <c r="AV706" i="3"/>
  <c r="AV707" i="3"/>
  <c r="AV708" i="3"/>
  <c r="AV709" i="3"/>
  <c r="AV710" i="3"/>
  <c r="AV711" i="3"/>
  <c r="AV712" i="3"/>
  <c r="AV713" i="3"/>
  <c r="AV714" i="3"/>
  <c r="AV715" i="3"/>
  <c r="AV716" i="3"/>
  <c r="AV717" i="3"/>
  <c r="AV718" i="3"/>
  <c r="AV719" i="3"/>
  <c r="AV720" i="3"/>
  <c r="AV721" i="3"/>
  <c r="AV722" i="3"/>
  <c r="AV723" i="3"/>
  <c r="AV724" i="3"/>
  <c r="AV725" i="3"/>
  <c r="AV726" i="3"/>
  <c r="AV727" i="3"/>
  <c r="AV728" i="3"/>
  <c r="AV729" i="3"/>
  <c r="AV730" i="3"/>
  <c r="AV731" i="3"/>
  <c r="AV732" i="3"/>
  <c r="AV733" i="3"/>
  <c r="AV734" i="3"/>
  <c r="AV735" i="3"/>
  <c r="AV736" i="3"/>
  <c r="AV737" i="3"/>
  <c r="AV738" i="3"/>
  <c r="AV739" i="3"/>
  <c r="AV740" i="3"/>
  <c r="AV741" i="3"/>
  <c r="AV742" i="3"/>
  <c r="AV743" i="3"/>
  <c r="AV744" i="3"/>
  <c r="AV745" i="3"/>
  <c r="AV746" i="3"/>
  <c r="AV747" i="3"/>
  <c r="AV748" i="3"/>
  <c r="AV749" i="3"/>
  <c r="AV750" i="3"/>
  <c r="AV751" i="3"/>
  <c r="AV752" i="3"/>
  <c r="AV753" i="3"/>
  <c r="AV754" i="3"/>
  <c r="AV755" i="3"/>
  <c r="AV756" i="3"/>
  <c r="AV757" i="3"/>
  <c r="AV758" i="3"/>
  <c r="AV759" i="3"/>
  <c r="AV760" i="3"/>
  <c r="AV761" i="3"/>
  <c r="AV762" i="3"/>
  <c r="AV763" i="3"/>
  <c r="AV764" i="3"/>
  <c r="AV765" i="3"/>
  <c r="AV766" i="3"/>
  <c r="AV767" i="3"/>
  <c r="AV768" i="3"/>
  <c r="AV769" i="3"/>
  <c r="AV770" i="3"/>
  <c r="AV771" i="3"/>
  <c r="AV772" i="3"/>
  <c r="AV773" i="3"/>
  <c r="AV774" i="3"/>
  <c r="AV775" i="3"/>
  <c r="AV776" i="3"/>
  <c r="AV777" i="3"/>
  <c r="AV778" i="3"/>
  <c r="AV779" i="3"/>
  <c r="AV780" i="3"/>
  <c r="AV781" i="3"/>
  <c r="AV782" i="3"/>
  <c r="AV783" i="3"/>
  <c r="AV784" i="3"/>
  <c r="AV785" i="3"/>
  <c r="AV786" i="3"/>
  <c r="AV787" i="3"/>
  <c r="AV788" i="3"/>
  <c r="AV789" i="3"/>
  <c r="AV790" i="3"/>
  <c r="AV791" i="3"/>
  <c r="AV792" i="3"/>
  <c r="AV793" i="3"/>
  <c r="AV794" i="3"/>
  <c r="AV795" i="3"/>
  <c r="AV796" i="3"/>
  <c r="AV797" i="3"/>
  <c r="AV798" i="3"/>
  <c r="AV799" i="3"/>
  <c r="AV800" i="3"/>
  <c r="AV801" i="3"/>
  <c r="AV802" i="3"/>
  <c r="AV803" i="3"/>
  <c r="AV804" i="3"/>
  <c r="AV805" i="3"/>
  <c r="AV806" i="3"/>
  <c r="AV807" i="3"/>
  <c r="AV808" i="3"/>
  <c r="AV809" i="3"/>
  <c r="AV810" i="3"/>
  <c r="AV811" i="3"/>
  <c r="AV812" i="3"/>
  <c r="AV813" i="3"/>
  <c r="AV814" i="3"/>
  <c r="AV815" i="3"/>
  <c r="AV816" i="3"/>
  <c r="AV817" i="3"/>
  <c r="AV818" i="3"/>
  <c r="AV819" i="3"/>
  <c r="AV820" i="3"/>
  <c r="AV821" i="3"/>
  <c r="AV822" i="3"/>
  <c r="AV823" i="3"/>
  <c r="AV824" i="3"/>
  <c r="AV825" i="3"/>
  <c r="AV826" i="3"/>
  <c r="AV827" i="3"/>
  <c r="AV828" i="3"/>
  <c r="AV829" i="3"/>
  <c r="AV830" i="3"/>
  <c r="AV831" i="3"/>
  <c r="AV832" i="3"/>
  <c r="AV833" i="3"/>
  <c r="AV834" i="3"/>
  <c r="AT358" i="3"/>
  <c r="AT359" i="3"/>
  <c r="AT360" i="3"/>
  <c r="AT361" i="3"/>
  <c r="AT362" i="3"/>
  <c r="AT363" i="3"/>
  <c r="AT364" i="3"/>
  <c r="AT365" i="3"/>
  <c r="AT366" i="3"/>
  <c r="AT367" i="3"/>
  <c r="AT368" i="3"/>
  <c r="AT369" i="3"/>
  <c r="AT370" i="3"/>
  <c r="AT371" i="3"/>
  <c r="AT372" i="3"/>
  <c r="AT373" i="3"/>
  <c r="AT374" i="3"/>
  <c r="AT375" i="3"/>
  <c r="AT376" i="3"/>
  <c r="AT377" i="3"/>
  <c r="AT378" i="3"/>
  <c r="AT379" i="3"/>
  <c r="AT380" i="3"/>
  <c r="AT381" i="3"/>
  <c r="AT382" i="3"/>
  <c r="AT383" i="3"/>
  <c r="AT384" i="3"/>
  <c r="AT385" i="3"/>
  <c r="AT386" i="3"/>
  <c r="AT387" i="3"/>
  <c r="AT388" i="3"/>
  <c r="AT389" i="3"/>
  <c r="AT390" i="3"/>
  <c r="AT391" i="3"/>
  <c r="AT392" i="3"/>
  <c r="AT393" i="3"/>
  <c r="AT394" i="3"/>
  <c r="AT395" i="3"/>
  <c r="AT396" i="3"/>
  <c r="AT397" i="3"/>
  <c r="AT398" i="3"/>
  <c r="AT399" i="3"/>
  <c r="AT400" i="3"/>
  <c r="AT401" i="3"/>
  <c r="AT402" i="3"/>
  <c r="AT403" i="3"/>
  <c r="AT404" i="3"/>
  <c r="AT405" i="3"/>
  <c r="AT406" i="3"/>
  <c r="AT407" i="3"/>
  <c r="AT408" i="3"/>
  <c r="AT409" i="3"/>
  <c r="AT410" i="3"/>
  <c r="AT411" i="3"/>
  <c r="AT412" i="3"/>
  <c r="AT413" i="3"/>
  <c r="AT414" i="3"/>
  <c r="AT415" i="3"/>
  <c r="AT416" i="3"/>
  <c r="AT417" i="3"/>
  <c r="AT418" i="3"/>
  <c r="AT419" i="3"/>
  <c r="AT420" i="3"/>
  <c r="AT421" i="3"/>
  <c r="AT422" i="3"/>
  <c r="AT423" i="3"/>
  <c r="AT424" i="3"/>
  <c r="AT425" i="3"/>
  <c r="AT426" i="3"/>
  <c r="AT427" i="3"/>
  <c r="AT428" i="3"/>
  <c r="AT429" i="3"/>
  <c r="AT430" i="3"/>
  <c r="AT431" i="3"/>
  <c r="AT432" i="3"/>
  <c r="AT433" i="3"/>
  <c r="AT434" i="3"/>
  <c r="AT435" i="3"/>
  <c r="AT436" i="3"/>
  <c r="AT437" i="3"/>
  <c r="AT438" i="3"/>
  <c r="AT439" i="3"/>
  <c r="AT440" i="3"/>
  <c r="AT441" i="3"/>
  <c r="AT442" i="3"/>
  <c r="AT443" i="3"/>
  <c r="AT444" i="3"/>
  <c r="AT445" i="3"/>
  <c r="AT446" i="3"/>
  <c r="AT447" i="3"/>
  <c r="AT448" i="3"/>
  <c r="AT449" i="3"/>
  <c r="AT450" i="3"/>
  <c r="AT451" i="3"/>
  <c r="AT452" i="3"/>
  <c r="AT453" i="3"/>
  <c r="AT454" i="3"/>
  <c r="AT455" i="3"/>
  <c r="AT456" i="3"/>
  <c r="AT457" i="3"/>
  <c r="AT458" i="3"/>
  <c r="AT459" i="3"/>
  <c r="AT460" i="3"/>
  <c r="AT461" i="3"/>
  <c r="AT462" i="3"/>
  <c r="AT463" i="3"/>
  <c r="AT464" i="3"/>
  <c r="AT465" i="3"/>
  <c r="AT466" i="3"/>
  <c r="AT467" i="3"/>
  <c r="AT468" i="3"/>
  <c r="AT469" i="3"/>
  <c r="AT470" i="3"/>
  <c r="AT471" i="3"/>
  <c r="AT472" i="3"/>
  <c r="AT473" i="3"/>
  <c r="AT474" i="3"/>
  <c r="AT475" i="3"/>
  <c r="AT476" i="3"/>
  <c r="AT477" i="3"/>
  <c r="AT478" i="3"/>
  <c r="AT479" i="3"/>
  <c r="AT480" i="3"/>
  <c r="AT481" i="3"/>
  <c r="AT482" i="3"/>
  <c r="AT483" i="3"/>
  <c r="AT484" i="3"/>
  <c r="AT485" i="3"/>
  <c r="AT486" i="3"/>
  <c r="AT487" i="3"/>
  <c r="AT488" i="3"/>
  <c r="AT489" i="3"/>
  <c r="AT490" i="3"/>
  <c r="AT491" i="3"/>
  <c r="AT492" i="3"/>
  <c r="AT493" i="3"/>
  <c r="AT494" i="3"/>
  <c r="AT495" i="3"/>
  <c r="AT496" i="3"/>
  <c r="AT497" i="3"/>
  <c r="AT498" i="3"/>
  <c r="AT499" i="3"/>
  <c r="AT500" i="3"/>
  <c r="AT501" i="3"/>
  <c r="AT502" i="3"/>
  <c r="AT503" i="3"/>
  <c r="AT504" i="3"/>
  <c r="AT505" i="3"/>
  <c r="AT506" i="3"/>
  <c r="AT507" i="3"/>
  <c r="AT508" i="3"/>
  <c r="AT509" i="3"/>
  <c r="AT510" i="3"/>
  <c r="AT511" i="3"/>
  <c r="AT512" i="3"/>
  <c r="AT513" i="3"/>
  <c r="AT514" i="3"/>
  <c r="AT515" i="3"/>
  <c r="AT516" i="3"/>
  <c r="AT517" i="3"/>
  <c r="AT518" i="3"/>
  <c r="AT519" i="3"/>
  <c r="AT520" i="3"/>
  <c r="AT521" i="3"/>
  <c r="AT522" i="3"/>
  <c r="AT523" i="3"/>
  <c r="AT524" i="3"/>
  <c r="AT525" i="3"/>
  <c r="AT526" i="3"/>
  <c r="AT527" i="3"/>
  <c r="AT528" i="3"/>
  <c r="AT529" i="3"/>
  <c r="AT530" i="3"/>
  <c r="AT531" i="3"/>
  <c r="AT532" i="3"/>
  <c r="AT533" i="3"/>
  <c r="AT534" i="3"/>
  <c r="AT535" i="3"/>
  <c r="AT536" i="3"/>
  <c r="AT537" i="3"/>
  <c r="AT538" i="3"/>
  <c r="AT539" i="3"/>
  <c r="AT540" i="3"/>
  <c r="AT541" i="3"/>
  <c r="AT542" i="3"/>
  <c r="AT543" i="3"/>
  <c r="AT544" i="3"/>
  <c r="AT545" i="3"/>
  <c r="AT546" i="3"/>
  <c r="AT547" i="3"/>
  <c r="AT548" i="3"/>
  <c r="AT549" i="3"/>
  <c r="AT550" i="3"/>
  <c r="AT551" i="3"/>
  <c r="AT552" i="3"/>
  <c r="AT553" i="3"/>
  <c r="AT554" i="3"/>
  <c r="AT555" i="3"/>
  <c r="AT556" i="3"/>
  <c r="AT557" i="3"/>
  <c r="AT558" i="3"/>
  <c r="AT559" i="3"/>
  <c r="AT560" i="3"/>
  <c r="AT561" i="3"/>
  <c r="AT562" i="3"/>
  <c r="AT563" i="3"/>
  <c r="AT564" i="3"/>
  <c r="AT565" i="3"/>
  <c r="AT566" i="3"/>
  <c r="AT567" i="3"/>
  <c r="AT568" i="3"/>
  <c r="AT569" i="3"/>
  <c r="AT570" i="3"/>
  <c r="AT571" i="3"/>
  <c r="AT572" i="3"/>
  <c r="AT573" i="3"/>
  <c r="AT574" i="3"/>
  <c r="AT575" i="3"/>
  <c r="AT576" i="3"/>
  <c r="AT577" i="3"/>
  <c r="AT578" i="3"/>
  <c r="AT579" i="3"/>
  <c r="AT580" i="3"/>
  <c r="AT581" i="3"/>
  <c r="AT582" i="3"/>
  <c r="AT583" i="3"/>
  <c r="AT584" i="3"/>
  <c r="AT585" i="3"/>
  <c r="AT586" i="3"/>
  <c r="AT587" i="3"/>
  <c r="AT588" i="3"/>
  <c r="AT589" i="3"/>
  <c r="AT590" i="3"/>
  <c r="AT591" i="3"/>
  <c r="AT592" i="3"/>
  <c r="AT593" i="3"/>
  <c r="AT594" i="3"/>
  <c r="AT595" i="3"/>
  <c r="AT596" i="3"/>
  <c r="AT597" i="3"/>
  <c r="AT598" i="3"/>
  <c r="AT599" i="3"/>
  <c r="AT600" i="3"/>
  <c r="AT601" i="3"/>
  <c r="AT602" i="3"/>
  <c r="AT603" i="3"/>
  <c r="AT604" i="3"/>
  <c r="AT605" i="3"/>
  <c r="AT606" i="3"/>
  <c r="AT607" i="3"/>
  <c r="AT608" i="3"/>
  <c r="AT609" i="3"/>
  <c r="AT610" i="3"/>
  <c r="AT611" i="3"/>
  <c r="AT612" i="3"/>
  <c r="AT613" i="3"/>
  <c r="AT614" i="3"/>
  <c r="AT615" i="3"/>
  <c r="AT616" i="3"/>
  <c r="AT617" i="3"/>
  <c r="AT618" i="3"/>
  <c r="AT619" i="3"/>
  <c r="AT620" i="3"/>
  <c r="AT621" i="3"/>
  <c r="AT622" i="3"/>
  <c r="AT623" i="3"/>
  <c r="AT624" i="3"/>
  <c r="AT625" i="3"/>
  <c r="AT626" i="3"/>
  <c r="AT627" i="3"/>
  <c r="AT628" i="3"/>
  <c r="AT629" i="3"/>
  <c r="AT630" i="3"/>
  <c r="AT631" i="3"/>
  <c r="AT632" i="3"/>
  <c r="AT633" i="3"/>
  <c r="AT634" i="3"/>
  <c r="AT635" i="3"/>
  <c r="AT636" i="3"/>
  <c r="AT637" i="3"/>
  <c r="AT638" i="3"/>
  <c r="AT639" i="3"/>
  <c r="AT640" i="3"/>
  <c r="AT641" i="3"/>
  <c r="AT642" i="3"/>
  <c r="AT643" i="3"/>
  <c r="AT644" i="3"/>
  <c r="AT645" i="3"/>
  <c r="AT646" i="3"/>
  <c r="AT647" i="3"/>
  <c r="AT648" i="3"/>
  <c r="AT649" i="3"/>
  <c r="AT650" i="3"/>
  <c r="AT651" i="3"/>
  <c r="AT652" i="3"/>
  <c r="AT653" i="3"/>
  <c r="AT654" i="3"/>
  <c r="AT655" i="3"/>
  <c r="AT656" i="3"/>
  <c r="AT657" i="3"/>
  <c r="AT658" i="3"/>
  <c r="AT659" i="3"/>
  <c r="AT660" i="3"/>
  <c r="AT661" i="3"/>
  <c r="AT662" i="3"/>
  <c r="AT663" i="3"/>
  <c r="AT664" i="3"/>
  <c r="AT665" i="3"/>
  <c r="AT666" i="3"/>
  <c r="AT667" i="3"/>
  <c r="AT668" i="3"/>
  <c r="AT669" i="3"/>
  <c r="AT670" i="3"/>
  <c r="AT671" i="3"/>
  <c r="AT672" i="3"/>
  <c r="AT673" i="3"/>
  <c r="AT674" i="3"/>
  <c r="AT675" i="3"/>
  <c r="AT676" i="3"/>
  <c r="AT677" i="3"/>
  <c r="AT678" i="3"/>
  <c r="AT679" i="3"/>
  <c r="AT680" i="3"/>
  <c r="AT681" i="3"/>
  <c r="AT682" i="3"/>
  <c r="AT683" i="3"/>
  <c r="AT684" i="3"/>
  <c r="AT685" i="3"/>
  <c r="AT686" i="3"/>
  <c r="AT687" i="3"/>
  <c r="AT688" i="3"/>
  <c r="AT689" i="3"/>
  <c r="AT690" i="3"/>
  <c r="AT691" i="3"/>
  <c r="AT692" i="3"/>
  <c r="AT693" i="3"/>
  <c r="AT694" i="3"/>
  <c r="AT695" i="3"/>
  <c r="AT696" i="3"/>
  <c r="AT697" i="3"/>
  <c r="AT698" i="3"/>
  <c r="AT699" i="3"/>
  <c r="AT700" i="3"/>
  <c r="AT701" i="3"/>
  <c r="AT702" i="3"/>
  <c r="AT703" i="3"/>
  <c r="AT704" i="3"/>
  <c r="AT705" i="3"/>
  <c r="AT706" i="3"/>
  <c r="AT707" i="3"/>
  <c r="AT708" i="3"/>
  <c r="AT709" i="3"/>
  <c r="AT710" i="3"/>
  <c r="AT711" i="3"/>
  <c r="AT712" i="3"/>
  <c r="AT713" i="3"/>
  <c r="AT714" i="3"/>
  <c r="AT715" i="3"/>
  <c r="AT716" i="3"/>
  <c r="AT717" i="3"/>
  <c r="AT718" i="3"/>
  <c r="AT719" i="3"/>
  <c r="AT720" i="3"/>
  <c r="AT721" i="3"/>
  <c r="AT722" i="3"/>
  <c r="AT723" i="3"/>
  <c r="AT724" i="3"/>
  <c r="AT725" i="3"/>
  <c r="AT726" i="3"/>
  <c r="AT727" i="3"/>
  <c r="AT728" i="3"/>
  <c r="AT729" i="3"/>
  <c r="AT730" i="3"/>
  <c r="AT731" i="3"/>
  <c r="AT732" i="3"/>
  <c r="AT733" i="3"/>
  <c r="AT734" i="3"/>
  <c r="AT735" i="3"/>
  <c r="AT736" i="3"/>
  <c r="AT737" i="3"/>
  <c r="AT738" i="3"/>
  <c r="AT739" i="3"/>
  <c r="AT740" i="3"/>
  <c r="AT741" i="3"/>
  <c r="AT742" i="3"/>
  <c r="AT743" i="3"/>
  <c r="AT744" i="3"/>
  <c r="AT745" i="3"/>
  <c r="AT746" i="3"/>
  <c r="AT747" i="3"/>
  <c r="AT748" i="3"/>
  <c r="AT749" i="3"/>
  <c r="AT750" i="3"/>
  <c r="AT751" i="3"/>
  <c r="AT752" i="3"/>
  <c r="AT753" i="3"/>
  <c r="AT754" i="3"/>
  <c r="AT755" i="3"/>
  <c r="AT756" i="3"/>
  <c r="AT757" i="3"/>
  <c r="AT758" i="3"/>
  <c r="AT759" i="3"/>
  <c r="AT760" i="3"/>
  <c r="AT761" i="3"/>
  <c r="AT762" i="3"/>
  <c r="AT763" i="3"/>
  <c r="AT764" i="3"/>
  <c r="AT765" i="3"/>
  <c r="AT766" i="3"/>
  <c r="AT767" i="3"/>
  <c r="AT768" i="3"/>
  <c r="AT769" i="3"/>
  <c r="AT770" i="3"/>
  <c r="AT771" i="3"/>
  <c r="AT772" i="3"/>
  <c r="AT773" i="3"/>
  <c r="AT774" i="3"/>
  <c r="AT775" i="3"/>
  <c r="AT776" i="3"/>
  <c r="AT777" i="3"/>
  <c r="AT778" i="3"/>
  <c r="AT779" i="3"/>
  <c r="AT780" i="3"/>
  <c r="AT781" i="3"/>
  <c r="AT782" i="3"/>
  <c r="AT783" i="3"/>
  <c r="AT784" i="3"/>
  <c r="AT785" i="3"/>
  <c r="AT786" i="3"/>
  <c r="AT787" i="3"/>
  <c r="AT788" i="3"/>
  <c r="AT789" i="3"/>
  <c r="AT790" i="3"/>
  <c r="AT791" i="3"/>
  <c r="AT792" i="3"/>
  <c r="AT793" i="3"/>
  <c r="AT794" i="3"/>
  <c r="AT795" i="3"/>
  <c r="AT796" i="3"/>
  <c r="AT797" i="3"/>
  <c r="AT798" i="3"/>
  <c r="AT799" i="3"/>
  <c r="AT800" i="3"/>
  <c r="AT801" i="3"/>
  <c r="AT802" i="3"/>
  <c r="AT803" i="3"/>
  <c r="AT804" i="3"/>
  <c r="AT805" i="3"/>
  <c r="AT806" i="3"/>
  <c r="AT807" i="3"/>
  <c r="AT808" i="3"/>
  <c r="AT809" i="3"/>
  <c r="AT810" i="3"/>
  <c r="AT811" i="3"/>
  <c r="AT812" i="3"/>
  <c r="AT813" i="3"/>
  <c r="AT814" i="3"/>
  <c r="AT815" i="3"/>
  <c r="AT816" i="3"/>
  <c r="AT817" i="3"/>
  <c r="AT818" i="3"/>
  <c r="AT819" i="3"/>
  <c r="AT820" i="3"/>
  <c r="AT821" i="3"/>
  <c r="AT822" i="3"/>
  <c r="AT823" i="3"/>
  <c r="AT824" i="3"/>
  <c r="AT825" i="3"/>
  <c r="AT826" i="3"/>
  <c r="AT827" i="3"/>
  <c r="AT828" i="3"/>
  <c r="AT829" i="3"/>
  <c r="AT830" i="3"/>
  <c r="AT831" i="3"/>
  <c r="AT832" i="3"/>
  <c r="AT833" i="3"/>
  <c r="AT834" i="3"/>
  <c r="AR357" i="3"/>
  <c r="AR358" i="3"/>
  <c r="AR359" i="3"/>
  <c r="AR360" i="3"/>
  <c r="AR361" i="3"/>
  <c r="AR362" i="3"/>
  <c r="AR363" i="3"/>
  <c r="AR364" i="3"/>
  <c r="AR365" i="3"/>
  <c r="AR366" i="3"/>
  <c r="AR367" i="3"/>
  <c r="AR368" i="3"/>
  <c r="AR369" i="3"/>
  <c r="AR370" i="3"/>
  <c r="AR371" i="3"/>
  <c r="AR372" i="3"/>
  <c r="AR373" i="3"/>
  <c r="AR374" i="3"/>
  <c r="AR375" i="3"/>
  <c r="AR376" i="3"/>
  <c r="AR377" i="3"/>
  <c r="AR378" i="3"/>
  <c r="AR379" i="3"/>
  <c r="AR380" i="3"/>
  <c r="AR381" i="3"/>
  <c r="AR382" i="3"/>
  <c r="AR383" i="3"/>
  <c r="AR384" i="3"/>
  <c r="AR385" i="3"/>
  <c r="AR386" i="3"/>
  <c r="AR387" i="3"/>
  <c r="AR388" i="3"/>
  <c r="AR389" i="3"/>
  <c r="AR390" i="3"/>
  <c r="AR391" i="3"/>
  <c r="AR392" i="3"/>
  <c r="AR393" i="3"/>
  <c r="AR394" i="3"/>
  <c r="AR395" i="3"/>
  <c r="AR396" i="3"/>
  <c r="AR397" i="3"/>
  <c r="AR398" i="3"/>
  <c r="AR399" i="3"/>
  <c r="AR400" i="3"/>
  <c r="AR401" i="3"/>
  <c r="AR402" i="3"/>
  <c r="AR403" i="3"/>
  <c r="AR404" i="3"/>
  <c r="AR405" i="3"/>
  <c r="AR406" i="3"/>
  <c r="AR407" i="3"/>
  <c r="AR408" i="3"/>
  <c r="AR409" i="3"/>
  <c r="AR410" i="3"/>
  <c r="AR411" i="3"/>
  <c r="AR412" i="3"/>
  <c r="AR413" i="3"/>
  <c r="AR414" i="3"/>
  <c r="AR415" i="3"/>
  <c r="AR416" i="3"/>
  <c r="AR417" i="3"/>
  <c r="AR418" i="3"/>
  <c r="AR419" i="3"/>
  <c r="AR420" i="3"/>
  <c r="AR421" i="3"/>
  <c r="AR422" i="3"/>
  <c r="AR423" i="3"/>
  <c r="AR424" i="3"/>
  <c r="AR425" i="3"/>
  <c r="AR426" i="3"/>
  <c r="AR427" i="3"/>
  <c r="AR428" i="3"/>
  <c r="AR429" i="3"/>
  <c r="AR430" i="3"/>
  <c r="AR431" i="3"/>
  <c r="AR432" i="3"/>
  <c r="AR433" i="3"/>
  <c r="AR434" i="3"/>
  <c r="AR435" i="3"/>
  <c r="AR436" i="3"/>
  <c r="AR437" i="3"/>
  <c r="AR438" i="3"/>
  <c r="AR439" i="3"/>
  <c r="AR440" i="3"/>
  <c r="AR441" i="3"/>
  <c r="AR442" i="3"/>
  <c r="AR443" i="3"/>
  <c r="AR444" i="3"/>
  <c r="AR445" i="3"/>
  <c r="AR446" i="3"/>
  <c r="AR447" i="3"/>
  <c r="AR448" i="3"/>
  <c r="AR449" i="3"/>
  <c r="AR450" i="3"/>
  <c r="AR451" i="3"/>
  <c r="AR452" i="3"/>
  <c r="AR453" i="3"/>
  <c r="AR454" i="3"/>
  <c r="AR455" i="3"/>
  <c r="AR456" i="3"/>
  <c r="AR457" i="3"/>
  <c r="AR458" i="3"/>
  <c r="AR459" i="3"/>
  <c r="AR460" i="3"/>
  <c r="AR461" i="3"/>
  <c r="AR462" i="3"/>
  <c r="AR463" i="3"/>
  <c r="AR464" i="3"/>
  <c r="AR465" i="3"/>
  <c r="AR466" i="3"/>
  <c r="AR467" i="3"/>
  <c r="AR468" i="3"/>
  <c r="AR469" i="3"/>
  <c r="AR470" i="3"/>
  <c r="AR471" i="3"/>
  <c r="AR472" i="3"/>
  <c r="AR473" i="3"/>
  <c r="AR474" i="3"/>
  <c r="AR475" i="3"/>
  <c r="AR476" i="3"/>
  <c r="AR477" i="3"/>
  <c r="AR478" i="3"/>
  <c r="AR479" i="3"/>
  <c r="AR480" i="3"/>
  <c r="AR481" i="3"/>
  <c r="AR482" i="3"/>
  <c r="AR483" i="3"/>
  <c r="AR484" i="3"/>
  <c r="AR485" i="3"/>
  <c r="AR486" i="3"/>
  <c r="AR487" i="3"/>
  <c r="AR488" i="3"/>
  <c r="AR489" i="3"/>
  <c r="AR490" i="3"/>
  <c r="AR491" i="3"/>
  <c r="AR492" i="3"/>
  <c r="AR493" i="3"/>
  <c r="AR494" i="3"/>
  <c r="AR495" i="3"/>
  <c r="AR496" i="3"/>
  <c r="AR497" i="3"/>
  <c r="AR498" i="3"/>
  <c r="AR499" i="3"/>
  <c r="AR500" i="3"/>
  <c r="AR501" i="3"/>
  <c r="AR502" i="3"/>
  <c r="AR503" i="3"/>
  <c r="AR504" i="3"/>
  <c r="AR505" i="3"/>
  <c r="AR506" i="3"/>
  <c r="AR507" i="3"/>
  <c r="AR508" i="3"/>
  <c r="AR509" i="3"/>
  <c r="AR510" i="3"/>
  <c r="AR511" i="3"/>
  <c r="AR512" i="3"/>
  <c r="AR513" i="3"/>
  <c r="AR514" i="3"/>
  <c r="AR515" i="3"/>
  <c r="AR516" i="3"/>
  <c r="AR517" i="3"/>
  <c r="AR518" i="3"/>
  <c r="AR519" i="3"/>
  <c r="AR520" i="3"/>
  <c r="AR521" i="3"/>
  <c r="AR522" i="3"/>
  <c r="AR523" i="3"/>
  <c r="AR524" i="3"/>
  <c r="AR525" i="3"/>
  <c r="AR526" i="3"/>
  <c r="AR527" i="3"/>
  <c r="AR528" i="3"/>
  <c r="AR529" i="3"/>
  <c r="AR530" i="3"/>
  <c r="AR531" i="3"/>
  <c r="AR532" i="3"/>
  <c r="AR533" i="3"/>
  <c r="AR534" i="3"/>
  <c r="AR535" i="3"/>
  <c r="AR536" i="3"/>
  <c r="AR537" i="3"/>
  <c r="AR538" i="3"/>
  <c r="AR539" i="3"/>
  <c r="AR540" i="3"/>
  <c r="AR541" i="3"/>
  <c r="AR542" i="3"/>
  <c r="AR543" i="3"/>
  <c r="AR544" i="3"/>
  <c r="AR545" i="3"/>
  <c r="AR546" i="3"/>
  <c r="AR547" i="3"/>
  <c r="AR548" i="3"/>
  <c r="AR549" i="3"/>
  <c r="AR550" i="3"/>
  <c r="AR551" i="3"/>
  <c r="AR552" i="3"/>
  <c r="AR553" i="3"/>
  <c r="AR554" i="3"/>
  <c r="AR555" i="3"/>
  <c r="AR556" i="3"/>
  <c r="AR557" i="3"/>
  <c r="AR558" i="3"/>
  <c r="AR559" i="3"/>
  <c r="AR560" i="3"/>
  <c r="AR561" i="3"/>
  <c r="AR562" i="3"/>
  <c r="AR563" i="3"/>
  <c r="AR564" i="3"/>
  <c r="AR565" i="3"/>
  <c r="AR566" i="3"/>
  <c r="AR567" i="3"/>
  <c r="AR568" i="3"/>
  <c r="AR569" i="3"/>
  <c r="AR570" i="3"/>
  <c r="AR571" i="3"/>
  <c r="AR572" i="3"/>
  <c r="AR573" i="3"/>
  <c r="AR574" i="3"/>
  <c r="AR575" i="3"/>
  <c r="AR576" i="3"/>
  <c r="AR577" i="3"/>
  <c r="AR578" i="3"/>
  <c r="AR579" i="3"/>
  <c r="AR580" i="3"/>
  <c r="AR581" i="3"/>
  <c r="AR582" i="3"/>
  <c r="AR583" i="3"/>
  <c r="AR584" i="3"/>
  <c r="AR585" i="3"/>
  <c r="AR586" i="3"/>
  <c r="AR587" i="3"/>
  <c r="AR588" i="3"/>
  <c r="AR589" i="3"/>
  <c r="AR590" i="3"/>
  <c r="AR591" i="3"/>
  <c r="AR592" i="3"/>
  <c r="AR593" i="3"/>
  <c r="AR594" i="3"/>
  <c r="AR595" i="3"/>
  <c r="AR596" i="3"/>
  <c r="AR597" i="3"/>
  <c r="AR598" i="3"/>
  <c r="AR599" i="3"/>
  <c r="AR600" i="3"/>
  <c r="AR601" i="3"/>
  <c r="AR602" i="3"/>
  <c r="AR603" i="3"/>
  <c r="AR604" i="3"/>
  <c r="AR605" i="3"/>
  <c r="AR606" i="3"/>
  <c r="AR607" i="3"/>
  <c r="AR608" i="3"/>
  <c r="AR609" i="3"/>
  <c r="AR610" i="3"/>
  <c r="AR611" i="3"/>
  <c r="AR612" i="3"/>
  <c r="AR613" i="3"/>
  <c r="AR614" i="3"/>
  <c r="AR615" i="3"/>
  <c r="AR616" i="3"/>
  <c r="AR617" i="3"/>
  <c r="AR618" i="3"/>
  <c r="AR619" i="3"/>
  <c r="AR620" i="3"/>
  <c r="AR621" i="3"/>
  <c r="AR622" i="3"/>
  <c r="AR623" i="3"/>
  <c r="AR624" i="3"/>
  <c r="AR625" i="3"/>
  <c r="AR626" i="3"/>
  <c r="AR627" i="3"/>
  <c r="AR628" i="3"/>
  <c r="AR629" i="3"/>
  <c r="AR630" i="3"/>
  <c r="AR631" i="3"/>
  <c r="AR632" i="3"/>
  <c r="AR633" i="3"/>
  <c r="AR634" i="3"/>
  <c r="AR635" i="3"/>
  <c r="AR636" i="3"/>
  <c r="AR637" i="3"/>
  <c r="AR638" i="3"/>
  <c r="AR639" i="3"/>
  <c r="AR640" i="3"/>
  <c r="AR641" i="3"/>
  <c r="AR642" i="3"/>
  <c r="AR643" i="3"/>
  <c r="AR644" i="3"/>
  <c r="AR645" i="3"/>
  <c r="AR646" i="3"/>
  <c r="AR647" i="3"/>
  <c r="AR648" i="3"/>
  <c r="AR649" i="3"/>
  <c r="AR650" i="3"/>
  <c r="AR651" i="3"/>
  <c r="AR652" i="3"/>
  <c r="AR653" i="3"/>
  <c r="AR654" i="3"/>
  <c r="AR655" i="3"/>
  <c r="AR656" i="3"/>
  <c r="AR657" i="3"/>
  <c r="AR658" i="3"/>
  <c r="AR659" i="3"/>
  <c r="AR660" i="3"/>
  <c r="AR661" i="3"/>
  <c r="AR662" i="3"/>
  <c r="AR663" i="3"/>
  <c r="AR664" i="3"/>
  <c r="AR665" i="3"/>
  <c r="AR666" i="3"/>
  <c r="AR667" i="3"/>
  <c r="AR668" i="3"/>
  <c r="AR669" i="3"/>
  <c r="AR670" i="3"/>
  <c r="AR671" i="3"/>
  <c r="AR672" i="3"/>
  <c r="AR673" i="3"/>
  <c r="AR674" i="3"/>
  <c r="AR675" i="3"/>
  <c r="AR676" i="3"/>
  <c r="AR677" i="3"/>
  <c r="AR678" i="3"/>
  <c r="AR679" i="3"/>
  <c r="AR680" i="3"/>
  <c r="AR681" i="3"/>
  <c r="AR682" i="3"/>
  <c r="AR683" i="3"/>
  <c r="AR684" i="3"/>
  <c r="AR685" i="3"/>
  <c r="AR686" i="3"/>
  <c r="AR687" i="3"/>
  <c r="AR688" i="3"/>
  <c r="AR689" i="3"/>
  <c r="AR690" i="3"/>
  <c r="AR691" i="3"/>
  <c r="AR692" i="3"/>
  <c r="AR693" i="3"/>
  <c r="AR694" i="3"/>
  <c r="AR695" i="3"/>
  <c r="AR696" i="3"/>
  <c r="AR697" i="3"/>
  <c r="AR698" i="3"/>
  <c r="AR699" i="3"/>
  <c r="AR700" i="3"/>
  <c r="AR701" i="3"/>
  <c r="AR702" i="3"/>
  <c r="AR703" i="3"/>
  <c r="AR704" i="3"/>
  <c r="AR705" i="3"/>
  <c r="AR706" i="3"/>
  <c r="AR707" i="3"/>
  <c r="AR708" i="3"/>
  <c r="AR709" i="3"/>
  <c r="AR710" i="3"/>
  <c r="AR711" i="3"/>
  <c r="AR712" i="3"/>
  <c r="AR713" i="3"/>
  <c r="AR714" i="3"/>
  <c r="AR715" i="3"/>
  <c r="AR716" i="3"/>
  <c r="AR717" i="3"/>
  <c r="AR718" i="3"/>
  <c r="AR719" i="3"/>
  <c r="AR720" i="3"/>
  <c r="AR721" i="3"/>
  <c r="AR722" i="3"/>
  <c r="AR723" i="3"/>
  <c r="AR724" i="3"/>
  <c r="AR725" i="3"/>
  <c r="AR726" i="3"/>
  <c r="AR727" i="3"/>
  <c r="AR728" i="3"/>
  <c r="AR729" i="3"/>
  <c r="AR730" i="3"/>
  <c r="AR731" i="3"/>
  <c r="AR732" i="3"/>
  <c r="AR733" i="3"/>
  <c r="AR734" i="3"/>
  <c r="AR735" i="3"/>
  <c r="AR736" i="3"/>
  <c r="AR737" i="3"/>
  <c r="AR738" i="3"/>
  <c r="AR739" i="3"/>
  <c r="AR740" i="3"/>
  <c r="AR741" i="3"/>
  <c r="AR742" i="3"/>
  <c r="AR743" i="3"/>
  <c r="AR744" i="3"/>
  <c r="AR745" i="3"/>
  <c r="AR746" i="3"/>
  <c r="AR747" i="3"/>
  <c r="AR748" i="3"/>
  <c r="AR749" i="3"/>
  <c r="AR750" i="3"/>
  <c r="AR751" i="3"/>
  <c r="AR752" i="3"/>
  <c r="AR753" i="3"/>
  <c r="AR754" i="3"/>
  <c r="AR755" i="3"/>
  <c r="AR756" i="3"/>
  <c r="AR757" i="3"/>
  <c r="AR758" i="3"/>
  <c r="AR759" i="3"/>
  <c r="AR760" i="3"/>
  <c r="AR761" i="3"/>
  <c r="AR762" i="3"/>
  <c r="AR763" i="3"/>
  <c r="AR764" i="3"/>
  <c r="AR765" i="3"/>
  <c r="AR766" i="3"/>
  <c r="AR767" i="3"/>
  <c r="AR768" i="3"/>
  <c r="AR769" i="3"/>
  <c r="AR770" i="3"/>
  <c r="AR771" i="3"/>
  <c r="AR772" i="3"/>
  <c r="AR773" i="3"/>
  <c r="AR774" i="3"/>
  <c r="AR775" i="3"/>
  <c r="AR776" i="3"/>
  <c r="AR777" i="3"/>
  <c r="AR778" i="3"/>
  <c r="AR779" i="3"/>
  <c r="AR780" i="3"/>
  <c r="AR781" i="3"/>
  <c r="AR782" i="3"/>
  <c r="AR783" i="3"/>
  <c r="AR784" i="3"/>
  <c r="AR785" i="3"/>
  <c r="AR786" i="3"/>
  <c r="AR787" i="3"/>
  <c r="AR788" i="3"/>
  <c r="AR789" i="3"/>
  <c r="AR790" i="3"/>
  <c r="AR791" i="3"/>
  <c r="AR792" i="3"/>
  <c r="AR793" i="3"/>
  <c r="AR794" i="3"/>
  <c r="AR795" i="3"/>
  <c r="AR796" i="3"/>
  <c r="AR797" i="3"/>
  <c r="AR798" i="3"/>
  <c r="AR799" i="3"/>
  <c r="AR800" i="3"/>
  <c r="AR801" i="3"/>
  <c r="AR802" i="3"/>
  <c r="AR803" i="3"/>
  <c r="AR804" i="3"/>
  <c r="AR805" i="3"/>
  <c r="AR806" i="3"/>
  <c r="AR807" i="3"/>
  <c r="AR808" i="3"/>
  <c r="AR809" i="3"/>
  <c r="AR810" i="3"/>
  <c r="AR811" i="3"/>
  <c r="AR812" i="3"/>
  <c r="AR813" i="3"/>
  <c r="AR814" i="3"/>
  <c r="AR815" i="3"/>
  <c r="AR816" i="3"/>
  <c r="AR817" i="3"/>
  <c r="AR818" i="3"/>
  <c r="AR819" i="3"/>
  <c r="AR820" i="3"/>
  <c r="AR821" i="3"/>
  <c r="AR822" i="3"/>
  <c r="AR823" i="3"/>
  <c r="AR824" i="3"/>
  <c r="AR825" i="3"/>
  <c r="AR826" i="3"/>
  <c r="AR827" i="3"/>
  <c r="AR828" i="3"/>
  <c r="AR829" i="3"/>
  <c r="AR830" i="3"/>
  <c r="AR831" i="3"/>
  <c r="AR832" i="3"/>
  <c r="AR833" i="3"/>
  <c r="BF357" i="3"/>
  <c r="BF356" i="3"/>
  <c r="BF355" i="3"/>
  <c r="BF354" i="3"/>
  <c r="BF353" i="3"/>
  <c r="BF352" i="3"/>
  <c r="BF351" i="3"/>
  <c r="BF350" i="3"/>
  <c r="BF349" i="3"/>
  <c r="BF348" i="3"/>
  <c r="BF347" i="3"/>
  <c r="BF346" i="3"/>
  <c r="BF345" i="3"/>
  <c r="BF344" i="3"/>
  <c r="BF343" i="3"/>
  <c r="BF342" i="3"/>
  <c r="BF341" i="3"/>
  <c r="BF340" i="3"/>
  <c r="BF339" i="3"/>
  <c r="BF338" i="3"/>
  <c r="BF337" i="3"/>
  <c r="BF336" i="3"/>
  <c r="BF335" i="3"/>
  <c r="BF334" i="3"/>
  <c r="BF333" i="3"/>
  <c r="BF332" i="3"/>
  <c r="BF331" i="3"/>
  <c r="BF330" i="3"/>
  <c r="BF329" i="3"/>
  <c r="BF328" i="3"/>
  <c r="BF327" i="3"/>
  <c r="BF326" i="3"/>
  <c r="BF325" i="3"/>
  <c r="BF324" i="3"/>
  <c r="BF323" i="3"/>
  <c r="BF322" i="3"/>
  <c r="BF321" i="3"/>
  <c r="BF320" i="3"/>
  <c r="BF319" i="3"/>
  <c r="BF318" i="3"/>
  <c r="BF317" i="3"/>
  <c r="BF316" i="3"/>
  <c r="BF315" i="3"/>
  <c r="BF314" i="3"/>
  <c r="BF313" i="3"/>
  <c r="BF312" i="3"/>
  <c r="BF311" i="3"/>
  <c r="BF310" i="3"/>
  <c r="BF309" i="3"/>
  <c r="BF308" i="3"/>
  <c r="BF307" i="3"/>
  <c r="BF306" i="3"/>
  <c r="BF305" i="3"/>
  <c r="BF304" i="3"/>
  <c r="BF303" i="3"/>
  <c r="BF302" i="3"/>
  <c r="BF301" i="3"/>
  <c r="BF300" i="3"/>
  <c r="BF299" i="3"/>
  <c r="BF298" i="3"/>
  <c r="BF297" i="3"/>
  <c r="BF296" i="3"/>
  <c r="BF295" i="3"/>
  <c r="BF294" i="3"/>
  <c r="BF293" i="3"/>
  <c r="BF292" i="3"/>
  <c r="BF291" i="3"/>
  <c r="BF290" i="3"/>
  <c r="BF289" i="3"/>
  <c r="BF288" i="3"/>
  <c r="BF287" i="3"/>
  <c r="BF286" i="3"/>
  <c r="BF285" i="3"/>
  <c r="BF284" i="3"/>
  <c r="BF283" i="3"/>
  <c r="BF282" i="3"/>
  <c r="BF281" i="3"/>
  <c r="BF280" i="3"/>
  <c r="BF279" i="3"/>
  <c r="BF278" i="3"/>
  <c r="BF277" i="3"/>
  <c r="BF276" i="3"/>
  <c r="BF275" i="3"/>
  <c r="BF274" i="3"/>
  <c r="BF273" i="3"/>
  <c r="BF272" i="3"/>
  <c r="BF271" i="3"/>
  <c r="BF270" i="3"/>
  <c r="BF269" i="3"/>
  <c r="BF268" i="3"/>
  <c r="BF267" i="3"/>
  <c r="BF266" i="3"/>
  <c r="BF265" i="3"/>
  <c r="BF264" i="3"/>
  <c r="BF263" i="3"/>
  <c r="BF262" i="3"/>
  <c r="BF261" i="3"/>
  <c r="BF260" i="3"/>
  <c r="BF259" i="3"/>
  <c r="BF258" i="3"/>
  <c r="BF257" i="3"/>
  <c r="BF256" i="3"/>
  <c r="BF255" i="3"/>
  <c r="BF254" i="3"/>
  <c r="BF253" i="3"/>
  <c r="BF252" i="3"/>
  <c r="BF251" i="3"/>
  <c r="BF250" i="3"/>
  <c r="BF249" i="3"/>
  <c r="BF248" i="3"/>
  <c r="BF247" i="3"/>
  <c r="BF246" i="3"/>
  <c r="BF245" i="3"/>
  <c r="BF244" i="3"/>
  <c r="BF243" i="3"/>
  <c r="BF242" i="3"/>
  <c r="BF241" i="3"/>
  <c r="BF240" i="3"/>
  <c r="BF239" i="3"/>
  <c r="BF238" i="3"/>
  <c r="BF237" i="3"/>
  <c r="BF236" i="3"/>
  <c r="BF235" i="3"/>
  <c r="BF234" i="3"/>
  <c r="BF233" i="3"/>
  <c r="BF232" i="3"/>
  <c r="BF231" i="3"/>
  <c r="BF230" i="3"/>
  <c r="BF229" i="3"/>
  <c r="BF228" i="3"/>
  <c r="BF227" i="3"/>
  <c r="BF226" i="3"/>
  <c r="BF225" i="3"/>
  <c r="BF224" i="3"/>
  <c r="BF223" i="3"/>
  <c r="BF222" i="3"/>
  <c r="BF221" i="3"/>
  <c r="BF220" i="3"/>
  <c r="BF219" i="3"/>
  <c r="BF218" i="3"/>
  <c r="BF217" i="3"/>
  <c r="BF216" i="3"/>
  <c r="BF215" i="3"/>
  <c r="BF214" i="3"/>
  <c r="BF213" i="3"/>
  <c r="BF212" i="3"/>
  <c r="BF211" i="3"/>
  <c r="BF210" i="3"/>
  <c r="BF209" i="3"/>
  <c r="BF208" i="3"/>
  <c r="BF207" i="3"/>
  <c r="BF206" i="3"/>
  <c r="BF205" i="3"/>
  <c r="BF204" i="3"/>
  <c r="BF203" i="3"/>
  <c r="BF202" i="3"/>
  <c r="BF201" i="3"/>
  <c r="BF200" i="3"/>
  <c r="BF199" i="3"/>
  <c r="BF198" i="3"/>
  <c r="BF197" i="3"/>
  <c r="BF196" i="3"/>
  <c r="BF195" i="3"/>
  <c r="BF194" i="3"/>
  <c r="BF193" i="3"/>
  <c r="BF192" i="3"/>
  <c r="BF191" i="3"/>
  <c r="BF190" i="3"/>
  <c r="BF189" i="3"/>
  <c r="BF188" i="3"/>
  <c r="BF187" i="3"/>
  <c r="BF186" i="3"/>
  <c r="BF185" i="3"/>
  <c r="BF184" i="3"/>
  <c r="BF183" i="3"/>
  <c r="BF182" i="3"/>
  <c r="BF181" i="3"/>
  <c r="BF180" i="3"/>
  <c r="BF179" i="3"/>
  <c r="BF178" i="3"/>
  <c r="BF177" i="3"/>
  <c r="BF176" i="3"/>
  <c r="BF175" i="3"/>
  <c r="BF174" i="3"/>
  <c r="BF173" i="3"/>
  <c r="BF172" i="3"/>
  <c r="BF171" i="3"/>
  <c r="BF170" i="3"/>
  <c r="BF169" i="3"/>
  <c r="BF168" i="3"/>
  <c r="BF167" i="3"/>
  <c r="BF166" i="3"/>
  <c r="BF165" i="3"/>
  <c r="BF164" i="3"/>
  <c r="BF163" i="3"/>
  <c r="BF162" i="3"/>
  <c r="BF161" i="3"/>
  <c r="BF160" i="3"/>
  <c r="BF159" i="3"/>
  <c r="BF158" i="3"/>
  <c r="BF157" i="3"/>
  <c r="BF156" i="3"/>
  <c r="BF155" i="3"/>
  <c r="BF154" i="3"/>
  <c r="BF153" i="3"/>
  <c r="BF152" i="3"/>
  <c r="BF151" i="3"/>
  <c r="BF150" i="3"/>
  <c r="BF149" i="3"/>
  <c r="BF148" i="3"/>
  <c r="BF147" i="3"/>
  <c r="BF146" i="3"/>
  <c r="BF145" i="3"/>
  <c r="BF144" i="3"/>
  <c r="BF143" i="3"/>
  <c r="BF142" i="3"/>
  <c r="BF141" i="3"/>
  <c r="BF140" i="3"/>
  <c r="BF139" i="3"/>
  <c r="BF138" i="3"/>
  <c r="BF137" i="3"/>
  <c r="BF136" i="3"/>
  <c r="BF135" i="3"/>
  <c r="BF134" i="3"/>
  <c r="BF133" i="3"/>
  <c r="BF132" i="3"/>
  <c r="BF131" i="3"/>
  <c r="BF130" i="3"/>
  <c r="BF129" i="3"/>
  <c r="BF128" i="3"/>
  <c r="BF127" i="3"/>
  <c r="BF126" i="3"/>
  <c r="BF125" i="3"/>
  <c r="BF124" i="3"/>
  <c r="BF123" i="3"/>
  <c r="BF122" i="3"/>
  <c r="BF121" i="3"/>
  <c r="BF120" i="3"/>
  <c r="BF119" i="3"/>
  <c r="BF118" i="3"/>
  <c r="BF117" i="3"/>
  <c r="BF116" i="3"/>
  <c r="BF115" i="3"/>
  <c r="BF114" i="3"/>
  <c r="BF113" i="3"/>
  <c r="BF112" i="3"/>
  <c r="BF111" i="3"/>
  <c r="BF110" i="3"/>
  <c r="BF109" i="3"/>
  <c r="BF108" i="3"/>
  <c r="BF107" i="3"/>
  <c r="BF106" i="3"/>
  <c r="BF105" i="3"/>
  <c r="BF104" i="3"/>
  <c r="BF103" i="3"/>
  <c r="BF102" i="3"/>
  <c r="BF101" i="3"/>
  <c r="BF100" i="3"/>
  <c r="BF99" i="3"/>
  <c r="BF98" i="3"/>
  <c r="BF97" i="3"/>
  <c r="BF96" i="3"/>
  <c r="BF95" i="3"/>
  <c r="BF94" i="3"/>
  <c r="BF93" i="3"/>
  <c r="BF92" i="3"/>
  <c r="BF91" i="3"/>
  <c r="BF90" i="3"/>
  <c r="BF89" i="3"/>
  <c r="BF88" i="3"/>
  <c r="BF87" i="3"/>
  <c r="BF86" i="3"/>
  <c r="BF85" i="3"/>
  <c r="BF84" i="3"/>
  <c r="BF83" i="3"/>
  <c r="BF82" i="3"/>
  <c r="BF81" i="3"/>
  <c r="BF80" i="3"/>
  <c r="BF79" i="3"/>
  <c r="BF78" i="3"/>
  <c r="BF77" i="3"/>
  <c r="BF76" i="3"/>
  <c r="BF75" i="3"/>
  <c r="BF74" i="3"/>
  <c r="BF73" i="3"/>
  <c r="BF72" i="3"/>
  <c r="BF71" i="3"/>
  <c r="BF70" i="3"/>
  <c r="BF69" i="3"/>
  <c r="BF68" i="3"/>
  <c r="BF67" i="3"/>
  <c r="BF66" i="3"/>
  <c r="BF65" i="3"/>
  <c r="BF64" i="3"/>
  <c r="BF63" i="3"/>
  <c r="BF62" i="3"/>
  <c r="BF61" i="3"/>
  <c r="BF60" i="3"/>
  <c r="BF59" i="3"/>
  <c r="BF58" i="3"/>
  <c r="BF57" i="3"/>
  <c r="BF56" i="3"/>
  <c r="BF55" i="3"/>
  <c r="BF54" i="3"/>
  <c r="BF53" i="3"/>
  <c r="BF52" i="3"/>
  <c r="BF51" i="3"/>
  <c r="BF50" i="3"/>
  <c r="BF49" i="3"/>
  <c r="BF48" i="3"/>
  <c r="BF47" i="3"/>
  <c r="BF46" i="3"/>
  <c r="BF45" i="3"/>
  <c r="BF44" i="3"/>
  <c r="BF43" i="3"/>
  <c r="BF42" i="3"/>
  <c r="BF41" i="3"/>
  <c r="BF40" i="3"/>
  <c r="BF39" i="3"/>
  <c r="BF38" i="3"/>
  <c r="BF37" i="3"/>
  <c r="BF36" i="3"/>
  <c r="BF35" i="3"/>
  <c r="BF34" i="3"/>
  <c r="BF33" i="3"/>
  <c r="BF32" i="3"/>
  <c r="BF31" i="3"/>
  <c r="BF30" i="3"/>
  <c r="BF29" i="3"/>
  <c r="BF28" i="3"/>
  <c r="BF27" i="3"/>
  <c r="BF26" i="3"/>
  <c r="BF25" i="3"/>
  <c r="BF24" i="3"/>
  <c r="BF23" i="3"/>
  <c r="BF22" i="3"/>
  <c r="BF21" i="3"/>
  <c r="BF20" i="3"/>
  <c r="BF19" i="3"/>
  <c r="BF18" i="3"/>
  <c r="BF17" i="3"/>
  <c r="BF16" i="3"/>
  <c r="BF15" i="3"/>
  <c r="BF14" i="3"/>
  <c r="BF13" i="3"/>
  <c r="BF12" i="3"/>
  <c r="BF11" i="3"/>
  <c r="BF10" i="3"/>
  <c r="BF9" i="3"/>
  <c r="BF8" i="3"/>
  <c r="BF7" i="3"/>
  <c r="BF6" i="3"/>
  <c r="BF5" i="3"/>
  <c r="BL39" i="3"/>
  <c r="BL40" i="3"/>
  <c r="BL41" i="3"/>
  <c r="BL42" i="3"/>
  <c r="BL43" i="3"/>
  <c r="BL44" i="3"/>
  <c r="BL45" i="3"/>
  <c r="BL46" i="3"/>
  <c r="BL47" i="3"/>
  <c r="BL48" i="3"/>
  <c r="BL49" i="3"/>
  <c r="BL50" i="3"/>
  <c r="BL51" i="3"/>
  <c r="BL52" i="3"/>
  <c r="BL53" i="3"/>
  <c r="BL54" i="3"/>
  <c r="BL55" i="3"/>
  <c r="BL56" i="3"/>
  <c r="BL57" i="3"/>
  <c r="BL58" i="3"/>
  <c r="BL59" i="3"/>
  <c r="BL60" i="3"/>
  <c r="BL61" i="3"/>
  <c r="BL62" i="3"/>
  <c r="BL63" i="3"/>
  <c r="BL64" i="3"/>
  <c r="BL65" i="3"/>
  <c r="BL66" i="3"/>
  <c r="BL67" i="3"/>
  <c r="BL68" i="3"/>
  <c r="BL69" i="3"/>
  <c r="BL70" i="3"/>
  <c r="BL71" i="3"/>
  <c r="BL72" i="3"/>
  <c r="BL73" i="3"/>
  <c r="BL74" i="3"/>
  <c r="BL75" i="3"/>
  <c r="BL76" i="3"/>
  <c r="BL77" i="3"/>
  <c r="BL78" i="3"/>
  <c r="BL79" i="3"/>
  <c r="BL80" i="3"/>
  <c r="BL81" i="3"/>
  <c r="BL82" i="3"/>
  <c r="BL83" i="3"/>
  <c r="BL84" i="3"/>
  <c r="BL85" i="3"/>
  <c r="BL86" i="3"/>
  <c r="BL87" i="3"/>
  <c r="BL88" i="3"/>
  <c r="BL89" i="3"/>
  <c r="BL90" i="3"/>
  <c r="BL91" i="3"/>
  <c r="BL92" i="3"/>
  <c r="BL93" i="3"/>
  <c r="BL94" i="3"/>
  <c r="BL95" i="3"/>
  <c r="BL96" i="3"/>
  <c r="BL97" i="3"/>
  <c r="BL98" i="3"/>
  <c r="BL99" i="3"/>
  <c r="BL100" i="3"/>
  <c r="BL101" i="3"/>
  <c r="BL102" i="3"/>
  <c r="BL103" i="3"/>
  <c r="BL104" i="3"/>
  <c r="BL105" i="3"/>
  <c r="BL106" i="3"/>
  <c r="BL107" i="3"/>
  <c r="BL108" i="3"/>
  <c r="BL109" i="3"/>
  <c r="BL110" i="3"/>
  <c r="BL111" i="3"/>
  <c r="BL112" i="3"/>
  <c r="BL113" i="3"/>
  <c r="BL114" i="3"/>
  <c r="BL115" i="3"/>
  <c r="BL116" i="3"/>
  <c r="BL117" i="3"/>
  <c r="BL118" i="3"/>
  <c r="BL119" i="3"/>
  <c r="BL120" i="3"/>
  <c r="BL121" i="3"/>
  <c r="BL122" i="3"/>
  <c r="BL123" i="3"/>
  <c r="BL124" i="3"/>
  <c r="BL125" i="3"/>
  <c r="BL126" i="3"/>
  <c r="BL127" i="3"/>
  <c r="BL128" i="3"/>
  <c r="BL129" i="3"/>
  <c r="BL130" i="3"/>
  <c r="BL131" i="3"/>
  <c r="BL132" i="3"/>
  <c r="BL133" i="3"/>
  <c r="BL134" i="3"/>
  <c r="BL135" i="3"/>
  <c r="BL136" i="3"/>
  <c r="BL137" i="3"/>
  <c r="BL138" i="3"/>
  <c r="BL139" i="3"/>
  <c r="BL140" i="3"/>
  <c r="BL141" i="3"/>
  <c r="BL142" i="3"/>
  <c r="BL143" i="3"/>
  <c r="BL144" i="3"/>
  <c r="BL145" i="3"/>
  <c r="BL146" i="3"/>
  <c r="BL147" i="3"/>
  <c r="BL148" i="3"/>
  <c r="BL149" i="3"/>
  <c r="BL150" i="3"/>
  <c r="BL151" i="3"/>
  <c r="BL152" i="3"/>
  <c r="BL153" i="3"/>
  <c r="BL154" i="3"/>
  <c r="BL155" i="3"/>
  <c r="BL156" i="3"/>
  <c r="BL157" i="3"/>
  <c r="BL158" i="3"/>
  <c r="BL159" i="3"/>
  <c r="BL160" i="3"/>
  <c r="BL161" i="3"/>
  <c r="BL162" i="3"/>
  <c r="BL163" i="3"/>
  <c r="BL164" i="3"/>
  <c r="BL165" i="3"/>
  <c r="BL166" i="3"/>
  <c r="BL167" i="3"/>
  <c r="BL168" i="3"/>
  <c r="BL169" i="3"/>
  <c r="BL170" i="3"/>
  <c r="BL171" i="3"/>
  <c r="BL172" i="3"/>
  <c r="BL173" i="3"/>
  <c r="BL174" i="3"/>
  <c r="BL175" i="3"/>
  <c r="BL176" i="3"/>
  <c r="BL177" i="3"/>
  <c r="BL178" i="3"/>
  <c r="BL179" i="3"/>
  <c r="BL180" i="3"/>
  <c r="BL181" i="3"/>
  <c r="BL182" i="3"/>
  <c r="BL183" i="3"/>
  <c r="BL184" i="3"/>
  <c r="BL185" i="3"/>
  <c r="BL186" i="3"/>
  <c r="BL187" i="3"/>
  <c r="BL188" i="3"/>
  <c r="BL189" i="3"/>
  <c r="BL190" i="3"/>
  <c r="BL191" i="3"/>
  <c r="BL192" i="3"/>
  <c r="BL193" i="3"/>
  <c r="BL194" i="3"/>
  <c r="BL195" i="3"/>
  <c r="BL196" i="3"/>
  <c r="BL197" i="3"/>
  <c r="BL198" i="3"/>
  <c r="BL199" i="3"/>
  <c r="BL200" i="3"/>
  <c r="BL201" i="3"/>
  <c r="BL202" i="3"/>
  <c r="BL203" i="3"/>
  <c r="BL204" i="3"/>
  <c r="BL205" i="3"/>
  <c r="BL206" i="3"/>
  <c r="BL207" i="3"/>
  <c r="BL208" i="3"/>
  <c r="BL209" i="3"/>
  <c r="BL210" i="3"/>
  <c r="BL211" i="3"/>
  <c r="BL212" i="3"/>
  <c r="BL213" i="3"/>
  <c r="BL214" i="3"/>
  <c r="BL215" i="3"/>
  <c r="BL216" i="3"/>
  <c r="BL217" i="3"/>
  <c r="BL218" i="3"/>
  <c r="BL219" i="3"/>
  <c r="BL220" i="3"/>
  <c r="BL221" i="3"/>
  <c r="BL222" i="3"/>
  <c r="BL223" i="3"/>
  <c r="BL224" i="3"/>
  <c r="BL225" i="3"/>
  <c r="BL226" i="3"/>
  <c r="BL227" i="3"/>
  <c r="BL228" i="3"/>
  <c r="BL229" i="3"/>
  <c r="BL230" i="3"/>
  <c r="BL231" i="3"/>
  <c r="BL232" i="3"/>
  <c r="BL233" i="3"/>
  <c r="BL234" i="3"/>
  <c r="BL235" i="3"/>
  <c r="BL236" i="3"/>
  <c r="BL237" i="3"/>
  <c r="BL238" i="3"/>
  <c r="BL239" i="3"/>
  <c r="BL240" i="3"/>
  <c r="BL241" i="3"/>
  <c r="BL242" i="3"/>
  <c r="BL243" i="3"/>
  <c r="BL244" i="3"/>
  <c r="BL245" i="3"/>
  <c r="BL246" i="3"/>
  <c r="BL247" i="3"/>
  <c r="BL248" i="3"/>
  <c r="BL249" i="3"/>
  <c r="BL250" i="3"/>
  <c r="BL251" i="3"/>
  <c r="BL252" i="3"/>
  <c r="BL253" i="3"/>
  <c r="BL254" i="3"/>
  <c r="BL255" i="3"/>
  <c r="BL256" i="3"/>
  <c r="BL257" i="3"/>
  <c r="BL258" i="3"/>
  <c r="BL259" i="3"/>
  <c r="BL260" i="3"/>
  <c r="BL261" i="3"/>
  <c r="BL262" i="3"/>
  <c r="BL263" i="3"/>
  <c r="BL264" i="3"/>
  <c r="BL265" i="3"/>
  <c r="BL266" i="3"/>
  <c r="BL267" i="3"/>
  <c r="BL268" i="3"/>
  <c r="BL269" i="3"/>
  <c r="BL270" i="3"/>
  <c r="BL271" i="3"/>
  <c r="BL272" i="3"/>
  <c r="BL273" i="3"/>
  <c r="BL274" i="3"/>
  <c r="BL275" i="3"/>
  <c r="BL276" i="3"/>
  <c r="BL277" i="3"/>
  <c r="BL278" i="3"/>
  <c r="BL279" i="3"/>
  <c r="BL280" i="3"/>
  <c r="BL281" i="3"/>
  <c r="BL282" i="3"/>
  <c r="BL283" i="3"/>
  <c r="BL284" i="3"/>
  <c r="BL285" i="3"/>
  <c r="BL286" i="3"/>
  <c r="BL287" i="3"/>
  <c r="BL288" i="3"/>
  <c r="BL289" i="3"/>
  <c r="BL290" i="3"/>
  <c r="BL291" i="3"/>
  <c r="BL292" i="3"/>
  <c r="BL293" i="3"/>
  <c r="BL294" i="3"/>
  <c r="BL295" i="3"/>
  <c r="BL296" i="3"/>
  <c r="BL297" i="3"/>
  <c r="BL298" i="3"/>
  <c r="BL299" i="3"/>
  <c r="BL300" i="3"/>
  <c r="BL301" i="3"/>
  <c r="BL302" i="3"/>
  <c r="BL303" i="3"/>
  <c r="BL304" i="3"/>
  <c r="BL305" i="3"/>
  <c r="BL306" i="3"/>
  <c r="BL307" i="3"/>
  <c r="BL308" i="3"/>
  <c r="BL309" i="3"/>
  <c r="BL310" i="3"/>
  <c r="BL311" i="3"/>
  <c r="BL312" i="3"/>
  <c r="BL313" i="3"/>
  <c r="BL314" i="3"/>
  <c r="BL315" i="3"/>
  <c r="BL316" i="3"/>
  <c r="BL317" i="3"/>
  <c r="BL318" i="3"/>
  <c r="BL319" i="3"/>
  <c r="BL320" i="3"/>
  <c r="BL321" i="3"/>
  <c r="BL322" i="3"/>
  <c r="BL323" i="3"/>
  <c r="BL324" i="3"/>
  <c r="BL325" i="3"/>
  <c r="BL326" i="3"/>
  <c r="BL327" i="3"/>
  <c r="BL328" i="3"/>
  <c r="BL329" i="3"/>
  <c r="BL330" i="3"/>
  <c r="BL331" i="3"/>
  <c r="BL332" i="3"/>
  <c r="BL333" i="3"/>
  <c r="BL334" i="3"/>
  <c r="BL335" i="3"/>
  <c r="BL336" i="3"/>
  <c r="BL337" i="3"/>
  <c r="BL338" i="3"/>
  <c r="BL339" i="3"/>
  <c r="BL340" i="3"/>
  <c r="BL341" i="3"/>
  <c r="BL342" i="3"/>
  <c r="BL343" i="3"/>
  <c r="BL344" i="3"/>
  <c r="BL345" i="3"/>
  <c r="BL346" i="3"/>
  <c r="BL347" i="3"/>
  <c r="BL348" i="3"/>
  <c r="BL349" i="3"/>
  <c r="BL351" i="3"/>
  <c r="BL352" i="3"/>
  <c r="BL353" i="3"/>
  <c r="BL354" i="3"/>
  <c r="BL355" i="3"/>
  <c r="BL356" i="3"/>
  <c r="BL357" i="3"/>
  <c r="BJ39" i="3"/>
  <c r="BJ40" i="3"/>
  <c r="BJ41" i="3"/>
  <c r="BJ42" i="3"/>
  <c r="BJ43" i="3"/>
  <c r="BJ44" i="3"/>
  <c r="BJ45" i="3"/>
  <c r="BJ46" i="3"/>
  <c r="BJ47" i="3"/>
  <c r="BJ48" i="3"/>
  <c r="BJ49" i="3"/>
  <c r="BJ50" i="3"/>
  <c r="BJ51" i="3"/>
  <c r="BJ52" i="3"/>
  <c r="BJ53" i="3"/>
  <c r="BJ54" i="3"/>
  <c r="BJ55" i="3"/>
  <c r="BJ56" i="3"/>
  <c r="BJ57" i="3"/>
  <c r="BJ58" i="3"/>
  <c r="BJ59" i="3"/>
  <c r="BJ60" i="3"/>
  <c r="BJ61" i="3"/>
  <c r="BJ62" i="3"/>
  <c r="BJ63" i="3"/>
  <c r="BJ64" i="3"/>
  <c r="BJ65" i="3"/>
  <c r="BJ66" i="3"/>
  <c r="BJ67" i="3"/>
  <c r="BJ68" i="3"/>
  <c r="BJ69" i="3"/>
  <c r="BJ70" i="3"/>
  <c r="BJ71" i="3"/>
  <c r="BJ72" i="3"/>
  <c r="BJ73" i="3"/>
  <c r="BJ74" i="3"/>
  <c r="BJ75" i="3"/>
  <c r="BJ76" i="3"/>
  <c r="BJ77" i="3"/>
  <c r="BJ78" i="3"/>
  <c r="BJ79" i="3"/>
  <c r="BJ80" i="3"/>
  <c r="BJ81" i="3"/>
  <c r="BJ82" i="3"/>
  <c r="BJ83" i="3"/>
  <c r="BJ84" i="3"/>
  <c r="BJ85" i="3"/>
  <c r="BJ86" i="3"/>
  <c r="BJ87" i="3"/>
  <c r="BJ88" i="3"/>
  <c r="BJ89" i="3"/>
  <c r="BJ90" i="3"/>
  <c r="BJ91" i="3"/>
  <c r="BJ92" i="3"/>
  <c r="BJ93" i="3"/>
  <c r="BJ94" i="3"/>
  <c r="BJ95" i="3"/>
  <c r="BJ96" i="3"/>
  <c r="BJ97" i="3"/>
  <c r="BJ98" i="3"/>
  <c r="BJ99" i="3"/>
  <c r="BJ100" i="3"/>
  <c r="BJ101" i="3"/>
  <c r="BJ102" i="3"/>
  <c r="BJ103" i="3"/>
  <c r="BJ104" i="3"/>
  <c r="BJ105" i="3"/>
  <c r="BJ106" i="3"/>
  <c r="BJ107" i="3"/>
  <c r="BJ108" i="3"/>
  <c r="BJ109" i="3"/>
  <c r="BJ110" i="3"/>
  <c r="BJ111" i="3"/>
  <c r="BJ112" i="3"/>
  <c r="BJ113" i="3"/>
  <c r="BJ114" i="3"/>
  <c r="BJ115" i="3"/>
  <c r="BJ116" i="3"/>
  <c r="BJ117" i="3"/>
  <c r="BJ118" i="3"/>
  <c r="BJ119" i="3"/>
  <c r="BJ120" i="3"/>
  <c r="BJ121" i="3"/>
  <c r="BJ122" i="3"/>
  <c r="BJ123" i="3"/>
  <c r="BJ124" i="3"/>
  <c r="BJ125" i="3"/>
  <c r="BJ126" i="3"/>
  <c r="BJ127" i="3"/>
  <c r="BJ128" i="3"/>
  <c r="BJ129" i="3"/>
  <c r="BJ130" i="3"/>
  <c r="BJ131" i="3"/>
  <c r="BJ132" i="3"/>
  <c r="BJ133" i="3"/>
  <c r="BJ134" i="3"/>
  <c r="BJ135" i="3"/>
  <c r="BJ136" i="3"/>
  <c r="BJ137" i="3"/>
  <c r="BJ138" i="3"/>
  <c r="BJ139" i="3"/>
  <c r="BJ140" i="3"/>
  <c r="BJ141" i="3"/>
  <c r="BJ142" i="3"/>
  <c r="BJ143" i="3"/>
  <c r="BJ144" i="3"/>
  <c r="BJ145" i="3"/>
  <c r="BJ146" i="3"/>
  <c r="BJ147" i="3"/>
  <c r="BJ148" i="3"/>
  <c r="BJ149" i="3"/>
  <c r="BJ150" i="3"/>
  <c r="BJ151" i="3"/>
  <c r="BJ152" i="3"/>
  <c r="BJ153" i="3"/>
  <c r="BJ154" i="3"/>
  <c r="BJ155" i="3"/>
  <c r="BJ156" i="3"/>
  <c r="BJ157" i="3"/>
  <c r="BJ158" i="3"/>
  <c r="BJ159" i="3"/>
  <c r="BJ160" i="3"/>
  <c r="BJ161" i="3"/>
  <c r="BJ162" i="3"/>
  <c r="BJ163" i="3"/>
  <c r="BJ164" i="3"/>
  <c r="BJ165" i="3"/>
  <c r="BJ166" i="3"/>
  <c r="BJ167" i="3"/>
  <c r="BJ168" i="3"/>
  <c r="BJ169" i="3"/>
  <c r="BJ170" i="3"/>
  <c r="BJ171" i="3"/>
  <c r="BJ172" i="3"/>
  <c r="BJ173" i="3"/>
  <c r="BJ174" i="3"/>
  <c r="BJ175" i="3"/>
  <c r="BJ176" i="3"/>
  <c r="BJ177" i="3"/>
  <c r="BJ178" i="3"/>
  <c r="BJ179" i="3"/>
  <c r="BJ180" i="3"/>
  <c r="BJ181" i="3"/>
  <c r="BJ182" i="3"/>
  <c r="BJ183" i="3"/>
  <c r="BJ184" i="3"/>
  <c r="BJ185" i="3"/>
  <c r="BJ186" i="3"/>
  <c r="BJ187" i="3"/>
  <c r="BJ188" i="3"/>
  <c r="BJ189" i="3"/>
  <c r="BJ190" i="3"/>
  <c r="BJ191" i="3"/>
  <c r="BJ192" i="3"/>
  <c r="BJ193" i="3"/>
  <c r="BJ194" i="3"/>
  <c r="BJ195" i="3"/>
  <c r="BJ196" i="3"/>
  <c r="BJ197" i="3"/>
  <c r="BJ198" i="3"/>
  <c r="BJ199" i="3"/>
  <c r="BJ200" i="3"/>
  <c r="BJ201" i="3"/>
  <c r="BJ202" i="3"/>
  <c r="BJ203" i="3"/>
  <c r="BJ204" i="3"/>
  <c r="BJ205" i="3"/>
  <c r="BJ206" i="3"/>
  <c r="BJ207" i="3"/>
  <c r="BJ208" i="3"/>
  <c r="BJ209" i="3"/>
  <c r="BJ210" i="3"/>
  <c r="BJ211" i="3"/>
  <c r="BJ212" i="3"/>
  <c r="BJ213" i="3"/>
  <c r="BJ214" i="3"/>
  <c r="BJ215" i="3"/>
  <c r="BJ216" i="3"/>
  <c r="BJ217" i="3"/>
  <c r="BJ218" i="3"/>
  <c r="BJ219" i="3"/>
  <c r="BJ220" i="3"/>
  <c r="BJ221" i="3"/>
  <c r="BJ222" i="3"/>
  <c r="BJ223" i="3"/>
  <c r="BJ224" i="3"/>
  <c r="BJ225" i="3"/>
  <c r="BJ226" i="3"/>
  <c r="BJ227" i="3"/>
  <c r="BJ228" i="3"/>
  <c r="BJ229" i="3"/>
  <c r="BJ230" i="3"/>
  <c r="BJ231" i="3"/>
  <c r="BJ232" i="3"/>
  <c r="BJ233" i="3"/>
  <c r="BJ234" i="3"/>
  <c r="BJ235" i="3"/>
  <c r="BJ236" i="3"/>
  <c r="BJ237" i="3"/>
  <c r="BJ238" i="3"/>
  <c r="BJ239" i="3"/>
  <c r="BJ240" i="3"/>
  <c r="BJ241" i="3"/>
  <c r="BJ242" i="3"/>
  <c r="BJ243" i="3"/>
  <c r="BJ244" i="3"/>
  <c r="BJ245" i="3"/>
  <c r="BJ246" i="3"/>
  <c r="BJ247" i="3"/>
  <c r="BJ248" i="3"/>
  <c r="BJ249" i="3"/>
  <c r="BJ250" i="3"/>
  <c r="BJ251" i="3"/>
  <c r="BJ252" i="3"/>
  <c r="BJ253" i="3"/>
  <c r="BJ254" i="3"/>
  <c r="BJ255" i="3"/>
  <c r="BJ256" i="3"/>
  <c r="BJ257" i="3"/>
  <c r="BJ258" i="3"/>
  <c r="BJ259" i="3"/>
  <c r="BJ260" i="3"/>
  <c r="BJ261" i="3"/>
  <c r="BJ262" i="3"/>
  <c r="BJ263" i="3"/>
  <c r="BJ264" i="3"/>
  <c r="BJ265" i="3"/>
  <c r="BJ266" i="3"/>
  <c r="BJ267" i="3"/>
  <c r="BJ268" i="3"/>
  <c r="BJ269" i="3"/>
  <c r="BJ270" i="3"/>
  <c r="BJ271" i="3"/>
  <c r="BJ272" i="3"/>
  <c r="BJ273" i="3"/>
  <c r="BJ274" i="3"/>
  <c r="BJ275" i="3"/>
  <c r="BJ276" i="3"/>
  <c r="BJ277" i="3"/>
  <c r="BJ278" i="3"/>
  <c r="BJ279" i="3"/>
  <c r="BJ280" i="3"/>
  <c r="BJ281" i="3"/>
  <c r="BJ282" i="3"/>
  <c r="BJ283" i="3"/>
  <c r="BJ284" i="3"/>
  <c r="BJ285" i="3"/>
  <c r="BJ286" i="3"/>
  <c r="BJ287" i="3"/>
  <c r="BJ288" i="3"/>
  <c r="BJ289" i="3"/>
  <c r="BJ290" i="3"/>
  <c r="BJ291" i="3"/>
  <c r="BJ292" i="3"/>
  <c r="BJ293" i="3"/>
  <c r="BJ294" i="3"/>
  <c r="BJ295" i="3"/>
  <c r="BJ296" i="3"/>
  <c r="BJ297" i="3"/>
  <c r="BJ298" i="3"/>
  <c r="BJ299" i="3"/>
  <c r="BJ300" i="3"/>
  <c r="BJ301" i="3"/>
  <c r="BJ302" i="3"/>
  <c r="BJ303" i="3"/>
  <c r="BJ304" i="3"/>
  <c r="BJ305" i="3"/>
  <c r="BJ306" i="3"/>
  <c r="BJ307" i="3"/>
  <c r="BJ308" i="3"/>
  <c r="BJ309" i="3"/>
  <c r="BJ310" i="3"/>
  <c r="BJ311" i="3"/>
  <c r="BJ312" i="3"/>
  <c r="BJ313" i="3"/>
  <c r="BJ314" i="3"/>
  <c r="BJ315" i="3"/>
  <c r="BJ316" i="3"/>
  <c r="BJ317" i="3"/>
  <c r="BJ318" i="3"/>
  <c r="BJ319" i="3"/>
  <c r="BJ320" i="3"/>
  <c r="BJ321" i="3"/>
  <c r="BJ322" i="3"/>
  <c r="BJ323" i="3"/>
  <c r="BJ324" i="3"/>
  <c r="BJ325" i="3"/>
  <c r="BJ326" i="3"/>
  <c r="BJ327" i="3"/>
  <c r="BJ328" i="3"/>
  <c r="BJ329" i="3"/>
  <c r="BJ330" i="3"/>
  <c r="BJ331" i="3"/>
  <c r="BJ332" i="3"/>
  <c r="BJ333" i="3"/>
  <c r="BJ334" i="3"/>
  <c r="BJ335" i="3"/>
  <c r="BJ336" i="3"/>
  <c r="BJ337" i="3"/>
  <c r="BJ338" i="3"/>
  <c r="BJ339" i="3"/>
  <c r="BJ340" i="3"/>
  <c r="BJ341" i="3"/>
  <c r="BJ342" i="3"/>
  <c r="BJ343" i="3"/>
  <c r="BJ344" i="3"/>
  <c r="BJ345" i="3"/>
  <c r="BJ346" i="3"/>
  <c r="BJ347" i="3"/>
  <c r="BJ348" i="3"/>
  <c r="BJ349" i="3"/>
  <c r="BJ350" i="3"/>
  <c r="BJ351" i="3"/>
  <c r="BJ352" i="3"/>
  <c r="BJ353" i="3"/>
  <c r="BJ354" i="3"/>
  <c r="BJ355" i="3"/>
  <c r="BJ356" i="3"/>
  <c r="BJ357" i="3"/>
  <c r="BH39" i="3"/>
  <c r="BH40" i="3"/>
  <c r="BH41" i="3"/>
  <c r="BH42" i="3"/>
  <c r="BH43" i="3"/>
  <c r="BH44" i="3"/>
  <c r="BH45" i="3"/>
  <c r="BH46" i="3"/>
  <c r="BH47" i="3"/>
  <c r="BH48" i="3"/>
  <c r="BH49" i="3"/>
  <c r="BH50" i="3"/>
  <c r="BH51" i="3"/>
  <c r="BH52" i="3"/>
  <c r="BH53" i="3"/>
  <c r="BH54" i="3"/>
  <c r="BH55" i="3"/>
  <c r="BH56" i="3"/>
  <c r="BH57" i="3"/>
  <c r="BH58" i="3"/>
  <c r="BH59" i="3"/>
  <c r="BH60" i="3"/>
  <c r="BH61" i="3"/>
  <c r="BH62" i="3"/>
  <c r="BH63" i="3"/>
  <c r="BH64" i="3"/>
  <c r="BH65" i="3"/>
  <c r="BH66" i="3"/>
  <c r="BH67" i="3"/>
  <c r="BH68" i="3"/>
  <c r="BH69" i="3"/>
  <c r="BH70" i="3"/>
  <c r="BH71" i="3"/>
  <c r="BH72" i="3"/>
  <c r="BH73" i="3"/>
  <c r="BH74" i="3"/>
  <c r="BH75" i="3"/>
  <c r="BH76" i="3"/>
  <c r="BH77" i="3"/>
  <c r="BH78" i="3"/>
  <c r="BH79" i="3"/>
  <c r="BH80" i="3"/>
  <c r="BH81" i="3"/>
  <c r="BH82" i="3"/>
  <c r="BH83" i="3"/>
  <c r="BH84" i="3"/>
  <c r="BH85" i="3"/>
  <c r="BH86" i="3"/>
  <c r="BH87" i="3"/>
  <c r="BH88" i="3"/>
  <c r="BH89" i="3"/>
  <c r="BH90" i="3"/>
  <c r="BH91" i="3"/>
  <c r="BH92" i="3"/>
  <c r="BH93" i="3"/>
  <c r="BH94" i="3"/>
  <c r="BH95" i="3"/>
  <c r="BH96" i="3"/>
  <c r="BH97" i="3"/>
  <c r="BH98" i="3"/>
  <c r="BH99" i="3"/>
  <c r="BH100" i="3"/>
  <c r="BH101" i="3"/>
  <c r="BH102" i="3"/>
  <c r="BH103" i="3"/>
  <c r="BH104" i="3"/>
  <c r="BH105" i="3"/>
  <c r="BH106" i="3"/>
  <c r="BH107" i="3"/>
  <c r="BH108" i="3"/>
  <c r="BH109" i="3"/>
  <c r="BH110" i="3"/>
  <c r="BH111" i="3"/>
  <c r="BH112" i="3"/>
  <c r="BH113" i="3"/>
  <c r="BH114" i="3"/>
  <c r="BH115" i="3"/>
  <c r="BH116" i="3"/>
  <c r="BH117" i="3"/>
  <c r="BH118" i="3"/>
  <c r="BH119" i="3"/>
  <c r="BH120" i="3"/>
  <c r="BH121" i="3"/>
  <c r="BH122" i="3"/>
  <c r="BH123" i="3"/>
  <c r="BH124" i="3"/>
  <c r="BH125" i="3"/>
  <c r="BH126" i="3"/>
  <c r="BH127" i="3"/>
  <c r="BH128" i="3"/>
  <c r="BH129" i="3"/>
  <c r="BH130" i="3"/>
  <c r="BH131" i="3"/>
  <c r="BH132" i="3"/>
  <c r="BH133" i="3"/>
  <c r="BH134" i="3"/>
  <c r="BH135" i="3"/>
  <c r="BH136" i="3"/>
  <c r="BH137" i="3"/>
  <c r="BH138" i="3"/>
  <c r="BH139" i="3"/>
  <c r="BH140" i="3"/>
  <c r="BH141" i="3"/>
  <c r="BH142" i="3"/>
  <c r="BH143" i="3"/>
  <c r="BH144" i="3"/>
  <c r="BH145" i="3"/>
  <c r="BH146" i="3"/>
  <c r="BH147" i="3"/>
  <c r="BH148" i="3"/>
  <c r="BH149" i="3"/>
  <c r="BH150" i="3"/>
  <c r="BH151" i="3"/>
  <c r="BH152" i="3"/>
  <c r="BH153" i="3"/>
  <c r="BH154" i="3"/>
  <c r="BH155" i="3"/>
  <c r="BH156" i="3"/>
  <c r="BH157" i="3"/>
  <c r="BH158" i="3"/>
  <c r="BH159" i="3"/>
  <c r="BH160" i="3"/>
  <c r="BH161" i="3"/>
  <c r="BH162" i="3"/>
  <c r="BH163" i="3"/>
  <c r="BH164" i="3"/>
  <c r="BH165" i="3"/>
  <c r="BH166" i="3"/>
  <c r="BH167" i="3"/>
  <c r="BH168" i="3"/>
  <c r="BH169" i="3"/>
  <c r="BH170" i="3"/>
  <c r="BH171" i="3"/>
  <c r="BH172" i="3"/>
  <c r="BH173" i="3"/>
  <c r="BH174" i="3"/>
  <c r="BH175" i="3"/>
  <c r="BH176" i="3"/>
  <c r="BH177" i="3"/>
  <c r="BH178" i="3"/>
  <c r="BH179" i="3"/>
  <c r="BH180" i="3"/>
  <c r="BH181" i="3"/>
  <c r="BH182" i="3"/>
  <c r="BH183" i="3"/>
  <c r="BH184" i="3"/>
  <c r="BH185" i="3"/>
  <c r="BH186" i="3"/>
  <c r="BH187" i="3"/>
  <c r="BH188" i="3"/>
  <c r="BH189" i="3"/>
  <c r="BH190" i="3"/>
  <c r="BH191" i="3"/>
  <c r="BH192" i="3"/>
  <c r="BH193" i="3"/>
  <c r="BH194" i="3"/>
  <c r="BH195" i="3"/>
  <c r="BH196" i="3"/>
  <c r="BH197" i="3"/>
  <c r="BH198" i="3"/>
  <c r="BH199" i="3"/>
  <c r="BH200" i="3"/>
  <c r="BH201" i="3"/>
  <c r="BH202" i="3"/>
  <c r="BH203" i="3"/>
  <c r="BH204" i="3"/>
  <c r="BH205" i="3"/>
  <c r="BH206" i="3"/>
  <c r="BH207" i="3"/>
  <c r="BH208" i="3"/>
  <c r="BH209" i="3"/>
  <c r="BH210" i="3"/>
  <c r="BH211" i="3"/>
  <c r="BH212" i="3"/>
  <c r="BH213" i="3"/>
  <c r="BH214" i="3"/>
  <c r="BH215" i="3"/>
  <c r="BH216" i="3"/>
  <c r="BH217" i="3"/>
  <c r="BH218" i="3"/>
  <c r="BH219" i="3"/>
  <c r="BH220" i="3"/>
  <c r="BH221" i="3"/>
  <c r="BH222" i="3"/>
  <c r="BH223" i="3"/>
  <c r="BH224" i="3"/>
  <c r="BH225" i="3"/>
  <c r="BH226" i="3"/>
  <c r="BH227" i="3"/>
  <c r="BH228" i="3"/>
  <c r="BH229" i="3"/>
  <c r="BH230" i="3"/>
  <c r="BH231" i="3"/>
  <c r="BH232" i="3"/>
  <c r="BH233" i="3"/>
  <c r="BH234" i="3"/>
  <c r="BH235" i="3"/>
  <c r="BH236" i="3"/>
  <c r="BH237" i="3"/>
  <c r="BH238" i="3"/>
  <c r="BH239" i="3"/>
  <c r="BH240" i="3"/>
  <c r="BH241" i="3"/>
  <c r="BH242" i="3"/>
  <c r="BH243" i="3"/>
  <c r="BH244" i="3"/>
  <c r="BH245" i="3"/>
  <c r="BH246" i="3"/>
  <c r="BH247" i="3"/>
  <c r="BH248" i="3"/>
  <c r="BH249" i="3"/>
  <c r="BH250" i="3"/>
  <c r="BH251" i="3"/>
  <c r="BH252" i="3"/>
  <c r="BH253" i="3"/>
  <c r="BH254" i="3"/>
  <c r="BH255" i="3"/>
  <c r="BH256" i="3"/>
  <c r="BH257" i="3"/>
  <c r="BH258" i="3"/>
  <c r="BH259" i="3"/>
  <c r="BH260" i="3"/>
  <c r="BH261" i="3"/>
  <c r="BH262" i="3"/>
  <c r="BH263" i="3"/>
  <c r="BH264" i="3"/>
  <c r="BH265" i="3"/>
  <c r="BH266" i="3"/>
  <c r="BH267" i="3"/>
  <c r="BH268" i="3"/>
  <c r="BH269" i="3"/>
  <c r="BH270" i="3"/>
  <c r="BH271" i="3"/>
  <c r="BH272" i="3"/>
  <c r="BH273" i="3"/>
  <c r="BH274" i="3"/>
  <c r="BH275" i="3"/>
  <c r="BH276" i="3"/>
  <c r="BH277" i="3"/>
  <c r="BH278" i="3"/>
  <c r="BH279" i="3"/>
  <c r="BH280" i="3"/>
  <c r="BH281" i="3"/>
  <c r="BH282" i="3"/>
  <c r="BH283" i="3"/>
  <c r="BH284" i="3"/>
  <c r="BH285" i="3"/>
  <c r="BH286" i="3"/>
  <c r="BH287" i="3"/>
  <c r="BH288" i="3"/>
  <c r="BH289" i="3"/>
  <c r="BH290" i="3"/>
  <c r="BH291" i="3"/>
  <c r="BH292" i="3"/>
  <c r="BH293" i="3"/>
  <c r="BH294" i="3"/>
  <c r="BH295" i="3"/>
  <c r="BH296" i="3"/>
  <c r="BH297" i="3"/>
  <c r="BH298" i="3"/>
  <c r="BH299" i="3"/>
  <c r="BH300" i="3"/>
  <c r="BH301" i="3"/>
  <c r="BH302" i="3"/>
  <c r="BH303" i="3"/>
  <c r="BH304" i="3"/>
  <c r="BH305" i="3"/>
  <c r="BH306" i="3"/>
  <c r="BH307" i="3"/>
  <c r="BH308" i="3"/>
  <c r="BH309" i="3"/>
  <c r="BH310" i="3"/>
  <c r="BH311" i="3"/>
  <c r="BH312" i="3"/>
  <c r="BH313" i="3"/>
  <c r="BH314" i="3"/>
  <c r="BH315" i="3"/>
  <c r="BH316" i="3"/>
  <c r="BH317" i="3"/>
  <c r="BH318" i="3"/>
  <c r="BH319" i="3"/>
  <c r="BH320" i="3"/>
  <c r="BH321" i="3"/>
  <c r="BH322" i="3"/>
  <c r="BH323" i="3"/>
  <c r="BH324" i="3"/>
  <c r="BH325" i="3"/>
  <c r="BH326" i="3"/>
  <c r="BH327" i="3"/>
  <c r="BH328" i="3"/>
  <c r="BH329" i="3"/>
  <c r="BH330" i="3"/>
  <c r="BH331" i="3"/>
  <c r="BH332" i="3"/>
  <c r="BH333" i="3"/>
  <c r="BH334" i="3"/>
  <c r="BH335" i="3"/>
  <c r="BH336" i="3"/>
  <c r="BH337" i="3"/>
  <c r="BH338" i="3"/>
  <c r="BH339" i="3"/>
  <c r="BH340" i="3"/>
  <c r="BH341" i="3"/>
  <c r="BH342" i="3"/>
  <c r="BH343" i="3"/>
  <c r="BH344" i="3"/>
  <c r="BH345" i="3"/>
  <c r="BH346" i="3"/>
  <c r="BH347" i="3"/>
  <c r="BH348" i="3"/>
  <c r="BH349" i="3"/>
  <c r="BH350" i="3"/>
  <c r="BH351" i="3"/>
  <c r="BH352" i="3"/>
  <c r="BH353" i="3"/>
  <c r="BH354" i="3"/>
  <c r="BH355" i="3"/>
  <c r="BH356" i="3"/>
  <c r="BH357" i="3"/>
  <c r="BD39" i="3"/>
  <c r="BD40" i="3"/>
  <c r="BD41" i="3"/>
  <c r="BD42" i="3"/>
  <c r="BD43" i="3"/>
  <c r="BD44" i="3"/>
  <c r="BD45" i="3"/>
  <c r="BD46" i="3"/>
  <c r="BD47" i="3"/>
  <c r="BD48" i="3"/>
  <c r="BD49" i="3"/>
  <c r="BD50" i="3"/>
  <c r="BD51" i="3"/>
  <c r="BD52" i="3"/>
  <c r="BD53" i="3"/>
  <c r="BD54" i="3"/>
  <c r="BD55" i="3"/>
  <c r="BD56" i="3"/>
  <c r="BD57" i="3"/>
  <c r="BD58" i="3"/>
  <c r="BD59" i="3"/>
  <c r="BD60" i="3"/>
  <c r="BD61" i="3"/>
  <c r="BD62" i="3"/>
  <c r="BD63" i="3"/>
  <c r="BD64" i="3"/>
  <c r="BD65" i="3"/>
  <c r="BD66" i="3"/>
  <c r="BD67" i="3"/>
  <c r="BD68" i="3"/>
  <c r="BD69" i="3"/>
  <c r="BD70" i="3"/>
  <c r="BD71" i="3"/>
  <c r="BD72" i="3"/>
  <c r="BD73" i="3"/>
  <c r="BD74" i="3"/>
  <c r="BD75" i="3"/>
  <c r="BD76" i="3"/>
  <c r="BD77" i="3"/>
  <c r="BD78" i="3"/>
  <c r="BD79" i="3"/>
  <c r="BD80" i="3"/>
  <c r="BD81" i="3"/>
  <c r="BD82" i="3"/>
  <c r="BD83" i="3"/>
  <c r="BD84" i="3"/>
  <c r="BD85" i="3"/>
  <c r="BD86" i="3"/>
  <c r="BD87" i="3"/>
  <c r="BD88" i="3"/>
  <c r="BD89" i="3"/>
  <c r="BD90" i="3"/>
  <c r="BD91" i="3"/>
  <c r="BD92" i="3"/>
  <c r="BD93" i="3"/>
  <c r="BD94" i="3"/>
  <c r="BD95" i="3"/>
  <c r="BD96" i="3"/>
  <c r="BD97" i="3"/>
  <c r="BD98" i="3"/>
  <c r="BD99" i="3"/>
  <c r="BD100" i="3"/>
  <c r="BD101" i="3"/>
  <c r="BD102" i="3"/>
  <c r="BD103" i="3"/>
  <c r="BD104" i="3"/>
  <c r="BD105" i="3"/>
  <c r="BD106" i="3"/>
  <c r="BD107" i="3"/>
  <c r="BD108" i="3"/>
  <c r="BD109" i="3"/>
  <c r="BD110" i="3"/>
  <c r="BD111" i="3"/>
  <c r="BD112" i="3"/>
  <c r="BD113" i="3"/>
  <c r="BD114" i="3"/>
  <c r="BD115" i="3"/>
  <c r="BD116" i="3"/>
  <c r="BD117" i="3"/>
  <c r="BD118" i="3"/>
  <c r="BD119" i="3"/>
  <c r="BD120" i="3"/>
  <c r="BD121" i="3"/>
  <c r="BD122" i="3"/>
  <c r="BD123" i="3"/>
  <c r="BD124" i="3"/>
  <c r="BD125" i="3"/>
  <c r="BD126" i="3"/>
  <c r="BD127" i="3"/>
  <c r="BD128" i="3"/>
  <c r="BD129" i="3"/>
  <c r="BD130" i="3"/>
  <c r="BD131" i="3"/>
  <c r="BD132" i="3"/>
  <c r="BD133" i="3"/>
  <c r="BD134" i="3"/>
  <c r="BD135" i="3"/>
  <c r="BD136" i="3"/>
  <c r="BD137" i="3"/>
  <c r="BD138" i="3"/>
  <c r="BD139" i="3"/>
  <c r="BD140" i="3"/>
  <c r="BD141" i="3"/>
  <c r="BD142" i="3"/>
  <c r="BD143" i="3"/>
  <c r="BD144" i="3"/>
  <c r="BD145" i="3"/>
  <c r="BD146" i="3"/>
  <c r="BD147" i="3"/>
  <c r="BD148" i="3"/>
  <c r="BD149" i="3"/>
  <c r="BD150" i="3"/>
  <c r="BD151" i="3"/>
  <c r="BD152" i="3"/>
  <c r="BD153" i="3"/>
  <c r="BD154" i="3"/>
  <c r="BD155" i="3"/>
  <c r="BD156" i="3"/>
  <c r="BD157" i="3"/>
  <c r="BD158" i="3"/>
  <c r="BD159" i="3"/>
  <c r="BD160" i="3"/>
  <c r="BD161" i="3"/>
  <c r="BD162" i="3"/>
  <c r="BD163" i="3"/>
  <c r="BD164" i="3"/>
  <c r="BD165" i="3"/>
  <c r="BD166" i="3"/>
  <c r="BD167" i="3"/>
  <c r="BD168" i="3"/>
  <c r="BD169" i="3"/>
  <c r="BD170" i="3"/>
  <c r="BD171" i="3"/>
  <c r="BD172" i="3"/>
  <c r="BD173" i="3"/>
  <c r="BD174" i="3"/>
  <c r="BD175" i="3"/>
  <c r="BD176" i="3"/>
  <c r="BD177" i="3"/>
  <c r="BD178" i="3"/>
  <c r="BD179" i="3"/>
  <c r="BD180" i="3"/>
  <c r="BD181" i="3"/>
  <c r="BD182" i="3"/>
  <c r="BD183" i="3"/>
  <c r="BD184" i="3"/>
  <c r="BD185" i="3"/>
  <c r="BD186" i="3"/>
  <c r="BD187" i="3"/>
  <c r="BD188" i="3"/>
  <c r="BD189" i="3"/>
  <c r="BD190" i="3"/>
  <c r="BD191" i="3"/>
  <c r="BD192" i="3"/>
  <c r="BD193" i="3"/>
  <c r="BD194" i="3"/>
  <c r="BD195" i="3"/>
  <c r="BD196" i="3"/>
  <c r="BD197" i="3"/>
  <c r="BD198" i="3"/>
  <c r="BD199" i="3"/>
  <c r="BD200" i="3"/>
  <c r="BD201" i="3"/>
  <c r="BD202" i="3"/>
  <c r="BD203" i="3"/>
  <c r="BD204" i="3"/>
  <c r="BD205" i="3"/>
  <c r="BD206" i="3"/>
  <c r="BD207" i="3"/>
  <c r="BD208" i="3"/>
  <c r="BD209" i="3"/>
  <c r="BD210" i="3"/>
  <c r="BD211" i="3"/>
  <c r="BD212" i="3"/>
  <c r="BD213" i="3"/>
  <c r="BD214" i="3"/>
  <c r="BD215" i="3"/>
  <c r="BD216" i="3"/>
  <c r="BD217" i="3"/>
  <c r="BD218" i="3"/>
  <c r="BD219" i="3"/>
  <c r="BD220" i="3"/>
  <c r="BD221" i="3"/>
  <c r="BD222" i="3"/>
  <c r="BD223" i="3"/>
  <c r="BD224" i="3"/>
  <c r="BD225" i="3"/>
  <c r="BD226" i="3"/>
  <c r="BD227" i="3"/>
  <c r="BD228" i="3"/>
  <c r="BD229" i="3"/>
  <c r="BD230" i="3"/>
  <c r="BD231" i="3"/>
  <c r="BD232" i="3"/>
  <c r="BD233" i="3"/>
  <c r="BD234" i="3"/>
  <c r="BD235" i="3"/>
  <c r="BD236" i="3"/>
  <c r="BD237" i="3"/>
  <c r="BD238" i="3"/>
  <c r="BD239" i="3"/>
  <c r="BD240" i="3"/>
  <c r="BD241" i="3"/>
  <c r="BD242" i="3"/>
  <c r="BD243" i="3"/>
  <c r="BD244" i="3"/>
  <c r="BD245" i="3"/>
  <c r="BD246" i="3"/>
  <c r="BD247" i="3"/>
  <c r="BD248" i="3"/>
  <c r="BD249" i="3"/>
  <c r="BD250" i="3"/>
  <c r="BD251" i="3"/>
  <c r="BD252" i="3"/>
  <c r="BD253" i="3"/>
  <c r="BD254" i="3"/>
  <c r="BD255" i="3"/>
  <c r="BD256" i="3"/>
  <c r="BD257" i="3"/>
  <c r="BD258" i="3"/>
  <c r="BD259" i="3"/>
  <c r="BD260" i="3"/>
  <c r="BD261" i="3"/>
  <c r="BD262" i="3"/>
  <c r="BD263" i="3"/>
  <c r="BD264" i="3"/>
  <c r="BD265" i="3"/>
  <c r="BD266" i="3"/>
  <c r="BD267" i="3"/>
  <c r="BD268" i="3"/>
  <c r="BD269" i="3"/>
  <c r="BD270" i="3"/>
  <c r="BD271" i="3"/>
  <c r="BD272" i="3"/>
  <c r="BD273" i="3"/>
  <c r="BD274" i="3"/>
  <c r="BD275" i="3"/>
  <c r="BD276" i="3"/>
  <c r="BD277" i="3"/>
  <c r="BD278" i="3"/>
  <c r="BD279" i="3"/>
  <c r="BD280" i="3"/>
  <c r="BD281" i="3"/>
  <c r="BD282" i="3"/>
  <c r="BD283" i="3"/>
  <c r="BD284" i="3"/>
  <c r="BD285" i="3"/>
  <c r="BD286" i="3"/>
  <c r="BD287" i="3"/>
  <c r="BD288" i="3"/>
  <c r="BD289" i="3"/>
  <c r="BD290" i="3"/>
  <c r="BD291" i="3"/>
  <c r="BD292" i="3"/>
  <c r="BD293" i="3"/>
  <c r="BD294" i="3"/>
  <c r="BD295" i="3"/>
  <c r="BD296" i="3"/>
  <c r="BD297" i="3"/>
  <c r="BD298" i="3"/>
  <c r="BD299" i="3"/>
  <c r="BD300" i="3"/>
  <c r="BD301" i="3"/>
  <c r="BD302" i="3"/>
  <c r="BD303" i="3"/>
  <c r="BD304" i="3"/>
  <c r="BD305" i="3"/>
  <c r="BD306" i="3"/>
  <c r="BD307" i="3"/>
  <c r="BD308" i="3"/>
  <c r="BD309" i="3"/>
  <c r="BD310" i="3"/>
  <c r="BD311" i="3"/>
  <c r="BD312" i="3"/>
  <c r="BD313" i="3"/>
  <c r="BD314" i="3"/>
  <c r="BD315" i="3"/>
  <c r="BD316" i="3"/>
  <c r="BD317" i="3"/>
  <c r="BD318" i="3"/>
  <c r="BD319" i="3"/>
  <c r="BD320" i="3"/>
  <c r="BD321" i="3"/>
  <c r="BD322" i="3"/>
  <c r="BD323" i="3"/>
  <c r="BD324" i="3"/>
  <c r="BD325" i="3"/>
  <c r="BD326" i="3"/>
  <c r="BD327" i="3"/>
  <c r="BD328" i="3"/>
  <c r="BD329" i="3"/>
  <c r="BD330" i="3"/>
  <c r="BD331" i="3"/>
  <c r="BD332" i="3"/>
  <c r="BD333" i="3"/>
  <c r="BD334" i="3"/>
  <c r="BD335" i="3"/>
  <c r="BD336" i="3"/>
  <c r="BD337" i="3"/>
  <c r="BD338" i="3"/>
  <c r="BD339" i="3"/>
  <c r="BD340" i="3"/>
  <c r="BD341" i="3"/>
  <c r="BD342" i="3"/>
  <c r="BD343" i="3"/>
  <c r="BD344" i="3"/>
  <c r="BD345" i="3"/>
  <c r="BD346" i="3"/>
  <c r="BD347" i="3"/>
  <c r="BD348" i="3"/>
  <c r="BD349" i="3"/>
  <c r="BD350" i="3"/>
  <c r="BD351" i="3"/>
  <c r="BD352" i="3"/>
  <c r="BD353" i="3"/>
  <c r="BD354" i="3"/>
  <c r="BD355" i="3"/>
  <c r="BD356" i="3"/>
  <c r="BD357" i="3"/>
  <c r="BB39" i="3"/>
  <c r="BB40" i="3"/>
  <c r="BB41" i="3"/>
  <c r="BB42" i="3"/>
  <c r="BB43" i="3"/>
  <c r="BB44" i="3"/>
  <c r="BB45" i="3"/>
  <c r="BB46" i="3"/>
  <c r="BB47" i="3"/>
  <c r="BB48" i="3"/>
  <c r="BB49" i="3"/>
  <c r="BB50" i="3"/>
  <c r="BB51" i="3"/>
  <c r="BB52" i="3"/>
  <c r="BB53" i="3"/>
  <c r="BB54" i="3"/>
  <c r="BB55" i="3"/>
  <c r="BB56" i="3"/>
  <c r="BB57" i="3"/>
  <c r="BB58" i="3"/>
  <c r="BB59" i="3"/>
  <c r="BB60" i="3"/>
  <c r="BB61" i="3"/>
  <c r="BB62" i="3"/>
  <c r="BB63" i="3"/>
  <c r="BB64" i="3"/>
  <c r="BB65" i="3"/>
  <c r="BB66" i="3"/>
  <c r="BB67" i="3"/>
  <c r="BB68" i="3"/>
  <c r="BB69" i="3"/>
  <c r="BB70" i="3"/>
  <c r="BB71" i="3"/>
  <c r="BB72" i="3"/>
  <c r="BB73" i="3"/>
  <c r="BB74" i="3"/>
  <c r="BB75" i="3"/>
  <c r="BB76" i="3"/>
  <c r="BB77" i="3"/>
  <c r="BB78" i="3"/>
  <c r="BB79" i="3"/>
  <c r="BB80" i="3"/>
  <c r="BB81" i="3"/>
  <c r="BB82" i="3"/>
  <c r="BB83" i="3"/>
  <c r="BB84" i="3"/>
  <c r="BB85" i="3"/>
  <c r="BB86" i="3"/>
  <c r="BB87" i="3"/>
  <c r="BB88" i="3"/>
  <c r="BB89" i="3"/>
  <c r="BB90" i="3"/>
  <c r="BB91" i="3"/>
  <c r="BB92" i="3"/>
  <c r="BB93" i="3"/>
  <c r="BB94" i="3"/>
  <c r="BB95" i="3"/>
  <c r="BB96" i="3"/>
  <c r="BB97" i="3"/>
  <c r="BB98" i="3"/>
  <c r="BB99" i="3"/>
  <c r="BB100" i="3"/>
  <c r="BB101" i="3"/>
  <c r="BB102" i="3"/>
  <c r="BB103" i="3"/>
  <c r="BB104" i="3"/>
  <c r="BB105" i="3"/>
  <c r="BB106" i="3"/>
  <c r="BB107" i="3"/>
  <c r="BB108" i="3"/>
  <c r="BB109" i="3"/>
  <c r="BB110" i="3"/>
  <c r="BB111" i="3"/>
  <c r="BB112" i="3"/>
  <c r="BB113" i="3"/>
  <c r="BB114" i="3"/>
  <c r="BB115" i="3"/>
  <c r="BB116" i="3"/>
  <c r="BB117" i="3"/>
  <c r="BB118" i="3"/>
  <c r="BB119" i="3"/>
  <c r="BB120" i="3"/>
  <c r="BB121" i="3"/>
  <c r="BB122" i="3"/>
  <c r="BB123" i="3"/>
  <c r="BB124" i="3"/>
  <c r="BB125" i="3"/>
  <c r="BB126" i="3"/>
  <c r="BB127" i="3"/>
  <c r="BB128" i="3"/>
  <c r="BB129" i="3"/>
  <c r="BB130" i="3"/>
  <c r="BB131" i="3"/>
  <c r="BB132" i="3"/>
  <c r="BB133" i="3"/>
  <c r="BB134" i="3"/>
  <c r="BB135" i="3"/>
  <c r="BB136" i="3"/>
  <c r="BB137" i="3"/>
  <c r="BB138" i="3"/>
  <c r="BB139" i="3"/>
  <c r="BB140" i="3"/>
  <c r="BB141" i="3"/>
  <c r="BB142" i="3"/>
  <c r="BB143" i="3"/>
  <c r="BB144" i="3"/>
  <c r="BB145" i="3"/>
  <c r="BB146" i="3"/>
  <c r="BB147" i="3"/>
  <c r="BB148" i="3"/>
  <c r="BB149" i="3"/>
  <c r="BB150" i="3"/>
  <c r="BB151" i="3"/>
  <c r="BB152" i="3"/>
  <c r="BB153" i="3"/>
  <c r="BB154" i="3"/>
  <c r="BB155" i="3"/>
  <c r="BB156" i="3"/>
  <c r="BB157" i="3"/>
  <c r="BB158" i="3"/>
  <c r="BB159" i="3"/>
  <c r="BB160" i="3"/>
  <c r="BB161" i="3"/>
  <c r="BB162" i="3"/>
  <c r="BB163" i="3"/>
  <c r="BB164" i="3"/>
  <c r="BB165" i="3"/>
  <c r="BB166" i="3"/>
  <c r="BB167" i="3"/>
  <c r="BB168" i="3"/>
  <c r="BB169" i="3"/>
  <c r="BB170" i="3"/>
  <c r="BB171" i="3"/>
  <c r="BB172" i="3"/>
  <c r="BB173" i="3"/>
  <c r="BB174" i="3"/>
  <c r="BB175" i="3"/>
  <c r="BB176" i="3"/>
  <c r="BB177" i="3"/>
  <c r="BB178" i="3"/>
  <c r="BB179" i="3"/>
  <c r="BB180" i="3"/>
  <c r="BB181" i="3"/>
  <c r="BB182" i="3"/>
  <c r="BB183" i="3"/>
  <c r="BB184" i="3"/>
  <c r="BB185" i="3"/>
  <c r="BB186" i="3"/>
  <c r="BB187" i="3"/>
  <c r="BB188" i="3"/>
  <c r="BB189" i="3"/>
  <c r="BB190" i="3"/>
  <c r="BB191" i="3"/>
  <c r="BB192" i="3"/>
  <c r="BB193" i="3"/>
  <c r="BB194" i="3"/>
  <c r="BB195" i="3"/>
  <c r="BB196" i="3"/>
  <c r="BB197" i="3"/>
  <c r="BB198" i="3"/>
  <c r="BB199" i="3"/>
  <c r="BB200" i="3"/>
  <c r="BB201" i="3"/>
  <c r="BB202" i="3"/>
  <c r="BB203" i="3"/>
  <c r="BB204" i="3"/>
  <c r="BB205" i="3"/>
  <c r="BB206" i="3"/>
  <c r="BB207" i="3"/>
  <c r="BB208" i="3"/>
  <c r="BB209" i="3"/>
  <c r="BB210" i="3"/>
  <c r="BB211" i="3"/>
  <c r="BB212" i="3"/>
  <c r="BB213" i="3"/>
  <c r="BB214" i="3"/>
  <c r="BB215" i="3"/>
  <c r="BB216" i="3"/>
  <c r="BB217" i="3"/>
  <c r="BB218" i="3"/>
  <c r="BB219" i="3"/>
  <c r="BB220" i="3"/>
  <c r="BB221" i="3"/>
  <c r="BB222" i="3"/>
  <c r="BB223" i="3"/>
  <c r="BB224" i="3"/>
  <c r="BB225" i="3"/>
  <c r="BB226" i="3"/>
  <c r="BB227" i="3"/>
  <c r="BB228" i="3"/>
  <c r="BB229" i="3"/>
  <c r="BB230" i="3"/>
  <c r="BB231" i="3"/>
  <c r="BB232" i="3"/>
  <c r="BB233" i="3"/>
  <c r="BB234" i="3"/>
  <c r="BB235" i="3"/>
  <c r="BB236" i="3"/>
  <c r="BB237" i="3"/>
  <c r="BB238" i="3"/>
  <c r="BB239" i="3"/>
  <c r="BB240" i="3"/>
  <c r="BB241" i="3"/>
  <c r="BB242" i="3"/>
  <c r="BB243" i="3"/>
  <c r="BB244" i="3"/>
  <c r="BB245" i="3"/>
  <c r="BB246" i="3"/>
  <c r="BB247" i="3"/>
  <c r="BB248" i="3"/>
  <c r="BB249" i="3"/>
  <c r="BB250" i="3"/>
  <c r="BB251" i="3"/>
  <c r="BB252" i="3"/>
  <c r="BB253" i="3"/>
  <c r="BB254" i="3"/>
  <c r="BB255" i="3"/>
  <c r="BB256" i="3"/>
  <c r="BB257" i="3"/>
  <c r="BB258" i="3"/>
  <c r="BB259" i="3"/>
  <c r="BB260" i="3"/>
  <c r="BB261" i="3"/>
  <c r="BB262" i="3"/>
  <c r="BB263" i="3"/>
  <c r="BB264" i="3"/>
  <c r="BB265" i="3"/>
  <c r="BB266" i="3"/>
  <c r="BB267" i="3"/>
  <c r="BB268" i="3"/>
  <c r="BB269" i="3"/>
  <c r="BB270" i="3"/>
  <c r="BB271" i="3"/>
  <c r="BB272" i="3"/>
  <c r="BB273" i="3"/>
  <c r="BB274" i="3"/>
  <c r="BB275" i="3"/>
  <c r="BB276" i="3"/>
  <c r="BB277" i="3"/>
  <c r="BB278" i="3"/>
  <c r="BB279" i="3"/>
  <c r="BB280" i="3"/>
  <c r="BB281" i="3"/>
  <c r="BB282" i="3"/>
  <c r="BB283" i="3"/>
  <c r="BB284" i="3"/>
  <c r="BB285" i="3"/>
  <c r="BB286" i="3"/>
  <c r="BB287" i="3"/>
  <c r="BB288" i="3"/>
  <c r="BB289" i="3"/>
  <c r="BB290" i="3"/>
  <c r="BB291" i="3"/>
  <c r="BB292" i="3"/>
  <c r="BB293" i="3"/>
  <c r="BB294" i="3"/>
  <c r="BB295" i="3"/>
  <c r="BB296" i="3"/>
  <c r="BB297" i="3"/>
  <c r="BB298" i="3"/>
  <c r="BB299" i="3"/>
  <c r="BB300" i="3"/>
  <c r="BB301" i="3"/>
  <c r="BB302" i="3"/>
  <c r="BB303" i="3"/>
  <c r="BB304" i="3"/>
  <c r="BB305" i="3"/>
  <c r="BB306" i="3"/>
  <c r="BB307" i="3"/>
  <c r="BB308" i="3"/>
  <c r="BB309" i="3"/>
  <c r="BB310" i="3"/>
  <c r="BB311" i="3"/>
  <c r="BB312" i="3"/>
  <c r="BB313" i="3"/>
  <c r="BB314" i="3"/>
  <c r="BB315" i="3"/>
  <c r="BB316" i="3"/>
  <c r="BB317" i="3"/>
  <c r="BB318" i="3"/>
  <c r="BB319" i="3"/>
  <c r="BB320" i="3"/>
  <c r="BB321" i="3"/>
  <c r="BB322" i="3"/>
  <c r="BB323" i="3"/>
  <c r="BB324" i="3"/>
  <c r="BB325" i="3"/>
  <c r="BB326" i="3"/>
  <c r="BB327" i="3"/>
  <c r="BB328" i="3"/>
  <c r="BB329" i="3"/>
  <c r="BB330" i="3"/>
  <c r="BB331" i="3"/>
  <c r="BB332" i="3"/>
  <c r="BB333" i="3"/>
  <c r="BB334" i="3"/>
  <c r="BB335" i="3"/>
  <c r="BB336" i="3"/>
  <c r="BB337" i="3"/>
  <c r="BB338" i="3"/>
  <c r="BB339" i="3"/>
  <c r="BB340" i="3"/>
  <c r="BB341" i="3"/>
  <c r="BB342" i="3"/>
  <c r="BB343" i="3"/>
  <c r="BB344" i="3"/>
  <c r="BB345" i="3"/>
  <c r="BB346" i="3"/>
  <c r="BB347" i="3"/>
  <c r="BB348" i="3"/>
  <c r="BB349" i="3"/>
  <c r="BB350" i="3"/>
  <c r="BB351" i="3"/>
  <c r="BB352" i="3"/>
  <c r="BB353" i="3"/>
  <c r="BB354" i="3"/>
  <c r="BB355" i="3"/>
  <c r="BB356" i="3"/>
  <c r="BB357" i="3"/>
  <c r="AZ39" i="3"/>
  <c r="AZ40" i="3"/>
  <c r="AZ41" i="3"/>
  <c r="AZ42" i="3"/>
  <c r="AZ43" i="3"/>
  <c r="AZ44" i="3"/>
  <c r="AZ45" i="3"/>
  <c r="AZ46" i="3"/>
  <c r="AZ47" i="3"/>
  <c r="AZ48" i="3"/>
  <c r="AZ49" i="3"/>
  <c r="AZ50" i="3"/>
  <c r="AZ51" i="3"/>
  <c r="AZ52" i="3"/>
  <c r="AZ53" i="3"/>
  <c r="AZ54" i="3"/>
  <c r="AZ55" i="3"/>
  <c r="AZ56" i="3"/>
  <c r="AZ57" i="3"/>
  <c r="AZ58" i="3"/>
  <c r="AZ59" i="3"/>
  <c r="AZ60" i="3"/>
  <c r="AZ61" i="3"/>
  <c r="AZ62" i="3"/>
  <c r="AZ63" i="3"/>
  <c r="AZ64" i="3"/>
  <c r="AZ65" i="3"/>
  <c r="AZ66" i="3"/>
  <c r="AZ67" i="3"/>
  <c r="AZ68" i="3"/>
  <c r="AZ69" i="3"/>
  <c r="AZ70" i="3"/>
  <c r="AZ71" i="3"/>
  <c r="AZ72" i="3"/>
  <c r="AZ73" i="3"/>
  <c r="AZ74" i="3"/>
  <c r="AZ75" i="3"/>
  <c r="AZ76" i="3"/>
  <c r="AZ77" i="3"/>
  <c r="AZ78" i="3"/>
  <c r="AZ79" i="3"/>
  <c r="AZ80" i="3"/>
  <c r="AZ81" i="3"/>
  <c r="AZ82" i="3"/>
  <c r="AZ83" i="3"/>
  <c r="AZ84" i="3"/>
  <c r="AZ85" i="3"/>
  <c r="AZ86" i="3"/>
  <c r="AZ87" i="3"/>
  <c r="AZ88" i="3"/>
  <c r="AZ89" i="3"/>
  <c r="AZ90" i="3"/>
  <c r="AZ91" i="3"/>
  <c r="AZ92" i="3"/>
  <c r="AZ93" i="3"/>
  <c r="AZ94" i="3"/>
  <c r="AZ95" i="3"/>
  <c r="AZ96" i="3"/>
  <c r="AZ97" i="3"/>
  <c r="AZ98" i="3"/>
  <c r="AZ99" i="3"/>
  <c r="AZ100" i="3"/>
  <c r="AZ101" i="3"/>
  <c r="AZ102" i="3"/>
  <c r="AZ103" i="3"/>
  <c r="AZ104" i="3"/>
  <c r="AZ105" i="3"/>
  <c r="AZ106" i="3"/>
  <c r="AZ107" i="3"/>
  <c r="AZ108" i="3"/>
  <c r="AZ109" i="3"/>
  <c r="AZ110" i="3"/>
  <c r="AZ111" i="3"/>
  <c r="AZ112" i="3"/>
  <c r="AZ113" i="3"/>
  <c r="AZ114" i="3"/>
  <c r="AZ115" i="3"/>
  <c r="AZ116" i="3"/>
  <c r="AZ117" i="3"/>
  <c r="AZ118" i="3"/>
  <c r="AZ119" i="3"/>
  <c r="AZ120" i="3"/>
  <c r="AZ121" i="3"/>
  <c r="AZ122" i="3"/>
  <c r="AZ123" i="3"/>
  <c r="AZ124" i="3"/>
  <c r="AZ125" i="3"/>
  <c r="AZ126" i="3"/>
  <c r="AZ127" i="3"/>
  <c r="AZ128" i="3"/>
  <c r="AZ129" i="3"/>
  <c r="AZ130" i="3"/>
  <c r="AZ131" i="3"/>
  <c r="AZ132" i="3"/>
  <c r="AZ133" i="3"/>
  <c r="AZ134" i="3"/>
  <c r="AZ135" i="3"/>
  <c r="AZ136" i="3"/>
  <c r="AZ137" i="3"/>
  <c r="AZ138" i="3"/>
  <c r="AZ139" i="3"/>
  <c r="AZ140" i="3"/>
  <c r="AZ141" i="3"/>
  <c r="AZ142" i="3"/>
  <c r="AZ143" i="3"/>
  <c r="AZ144" i="3"/>
  <c r="AZ145" i="3"/>
  <c r="AZ146" i="3"/>
  <c r="AZ147" i="3"/>
  <c r="AZ148" i="3"/>
  <c r="AZ149" i="3"/>
  <c r="AZ150" i="3"/>
  <c r="AZ151" i="3"/>
  <c r="AZ152" i="3"/>
  <c r="AZ153" i="3"/>
  <c r="AZ154" i="3"/>
  <c r="AZ155" i="3"/>
  <c r="AZ156" i="3"/>
  <c r="AZ157" i="3"/>
  <c r="AZ158" i="3"/>
  <c r="AZ159" i="3"/>
  <c r="AZ160" i="3"/>
  <c r="AZ161" i="3"/>
  <c r="AZ162" i="3"/>
  <c r="AZ163" i="3"/>
  <c r="AZ164" i="3"/>
  <c r="AZ165" i="3"/>
  <c r="AZ166" i="3"/>
  <c r="AZ167" i="3"/>
  <c r="AZ168" i="3"/>
  <c r="AZ169" i="3"/>
  <c r="AZ170" i="3"/>
  <c r="AZ171" i="3"/>
  <c r="AZ172" i="3"/>
  <c r="AZ173" i="3"/>
  <c r="AZ174" i="3"/>
  <c r="AZ175" i="3"/>
  <c r="AZ176" i="3"/>
  <c r="AZ177" i="3"/>
  <c r="AZ178" i="3"/>
  <c r="AZ179" i="3"/>
  <c r="AZ180" i="3"/>
  <c r="AZ181" i="3"/>
  <c r="AZ182" i="3"/>
  <c r="AZ183" i="3"/>
  <c r="AZ184" i="3"/>
  <c r="AZ185" i="3"/>
  <c r="AZ186" i="3"/>
  <c r="AZ187" i="3"/>
  <c r="AZ188" i="3"/>
  <c r="AZ189" i="3"/>
  <c r="AZ190" i="3"/>
  <c r="AZ191" i="3"/>
  <c r="AZ192" i="3"/>
  <c r="AZ193" i="3"/>
  <c r="AZ194" i="3"/>
  <c r="AZ195" i="3"/>
  <c r="AZ196" i="3"/>
  <c r="AZ197" i="3"/>
  <c r="AZ198" i="3"/>
  <c r="AZ199" i="3"/>
  <c r="AZ200" i="3"/>
  <c r="AZ201" i="3"/>
  <c r="AZ202" i="3"/>
  <c r="AZ203" i="3"/>
  <c r="AZ204" i="3"/>
  <c r="AZ205" i="3"/>
  <c r="AZ206" i="3"/>
  <c r="AZ207" i="3"/>
  <c r="AZ208" i="3"/>
  <c r="AZ209" i="3"/>
  <c r="AZ210" i="3"/>
  <c r="AZ211" i="3"/>
  <c r="AZ212" i="3"/>
  <c r="AZ213" i="3"/>
  <c r="AZ214" i="3"/>
  <c r="AZ215" i="3"/>
  <c r="AZ216" i="3"/>
  <c r="AZ217" i="3"/>
  <c r="AZ218" i="3"/>
  <c r="AZ219" i="3"/>
  <c r="AZ220" i="3"/>
  <c r="AZ221" i="3"/>
  <c r="AZ222" i="3"/>
  <c r="AZ223" i="3"/>
  <c r="AZ224" i="3"/>
  <c r="AZ225" i="3"/>
  <c r="AZ226" i="3"/>
  <c r="AZ227" i="3"/>
  <c r="AZ228" i="3"/>
  <c r="AZ229" i="3"/>
  <c r="AZ230" i="3"/>
  <c r="AZ231" i="3"/>
  <c r="AZ232" i="3"/>
  <c r="AZ233" i="3"/>
  <c r="AZ234" i="3"/>
  <c r="AZ235" i="3"/>
  <c r="AZ236" i="3"/>
  <c r="AZ237" i="3"/>
  <c r="AZ238" i="3"/>
  <c r="AZ239" i="3"/>
  <c r="AZ240" i="3"/>
  <c r="AZ241" i="3"/>
  <c r="AZ242" i="3"/>
  <c r="AZ243" i="3"/>
  <c r="AZ244" i="3"/>
  <c r="AZ245" i="3"/>
  <c r="AZ246" i="3"/>
  <c r="AZ247" i="3"/>
  <c r="AZ248" i="3"/>
  <c r="AZ249" i="3"/>
  <c r="AZ250" i="3"/>
  <c r="AZ251" i="3"/>
  <c r="AZ252" i="3"/>
  <c r="AZ253" i="3"/>
  <c r="AZ254" i="3"/>
  <c r="AZ255" i="3"/>
  <c r="AZ256" i="3"/>
  <c r="AZ257" i="3"/>
  <c r="AZ258" i="3"/>
  <c r="AZ259" i="3"/>
  <c r="AZ260" i="3"/>
  <c r="AZ261" i="3"/>
  <c r="AZ262" i="3"/>
  <c r="AZ263" i="3"/>
  <c r="AZ264" i="3"/>
  <c r="AZ265" i="3"/>
  <c r="AZ266" i="3"/>
  <c r="AZ267" i="3"/>
  <c r="AZ268" i="3"/>
  <c r="AZ269" i="3"/>
  <c r="AZ270" i="3"/>
  <c r="AZ271" i="3"/>
  <c r="AZ272" i="3"/>
  <c r="AZ273" i="3"/>
  <c r="AZ274" i="3"/>
  <c r="AZ275" i="3"/>
  <c r="AZ276" i="3"/>
  <c r="AZ277" i="3"/>
  <c r="AZ278" i="3"/>
  <c r="AZ279" i="3"/>
  <c r="AZ280" i="3"/>
  <c r="AZ281" i="3"/>
  <c r="AZ282" i="3"/>
  <c r="AZ283" i="3"/>
  <c r="AZ284" i="3"/>
  <c r="AZ285" i="3"/>
  <c r="AZ286" i="3"/>
  <c r="AZ287" i="3"/>
  <c r="AZ288" i="3"/>
  <c r="AZ289" i="3"/>
  <c r="AZ290" i="3"/>
  <c r="AZ291" i="3"/>
  <c r="AZ292" i="3"/>
  <c r="AZ293" i="3"/>
  <c r="AZ294" i="3"/>
  <c r="AZ295" i="3"/>
  <c r="AZ296" i="3"/>
  <c r="AZ297" i="3"/>
  <c r="AZ298" i="3"/>
  <c r="AZ299" i="3"/>
  <c r="AZ300" i="3"/>
  <c r="AZ301" i="3"/>
  <c r="AZ302" i="3"/>
  <c r="AZ303" i="3"/>
  <c r="AZ304" i="3"/>
  <c r="AZ305" i="3"/>
  <c r="AZ306" i="3"/>
  <c r="AZ307" i="3"/>
  <c r="AZ308" i="3"/>
  <c r="AZ309" i="3"/>
  <c r="AZ310" i="3"/>
  <c r="AZ311" i="3"/>
  <c r="AZ312" i="3"/>
  <c r="AZ313" i="3"/>
  <c r="AZ314" i="3"/>
  <c r="AZ315" i="3"/>
  <c r="AZ316" i="3"/>
  <c r="AZ317" i="3"/>
  <c r="AZ318" i="3"/>
  <c r="AZ319" i="3"/>
  <c r="AZ320" i="3"/>
  <c r="AZ321" i="3"/>
  <c r="AZ322" i="3"/>
  <c r="AZ323" i="3"/>
  <c r="AZ324" i="3"/>
  <c r="AZ325" i="3"/>
  <c r="AZ326" i="3"/>
  <c r="AZ327" i="3"/>
  <c r="AZ328" i="3"/>
  <c r="AZ329" i="3"/>
  <c r="AZ330" i="3"/>
  <c r="AZ331" i="3"/>
  <c r="AZ332" i="3"/>
  <c r="AZ333" i="3"/>
  <c r="AZ334" i="3"/>
  <c r="AZ335" i="3"/>
  <c r="AZ336" i="3"/>
  <c r="AZ337" i="3"/>
  <c r="AZ338" i="3"/>
  <c r="AZ339" i="3"/>
  <c r="AZ340" i="3"/>
  <c r="AZ341" i="3"/>
  <c r="AZ342" i="3"/>
  <c r="AZ343" i="3"/>
  <c r="AZ344" i="3"/>
  <c r="AZ345" i="3"/>
  <c r="AZ346" i="3"/>
  <c r="AZ347" i="3"/>
  <c r="AZ348" i="3"/>
  <c r="AZ349" i="3"/>
  <c r="AZ350" i="3"/>
  <c r="AZ351" i="3"/>
  <c r="AZ352" i="3"/>
  <c r="AZ353" i="3"/>
  <c r="AZ354" i="3"/>
  <c r="AZ355" i="3"/>
  <c r="AZ356" i="3"/>
  <c r="AZ357" i="3"/>
  <c r="AX39" i="3"/>
  <c r="AX40" i="3"/>
  <c r="AX41" i="3"/>
  <c r="AX42" i="3"/>
  <c r="AX43" i="3"/>
  <c r="AX44" i="3"/>
  <c r="AX45" i="3"/>
  <c r="AX46" i="3"/>
  <c r="AX47" i="3"/>
  <c r="AX48" i="3"/>
  <c r="AX49" i="3"/>
  <c r="AX50" i="3"/>
  <c r="AX51" i="3"/>
  <c r="AX52" i="3"/>
  <c r="AX53" i="3"/>
  <c r="AX54" i="3"/>
  <c r="AX55" i="3"/>
  <c r="AX56" i="3"/>
  <c r="AX57" i="3"/>
  <c r="AX58" i="3"/>
  <c r="AX59" i="3"/>
  <c r="AX60" i="3"/>
  <c r="AX61" i="3"/>
  <c r="AX62" i="3"/>
  <c r="AX63" i="3"/>
  <c r="AX64" i="3"/>
  <c r="AX65" i="3"/>
  <c r="AX66" i="3"/>
  <c r="AX67" i="3"/>
  <c r="AX68" i="3"/>
  <c r="AX69" i="3"/>
  <c r="AX70" i="3"/>
  <c r="AX71" i="3"/>
  <c r="AX72" i="3"/>
  <c r="AX73" i="3"/>
  <c r="AX74" i="3"/>
  <c r="AX75" i="3"/>
  <c r="AX76" i="3"/>
  <c r="AX77" i="3"/>
  <c r="AX78" i="3"/>
  <c r="AX79" i="3"/>
  <c r="AX80" i="3"/>
  <c r="AX81" i="3"/>
  <c r="AX82" i="3"/>
  <c r="AX83" i="3"/>
  <c r="AX84" i="3"/>
  <c r="AX85" i="3"/>
  <c r="AX86" i="3"/>
  <c r="AX87" i="3"/>
  <c r="AX88" i="3"/>
  <c r="AX89" i="3"/>
  <c r="AX90" i="3"/>
  <c r="AX91" i="3"/>
  <c r="AX92" i="3"/>
  <c r="AX93" i="3"/>
  <c r="AX94" i="3"/>
  <c r="AX95" i="3"/>
  <c r="AX96" i="3"/>
  <c r="AX97" i="3"/>
  <c r="AX98" i="3"/>
  <c r="AX99" i="3"/>
  <c r="AX100" i="3"/>
  <c r="AX101" i="3"/>
  <c r="AX102" i="3"/>
  <c r="AX103" i="3"/>
  <c r="AX104" i="3"/>
  <c r="AX105" i="3"/>
  <c r="AX106" i="3"/>
  <c r="AX107" i="3"/>
  <c r="AX108" i="3"/>
  <c r="AX109" i="3"/>
  <c r="AX110" i="3"/>
  <c r="AX111" i="3"/>
  <c r="AX112" i="3"/>
  <c r="AX113" i="3"/>
  <c r="AX114" i="3"/>
  <c r="AX115" i="3"/>
  <c r="AX116" i="3"/>
  <c r="AX117" i="3"/>
  <c r="AX118" i="3"/>
  <c r="AX119" i="3"/>
  <c r="AX120" i="3"/>
  <c r="AX121" i="3"/>
  <c r="AX122" i="3"/>
  <c r="AX123" i="3"/>
  <c r="AX124" i="3"/>
  <c r="AX125" i="3"/>
  <c r="AX126" i="3"/>
  <c r="AX127" i="3"/>
  <c r="AX128" i="3"/>
  <c r="AX129" i="3"/>
  <c r="AX130" i="3"/>
  <c r="AX131" i="3"/>
  <c r="AX132" i="3"/>
  <c r="AX133" i="3"/>
  <c r="AX134" i="3"/>
  <c r="AX135" i="3"/>
  <c r="AX136" i="3"/>
  <c r="AX137" i="3"/>
  <c r="AX138" i="3"/>
  <c r="AX139" i="3"/>
  <c r="AX140" i="3"/>
  <c r="AX141" i="3"/>
  <c r="AX142" i="3"/>
  <c r="AX143" i="3"/>
  <c r="AX144" i="3"/>
  <c r="AX145" i="3"/>
  <c r="AX146" i="3"/>
  <c r="AX147" i="3"/>
  <c r="AX148" i="3"/>
  <c r="AX149" i="3"/>
  <c r="AX150" i="3"/>
  <c r="AX151" i="3"/>
  <c r="AX152" i="3"/>
  <c r="AX153" i="3"/>
  <c r="AX154" i="3"/>
  <c r="AX155" i="3"/>
  <c r="AX156" i="3"/>
  <c r="AX157" i="3"/>
  <c r="AX158" i="3"/>
  <c r="AX159" i="3"/>
  <c r="AX160" i="3"/>
  <c r="AX161" i="3"/>
  <c r="AX162" i="3"/>
  <c r="AX163" i="3"/>
  <c r="AX164" i="3"/>
  <c r="AX165" i="3"/>
  <c r="AX166" i="3"/>
  <c r="AX167" i="3"/>
  <c r="AX168" i="3"/>
  <c r="AX169" i="3"/>
  <c r="AX170" i="3"/>
  <c r="AX171" i="3"/>
  <c r="AX172" i="3"/>
  <c r="AX173" i="3"/>
  <c r="AX174" i="3"/>
  <c r="AX175" i="3"/>
  <c r="AX176" i="3"/>
  <c r="AX177" i="3"/>
  <c r="AX178" i="3"/>
  <c r="AX179" i="3"/>
  <c r="AX180" i="3"/>
  <c r="AX181" i="3"/>
  <c r="AX182" i="3"/>
  <c r="AX183" i="3"/>
  <c r="AX184" i="3"/>
  <c r="AX185" i="3"/>
  <c r="AX186" i="3"/>
  <c r="AX187" i="3"/>
  <c r="AX188" i="3"/>
  <c r="AX189" i="3"/>
  <c r="AX190" i="3"/>
  <c r="AX191" i="3"/>
  <c r="AX192" i="3"/>
  <c r="AX193" i="3"/>
  <c r="AX194" i="3"/>
  <c r="AX195" i="3"/>
  <c r="AX196" i="3"/>
  <c r="AX197" i="3"/>
  <c r="AX198" i="3"/>
  <c r="AX199" i="3"/>
  <c r="AX200" i="3"/>
  <c r="AX201" i="3"/>
  <c r="AX202" i="3"/>
  <c r="AX203" i="3"/>
  <c r="AX204" i="3"/>
  <c r="AX205" i="3"/>
  <c r="AX206" i="3"/>
  <c r="AX207" i="3"/>
  <c r="AX208" i="3"/>
  <c r="AX209" i="3"/>
  <c r="AX210" i="3"/>
  <c r="AX211" i="3"/>
  <c r="AX212" i="3"/>
  <c r="AX213" i="3"/>
  <c r="AX214" i="3"/>
  <c r="AX215" i="3"/>
  <c r="AX216" i="3"/>
  <c r="AX217" i="3"/>
  <c r="AX218" i="3"/>
  <c r="AX219" i="3"/>
  <c r="AX220" i="3"/>
  <c r="AX221" i="3"/>
  <c r="AX222" i="3"/>
  <c r="AX223" i="3"/>
  <c r="AX224" i="3"/>
  <c r="AX225" i="3"/>
  <c r="AX226" i="3"/>
  <c r="AX227" i="3"/>
  <c r="AX228" i="3"/>
  <c r="AX229" i="3"/>
  <c r="AX230" i="3"/>
  <c r="AX231" i="3"/>
  <c r="AX232" i="3"/>
  <c r="AX233" i="3"/>
  <c r="AX234" i="3"/>
  <c r="AX235" i="3"/>
  <c r="AX236" i="3"/>
  <c r="AX237" i="3"/>
  <c r="AX238" i="3"/>
  <c r="AX239" i="3"/>
  <c r="AX240" i="3"/>
  <c r="AX241" i="3"/>
  <c r="AX242" i="3"/>
  <c r="AX243" i="3"/>
  <c r="AX244" i="3"/>
  <c r="AX245" i="3"/>
  <c r="AX246" i="3"/>
  <c r="AX247" i="3"/>
  <c r="AX248" i="3"/>
  <c r="AX249" i="3"/>
  <c r="AX250" i="3"/>
  <c r="AX251" i="3"/>
  <c r="AX252" i="3"/>
  <c r="AX253" i="3"/>
  <c r="AX254" i="3"/>
  <c r="AX255" i="3"/>
  <c r="AX256" i="3"/>
  <c r="AX257" i="3"/>
  <c r="AX258" i="3"/>
  <c r="AX259" i="3"/>
  <c r="AX260" i="3"/>
  <c r="AX261" i="3"/>
  <c r="AX262" i="3"/>
  <c r="AX263" i="3"/>
  <c r="AX264" i="3"/>
  <c r="AX265" i="3"/>
  <c r="AX266" i="3"/>
  <c r="AX267" i="3"/>
  <c r="AX268" i="3"/>
  <c r="AX269" i="3"/>
  <c r="AX270" i="3"/>
  <c r="AX271" i="3"/>
  <c r="AX272" i="3"/>
  <c r="AX273" i="3"/>
  <c r="AX274" i="3"/>
  <c r="AX275" i="3"/>
  <c r="AX276" i="3"/>
  <c r="AX277" i="3"/>
  <c r="AX278" i="3"/>
  <c r="AX279" i="3"/>
  <c r="AX280" i="3"/>
  <c r="AX281" i="3"/>
  <c r="AX282" i="3"/>
  <c r="AX283" i="3"/>
  <c r="AX284" i="3"/>
  <c r="AX285" i="3"/>
  <c r="AX286" i="3"/>
  <c r="AX287" i="3"/>
  <c r="AX288" i="3"/>
  <c r="AX289" i="3"/>
  <c r="AX290" i="3"/>
  <c r="AX291" i="3"/>
  <c r="AX292" i="3"/>
  <c r="AX293" i="3"/>
  <c r="AX294" i="3"/>
  <c r="AX295" i="3"/>
  <c r="AX296" i="3"/>
  <c r="AX297" i="3"/>
  <c r="AX298" i="3"/>
  <c r="AX299" i="3"/>
  <c r="AX300" i="3"/>
  <c r="AX301" i="3"/>
  <c r="AX302" i="3"/>
  <c r="AX303" i="3"/>
  <c r="AX304" i="3"/>
  <c r="AX305" i="3"/>
  <c r="AX306" i="3"/>
  <c r="AX307" i="3"/>
  <c r="AX308" i="3"/>
  <c r="AX309" i="3"/>
  <c r="AX310" i="3"/>
  <c r="AX311" i="3"/>
  <c r="AX312" i="3"/>
  <c r="AX313" i="3"/>
  <c r="AX314" i="3"/>
  <c r="AX315" i="3"/>
  <c r="AX316" i="3"/>
  <c r="AX317" i="3"/>
  <c r="AX318" i="3"/>
  <c r="AX319" i="3"/>
  <c r="AX320" i="3"/>
  <c r="AX321" i="3"/>
  <c r="AX322" i="3"/>
  <c r="AX323" i="3"/>
  <c r="AX324" i="3"/>
  <c r="AX325" i="3"/>
  <c r="AX326" i="3"/>
  <c r="AX327" i="3"/>
  <c r="AX328" i="3"/>
  <c r="AX329" i="3"/>
  <c r="AX330" i="3"/>
  <c r="AX331" i="3"/>
  <c r="AX332" i="3"/>
  <c r="AX333" i="3"/>
  <c r="AX334" i="3"/>
  <c r="AX335" i="3"/>
  <c r="AX336" i="3"/>
  <c r="AX337" i="3"/>
  <c r="AX338" i="3"/>
  <c r="AX339" i="3"/>
  <c r="AX340" i="3"/>
  <c r="AX341" i="3"/>
  <c r="AX342" i="3"/>
  <c r="AX343" i="3"/>
  <c r="AX344" i="3"/>
  <c r="AX345" i="3"/>
  <c r="AX346" i="3"/>
  <c r="AX347" i="3"/>
  <c r="AX348" i="3"/>
  <c r="AX349" i="3"/>
  <c r="AX350" i="3"/>
  <c r="AX351" i="3"/>
  <c r="AX352" i="3"/>
  <c r="AX353" i="3"/>
  <c r="AX354" i="3"/>
  <c r="AX355" i="3"/>
  <c r="AX356" i="3"/>
  <c r="AX357"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AV84" i="3"/>
  <c r="AV85" i="3"/>
  <c r="AV86" i="3"/>
  <c r="AV87" i="3"/>
  <c r="AV88" i="3"/>
  <c r="AV89" i="3"/>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26" i="3"/>
  <c r="AV227" i="3"/>
  <c r="AV228" i="3"/>
  <c r="AV229" i="3"/>
  <c r="AV230" i="3"/>
  <c r="AV231" i="3"/>
  <c r="AV232" i="3"/>
  <c r="AV233" i="3"/>
  <c r="AV234" i="3"/>
  <c r="AV23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01" i="3"/>
  <c r="AV302" i="3"/>
  <c r="AV303" i="3"/>
  <c r="AV304" i="3"/>
  <c r="AV305" i="3"/>
  <c r="AV306" i="3"/>
  <c r="AV307" i="3"/>
  <c r="AV308" i="3"/>
  <c r="AV309" i="3"/>
  <c r="AV310" i="3"/>
  <c r="AV311" i="3"/>
  <c r="AV312" i="3"/>
  <c r="AV313" i="3"/>
  <c r="AV314" i="3"/>
  <c r="AV315" i="3"/>
  <c r="AV316" i="3"/>
  <c r="AV317" i="3"/>
  <c r="AV318" i="3"/>
  <c r="AV319" i="3"/>
  <c r="AV320" i="3"/>
  <c r="AV321" i="3"/>
  <c r="AV322" i="3"/>
  <c r="AV323" i="3"/>
  <c r="AV324" i="3"/>
  <c r="AV325" i="3"/>
  <c r="AV326" i="3"/>
  <c r="AV327" i="3"/>
  <c r="AV328" i="3"/>
  <c r="AV329" i="3"/>
  <c r="AV330" i="3"/>
  <c r="AV331" i="3"/>
  <c r="AV332" i="3"/>
  <c r="AV333" i="3"/>
  <c r="AV334" i="3"/>
  <c r="AV335" i="3"/>
  <c r="AV336" i="3"/>
  <c r="AV337" i="3"/>
  <c r="AV338" i="3"/>
  <c r="AV339" i="3"/>
  <c r="AV340" i="3"/>
  <c r="AV341" i="3"/>
  <c r="AV342" i="3"/>
  <c r="AV343" i="3"/>
  <c r="AV344" i="3"/>
  <c r="AV345" i="3"/>
  <c r="AV346" i="3"/>
  <c r="AV347" i="3"/>
  <c r="AV348" i="3"/>
  <c r="AV349" i="3"/>
  <c r="AV350" i="3"/>
  <c r="AV351" i="3"/>
  <c r="AV352" i="3"/>
  <c r="AV353" i="3"/>
  <c r="AV354" i="3"/>
  <c r="AV355" i="3"/>
  <c r="AV356" i="3"/>
  <c r="AV357" i="3"/>
  <c r="AT39" i="3"/>
  <c r="AT40" i="3"/>
  <c r="AT41" i="3"/>
  <c r="AT42" i="3"/>
  <c r="AT43" i="3"/>
  <c r="AT44" i="3"/>
  <c r="AT45" i="3"/>
  <c r="AT46" i="3"/>
  <c r="AT47" i="3"/>
  <c r="AT48" i="3"/>
  <c r="AT49" i="3"/>
  <c r="AT50" i="3"/>
  <c r="AT51" i="3"/>
  <c r="AT52" i="3"/>
  <c r="AT53" i="3"/>
  <c r="AT54" i="3"/>
  <c r="AT55" i="3"/>
  <c r="AT56" i="3"/>
  <c r="AT57" i="3"/>
  <c r="AT58" i="3"/>
  <c r="AT59" i="3"/>
  <c r="AT60" i="3"/>
  <c r="AT61" i="3"/>
  <c r="AT62" i="3"/>
  <c r="AT63" i="3"/>
  <c r="AT64" i="3"/>
  <c r="AT65" i="3"/>
  <c r="AT66" i="3"/>
  <c r="AT67" i="3"/>
  <c r="AT68" i="3"/>
  <c r="AT69" i="3"/>
  <c r="AT70" i="3"/>
  <c r="AT71" i="3"/>
  <c r="AT72" i="3"/>
  <c r="AT73" i="3"/>
  <c r="AT74" i="3"/>
  <c r="AT75" i="3"/>
  <c r="AT76" i="3"/>
  <c r="AT77" i="3"/>
  <c r="AT78" i="3"/>
  <c r="AT79" i="3"/>
  <c r="AT80" i="3"/>
  <c r="AT81" i="3"/>
  <c r="AT82" i="3"/>
  <c r="AT83" i="3"/>
  <c r="AT84" i="3"/>
  <c r="AT85" i="3"/>
  <c r="AT86" i="3"/>
  <c r="AT87" i="3"/>
  <c r="AT88" i="3"/>
  <c r="AT89" i="3"/>
  <c r="AT90" i="3"/>
  <c r="AT91" i="3"/>
  <c r="AT92" i="3"/>
  <c r="AT93" i="3"/>
  <c r="AT94" i="3"/>
  <c r="AT95" i="3"/>
  <c r="AT96" i="3"/>
  <c r="AT97" i="3"/>
  <c r="AT98" i="3"/>
  <c r="AT99" i="3"/>
  <c r="AT100" i="3"/>
  <c r="AT101" i="3"/>
  <c r="AT102" i="3"/>
  <c r="AT103" i="3"/>
  <c r="AT104" i="3"/>
  <c r="AT105" i="3"/>
  <c r="AT106" i="3"/>
  <c r="AT107" i="3"/>
  <c r="AT108" i="3"/>
  <c r="AT109" i="3"/>
  <c r="AT110" i="3"/>
  <c r="AT111" i="3"/>
  <c r="AT112" i="3"/>
  <c r="AT113" i="3"/>
  <c r="AT114" i="3"/>
  <c r="AT115" i="3"/>
  <c r="AT116" i="3"/>
  <c r="AT117" i="3"/>
  <c r="AT118" i="3"/>
  <c r="AT119" i="3"/>
  <c r="AT120" i="3"/>
  <c r="AT121" i="3"/>
  <c r="AT122" i="3"/>
  <c r="AT123" i="3"/>
  <c r="AT124" i="3"/>
  <c r="AT125" i="3"/>
  <c r="AT126" i="3"/>
  <c r="AT127" i="3"/>
  <c r="AT128" i="3"/>
  <c r="AT129" i="3"/>
  <c r="AT130" i="3"/>
  <c r="AT131" i="3"/>
  <c r="AT132" i="3"/>
  <c r="AT133" i="3"/>
  <c r="AT134" i="3"/>
  <c r="AT135" i="3"/>
  <c r="AT136" i="3"/>
  <c r="AT137" i="3"/>
  <c r="AT138" i="3"/>
  <c r="AT139" i="3"/>
  <c r="AT140" i="3"/>
  <c r="AT141" i="3"/>
  <c r="AT142" i="3"/>
  <c r="AT143" i="3"/>
  <c r="AT144" i="3"/>
  <c r="AT145" i="3"/>
  <c r="AT146" i="3"/>
  <c r="AT147" i="3"/>
  <c r="AT148" i="3"/>
  <c r="AT149" i="3"/>
  <c r="AT150" i="3"/>
  <c r="AT151" i="3"/>
  <c r="AT152" i="3"/>
  <c r="AT153" i="3"/>
  <c r="AT154" i="3"/>
  <c r="AT155" i="3"/>
  <c r="AT156" i="3"/>
  <c r="AT157" i="3"/>
  <c r="AT158" i="3"/>
  <c r="AT159" i="3"/>
  <c r="AT160" i="3"/>
  <c r="AT161" i="3"/>
  <c r="AT162" i="3"/>
  <c r="AT163" i="3"/>
  <c r="AT164" i="3"/>
  <c r="AT165" i="3"/>
  <c r="AT166" i="3"/>
  <c r="AT167" i="3"/>
  <c r="AT168" i="3"/>
  <c r="AT169" i="3"/>
  <c r="AT170" i="3"/>
  <c r="AT171" i="3"/>
  <c r="AT172" i="3"/>
  <c r="AT173" i="3"/>
  <c r="AT174" i="3"/>
  <c r="AT175" i="3"/>
  <c r="AT176" i="3"/>
  <c r="AT177" i="3"/>
  <c r="AT178" i="3"/>
  <c r="AT179" i="3"/>
  <c r="AT180" i="3"/>
  <c r="AT181" i="3"/>
  <c r="AT182" i="3"/>
  <c r="AT183" i="3"/>
  <c r="AT184" i="3"/>
  <c r="AT185" i="3"/>
  <c r="AT186" i="3"/>
  <c r="AT187" i="3"/>
  <c r="AT188" i="3"/>
  <c r="AT189" i="3"/>
  <c r="AT190" i="3"/>
  <c r="AT191" i="3"/>
  <c r="AT192" i="3"/>
  <c r="AT193" i="3"/>
  <c r="AT194" i="3"/>
  <c r="AT195" i="3"/>
  <c r="AT196" i="3"/>
  <c r="AT197" i="3"/>
  <c r="AT198" i="3"/>
  <c r="AT199" i="3"/>
  <c r="AT200" i="3"/>
  <c r="AT201" i="3"/>
  <c r="AT202" i="3"/>
  <c r="AT203" i="3"/>
  <c r="AT204" i="3"/>
  <c r="AT205" i="3"/>
  <c r="AT206" i="3"/>
  <c r="AT207" i="3"/>
  <c r="AT208" i="3"/>
  <c r="AT209" i="3"/>
  <c r="AT210" i="3"/>
  <c r="AT211" i="3"/>
  <c r="AT212" i="3"/>
  <c r="AT213" i="3"/>
  <c r="AT214" i="3"/>
  <c r="AT215" i="3"/>
  <c r="AT216" i="3"/>
  <c r="AT217" i="3"/>
  <c r="AT218" i="3"/>
  <c r="AT219" i="3"/>
  <c r="AT220" i="3"/>
  <c r="AT221" i="3"/>
  <c r="AT222" i="3"/>
  <c r="AT223" i="3"/>
  <c r="AT224" i="3"/>
  <c r="AT225" i="3"/>
  <c r="AT226" i="3"/>
  <c r="AT227" i="3"/>
  <c r="AT228" i="3"/>
  <c r="AT229" i="3"/>
  <c r="AT230" i="3"/>
  <c r="AT231" i="3"/>
  <c r="AT232" i="3"/>
  <c r="AT233" i="3"/>
  <c r="AT234" i="3"/>
  <c r="AT235" i="3"/>
  <c r="AT236" i="3"/>
  <c r="AT237" i="3"/>
  <c r="AT238" i="3"/>
  <c r="AT239" i="3"/>
  <c r="AT240" i="3"/>
  <c r="AT241" i="3"/>
  <c r="AT242" i="3"/>
  <c r="AT243" i="3"/>
  <c r="AT244" i="3"/>
  <c r="AT245" i="3"/>
  <c r="AT246" i="3"/>
  <c r="AT247" i="3"/>
  <c r="AT248" i="3"/>
  <c r="AT249" i="3"/>
  <c r="AT250" i="3"/>
  <c r="AT251" i="3"/>
  <c r="AT252" i="3"/>
  <c r="AT253" i="3"/>
  <c r="AT254" i="3"/>
  <c r="AT255" i="3"/>
  <c r="AT256" i="3"/>
  <c r="AT257" i="3"/>
  <c r="AT258" i="3"/>
  <c r="AT259" i="3"/>
  <c r="AT260" i="3"/>
  <c r="AT261" i="3"/>
  <c r="AT262" i="3"/>
  <c r="AT263" i="3"/>
  <c r="AT264" i="3"/>
  <c r="AT265" i="3"/>
  <c r="AT266" i="3"/>
  <c r="AT267" i="3"/>
  <c r="AT268" i="3"/>
  <c r="AT269" i="3"/>
  <c r="AT270" i="3"/>
  <c r="AT271" i="3"/>
  <c r="AT272" i="3"/>
  <c r="AT273" i="3"/>
  <c r="AT274" i="3"/>
  <c r="AT275" i="3"/>
  <c r="AT276" i="3"/>
  <c r="AT277" i="3"/>
  <c r="AT278" i="3"/>
  <c r="AT279" i="3"/>
  <c r="AT280" i="3"/>
  <c r="AT281" i="3"/>
  <c r="AT282" i="3"/>
  <c r="AT283" i="3"/>
  <c r="AT284" i="3"/>
  <c r="AT285" i="3"/>
  <c r="AT286" i="3"/>
  <c r="AT287" i="3"/>
  <c r="AT288" i="3"/>
  <c r="AT289" i="3"/>
  <c r="AT290" i="3"/>
  <c r="AT291" i="3"/>
  <c r="AT292" i="3"/>
  <c r="AT293" i="3"/>
  <c r="AT294" i="3"/>
  <c r="AT295" i="3"/>
  <c r="AT296" i="3"/>
  <c r="AT297" i="3"/>
  <c r="AT298" i="3"/>
  <c r="AT299" i="3"/>
  <c r="AT300" i="3"/>
  <c r="AT301" i="3"/>
  <c r="AT302" i="3"/>
  <c r="AT303" i="3"/>
  <c r="AT304" i="3"/>
  <c r="AT305" i="3"/>
  <c r="AT306" i="3"/>
  <c r="AT307" i="3"/>
  <c r="AT308" i="3"/>
  <c r="AT309" i="3"/>
  <c r="AT310" i="3"/>
  <c r="AT311" i="3"/>
  <c r="AT312" i="3"/>
  <c r="AT313" i="3"/>
  <c r="AT314" i="3"/>
  <c r="AT315" i="3"/>
  <c r="AT316" i="3"/>
  <c r="AT317" i="3"/>
  <c r="AT318" i="3"/>
  <c r="AT319" i="3"/>
  <c r="AT320" i="3"/>
  <c r="AT321" i="3"/>
  <c r="AT322" i="3"/>
  <c r="AT323" i="3"/>
  <c r="AT324" i="3"/>
  <c r="AT325" i="3"/>
  <c r="AT326" i="3"/>
  <c r="AT327" i="3"/>
  <c r="AT328" i="3"/>
  <c r="AT329" i="3"/>
  <c r="AT330" i="3"/>
  <c r="AT331" i="3"/>
  <c r="AT332" i="3"/>
  <c r="AT333" i="3"/>
  <c r="AT334" i="3"/>
  <c r="AT335" i="3"/>
  <c r="AT336" i="3"/>
  <c r="AT337" i="3"/>
  <c r="AT338" i="3"/>
  <c r="AT339" i="3"/>
  <c r="AT340" i="3"/>
  <c r="AT341" i="3"/>
  <c r="AT342" i="3"/>
  <c r="AT343" i="3"/>
  <c r="AT344" i="3"/>
  <c r="AT345" i="3"/>
  <c r="AT346" i="3"/>
  <c r="AT347" i="3"/>
  <c r="AT348" i="3"/>
  <c r="AT349" i="3"/>
  <c r="AT350" i="3"/>
  <c r="AT351" i="3"/>
  <c r="AT352" i="3"/>
  <c r="AT353" i="3"/>
  <c r="AT354" i="3"/>
  <c r="AT355" i="3"/>
  <c r="AT356" i="3"/>
  <c r="AT357" i="3"/>
  <c r="AR38" i="3"/>
  <c r="AR39" i="3"/>
  <c r="AR40" i="3"/>
  <c r="AR41" i="3"/>
  <c r="AR42" i="3"/>
  <c r="AR43" i="3"/>
  <c r="AR44" i="3"/>
  <c r="AR45" i="3"/>
  <c r="AR46" i="3"/>
  <c r="AR47" i="3"/>
  <c r="AR48" i="3"/>
  <c r="AR49" i="3"/>
  <c r="AR50" i="3"/>
  <c r="AR51" i="3"/>
  <c r="AR52" i="3"/>
  <c r="AR53" i="3"/>
  <c r="AR54" i="3"/>
  <c r="AR55" i="3"/>
  <c r="AR56" i="3"/>
  <c r="AR57" i="3"/>
  <c r="AR58" i="3"/>
  <c r="AR59" i="3"/>
  <c r="AR60" i="3"/>
  <c r="AR61" i="3"/>
  <c r="AR62" i="3"/>
  <c r="AR63"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R273" i="3"/>
  <c r="AR274" i="3"/>
  <c r="AR275" i="3"/>
  <c r="AR276" i="3"/>
  <c r="AR277" i="3"/>
  <c r="AR278" i="3"/>
  <c r="AR279" i="3"/>
  <c r="AR280" i="3"/>
  <c r="AR281" i="3"/>
  <c r="AR282" i="3"/>
  <c r="AR283" i="3"/>
  <c r="AR284" i="3"/>
  <c r="AR285" i="3"/>
  <c r="AR286" i="3"/>
  <c r="AR287" i="3"/>
  <c r="AR288" i="3"/>
  <c r="AR289" i="3"/>
  <c r="AR290" i="3"/>
  <c r="AR291" i="3"/>
  <c r="AR292" i="3"/>
  <c r="AR293" i="3"/>
  <c r="AR294" i="3"/>
  <c r="AR295" i="3"/>
  <c r="AR296" i="3"/>
  <c r="AR297" i="3"/>
  <c r="AR298" i="3"/>
  <c r="AR299" i="3"/>
  <c r="AR300" i="3"/>
  <c r="AR301" i="3"/>
  <c r="AR302" i="3"/>
  <c r="AR303" i="3"/>
  <c r="AR304" i="3"/>
  <c r="AR305" i="3"/>
  <c r="AR306" i="3"/>
  <c r="AR307" i="3"/>
  <c r="AR308" i="3"/>
  <c r="AR309" i="3"/>
  <c r="AR310" i="3"/>
  <c r="AR311" i="3"/>
  <c r="AR312" i="3"/>
  <c r="AR313" i="3"/>
  <c r="AR314" i="3"/>
  <c r="AR315" i="3"/>
  <c r="AR316" i="3"/>
  <c r="AR317" i="3"/>
  <c r="AR318" i="3"/>
  <c r="AR319" i="3"/>
  <c r="AR320" i="3"/>
  <c r="AR321" i="3"/>
  <c r="AR322" i="3"/>
  <c r="AR323" i="3"/>
  <c r="AR324" i="3"/>
  <c r="AR325" i="3"/>
  <c r="AR326" i="3"/>
  <c r="AR327" i="3"/>
  <c r="AR328" i="3"/>
  <c r="AR329" i="3"/>
  <c r="AR330" i="3"/>
  <c r="AR331" i="3"/>
  <c r="AR332" i="3"/>
  <c r="AR333" i="3"/>
  <c r="AR334" i="3"/>
  <c r="AR335" i="3"/>
  <c r="AR336" i="3"/>
  <c r="AR337" i="3"/>
  <c r="AR338" i="3"/>
  <c r="AR339" i="3"/>
  <c r="AR340" i="3"/>
  <c r="AR341" i="3"/>
  <c r="AR342" i="3"/>
  <c r="AR343" i="3"/>
  <c r="AR344" i="3"/>
  <c r="AR345" i="3"/>
  <c r="AR346" i="3"/>
  <c r="AR347" i="3"/>
  <c r="AR348" i="3"/>
  <c r="AR349" i="3"/>
  <c r="AR350" i="3"/>
  <c r="AR351" i="3"/>
  <c r="AR352" i="3"/>
  <c r="AR353" i="3"/>
  <c r="AR354" i="3"/>
  <c r="AR355" i="3"/>
  <c r="AR356" i="3"/>
  <c r="BL38" i="3"/>
  <c r="BJ38" i="3"/>
  <c r="BH38" i="3"/>
  <c r="BD38" i="3"/>
  <c r="BB38" i="3"/>
  <c r="AZ38" i="3"/>
  <c r="AX38" i="3"/>
  <c r="AV38" i="3"/>
  <c r="AT38" i="3"/>
  <c r="AR37" i="3"/>
  <c r="BL37" i="3"/>
  <c r="BJ37" i="3"/>
  <c r="BH37" i="3"/>
  <c r="BD37" i="3"/>
  <c r="BB37" i="3"/>
  <c r="AZ37" i="3"/>
  <c r="AX37" i="3"/>
  <c r="AV37" i="3"/>
  <c r="AT37" i="3"/>
  <c r="AR36" i="3"/>
  <c r="BL36" i="3"/>
  <c r="BJ36" i="3"/>
  <c r="BH36" i="3"/>
  <c r="BD36" i="3"/>
  <c r="BB36" i="3"/>
  <c r="AZ36" i="3"/>
  <c r="AX36" i="3"/>
  <c r="AV36" i="3"/>
  <c r="AT36" i="3"/>
  <c r="AR35" i="3"/>
  <c r="BL35" i="3"/>
  <c r="BJ35" i="3"/>
  <c r="BH35" i="3"/>
  <c r="BD35" i="3"/>
  <c r="BB35" i="3"/>
  <c r="AZ35" i="3"/>
  <c r="AX35" i="3"/>
  <c r="AV35" i="3"/>
  <c r="AT35" i="3"/>
  <c r="AR34" i="3"/>
  <c r="BL34" i="3"/>
  <c r="BJ34" i="3"/>
  <c r="BH34" i="3"/>
  <c r="BD34" i="3"/>
  <c r="BB34" i="3"/>
  <c r="AZ34" i="3"/>
  <c r="AX34" i="3"/>
  <c r="AV34" i="3"/>
  <c r="AT34" i="3"/>
  <c r="AR33" i="3"/>
  <c r="BL33" i="3"/>
  <c r="BJ33" i="3"/>
  <c r="BH33" i="3"/>
  <c r="BD33" i="3"/>
  <c r="BB33" i="3"/>
  <c r="AZ33" i="3"/>
  <c r="AX33" i="3"/>
  <c r="AV33" i="3"/>
  <c r="AT33" i="3"/>
  <c r="AR32" i="3"/>
  <c r="BL32" i="3"/>
  <c r="BJ32" i="3"/>
  <c r="BH32" i="3"/>
  <c r="BD32" i="3"/>
  <c r="BB32" i="3"/>
  <c r="AZ32" i="3"/>
  <c r="AX32" i="3"/>
  <c r="AV32" i="3"/>
  <c r="AT32" i="3"/>
  <c r="AR31" i="3"/>
  <c r="BL31" i="3"/>
  <c r="BJ31" i="3"/>
  <c r="BH31" i="3"/>
  <c r="BD31" i="3"/>
  <c r="BB31" i="3"/>
  <c r="AZ31" i="3"/>
  <c r="AX31" i="3"/>
  <c r="AV31" i="3"/>
  <c r="AT31" i="3"/>
  <c r="AR30" i="3"/>
  <c r="BL30" i="3"/>
  <c r="BJ30" i="3"/>
  <c r="BH30" i="3"/>
  <c r="BD30" i="3"/>
  <c r="BB30" i="3"/>
  <c r="AZ30" i="3"/>
  <c r="AX30" i="3"/>
  <c r="AV30" i="3"/>
  <c r="AT30" i="3"/>
  <c r="AR29" i="3"/>
  <c r="BL29" i="3"/>
  <c r="BJ29" i="3"/>
  <c r="BH29" i="3"/>
  <c r="BD29" i="3"/>
  <c r="BB29" i="3"/>
  <c r="AZ29" i="3"/>
  <c r="AX29" i="3"/>
  <c r="AV29" i="3"/>
  <c r="AT29" i="3"/>
  <c r="AR28" i="3"/>
  <c r="BL28" i="3"/>
  <c r="BJ28" i="3"/>
  <c r="BH28" i="3"/>
  <c r="BD28" i="3"/>
  <c r="BB28" i="3"/>
  <c r="AZ28" i="3"/>
  <c r="AX28" i="3"/>
  <c r="AV28" i="3"/>
  <c r="AT28" i="3"/>
  <c r="AR27" i="3"/>
  <c r="BL27" i="3"/>
  <c r="BJ27" i="3"/>
  <c r="BH27" i="3"/>
  <c r="BD27" i="3"/>
  <c r="BB27" i="3"/>
  <c r="AZ27" i="3"/>
  <c r="AX27" i="3"/>
  <c r="AV27" i="3"/>
  <c r="AT27" i="3"/>
  <c r="AR26" i="3"/>
  <c r="BL26" i="3"/>
  <c r="BJ26" i="3"/>
  <c r="BH26" i="3"/>
  <c r="BD26" i="3"/>
  <c r="BB26" i="3"/>
  <c r="AZ26" i="3"/>
  <c r="AX26" i="3"/>
  <c r="AV26" i="3"/>
  <c r="AT26" i="3"/>
  <c r="AR25" i="3"/>
  <c r="BL25" i="3"/>
  <c r="BJ25" i="3"/>
  <c r="BH25" i="3"/>
  <c r="BD25" i="3"/>
  <c r="BB25" i="3"/>
  <c r="AZ25" i="3"/>
  <c r="AX25" i="3"/>
  <c r="AV25" i="3"/>
  <c r="AT25" i="3"/>
  <c r="AR24" i="3"/>
  <c r="BL24" i="3"/>
  <c r="BJ24" i="3"/>
  <c r="BH24" i="3"/>
  <c r="BD24" i="3"/>
  <c r="BB24" i="3"/>
  <c r="AZ24" i="3"/>
  <c r="AX24" i="3"/>
  <c r="AV24" i="3"/>
  <c r="AT24" i="3"/>
  <c r="AR23" i="3"/>
  <c r="BL23" i="3"/>
  <c r="BJ23" i="3"/>
  <c r="BH23" i="3"/>
  <c r="BD23" i="3"/>
  <c r="BB23" i="3"/>
  <c r="AZ23" i="3"/>
  <c r="AX23" i="3"/>
  <c r="AV23" i="3"/>
  <c r="AT23" i="3"/>
  <c r="AR22" i="3"/>
  <c r="BL22" i="3"/>
  <c r="BJ22" i="3"/>
  <c r="BH22" i="3"/>
  <c r="BD22" i="3"/>
  <c r="BB22" i="3"/>
  <c r="AZ22" i="3"/>
  <c r="AX22" i="3"/>
  <c r="AV22" i="3"/>
  <c r="AT22" i="3"/>
  <c r="AR21" i="3"/>
  <c r="BL21" i="3"/>
  <c r="BJ21" i="3"/>
  <c r="BH21" i="3"/>
  <c r="BD21" i="3"/>
  <c r="BB21" i="3"/>
  <c r="AZ21" i="3"/>
  <c r="AX21" i="3"/>
  <c r="AV21" i="3"/>
  <c r="AT21" i="3"/>
  <c r="AR20" i="3"/>
  <c r="BL20" i="3"/>
  <c r="BJ20" i="3"/>
  <c r="BH20" i="3"/>
  <c r="BD20" i="3"/>
  <c r="BB20" i="3"/>
  <c r="AZ20" i="3"/>
  <c r="AX20" i="3"/>
  <c r="AV20" i="3"/>
  <c r="AT20" i="3"/>
  <c r="AR19" i="3"/>
  <c r="BL19" i="3"/>
  <c r="BJ19" i="3"/>
  <c r="BH19" i="3"/>
  <c r="BD19" i="3"/>
  <c r="BB19" i="3"/>
  <c r="AZ19" i="3"/>
  <c r="AX19" i="3"/>
  <c r="AV19" i="3"/>
  <c r="AT19" i="3"/>
  <c r="AR18" i="3"/>
  <c r="BL18" i="3"/>
  <c r="BJ18" i="3"/>
  <c r="BH18" i="3"/>
  <c r="BD18" i="3"/>
  <c r="BB18" i="3"/>
  <c r="AZ18" i="3"/>
  <c r="AX18" i="3"/>
  <c r="AV18" i="3"/>
  <c r="AT18" i="3"/>
  <c r="AR17" i="3"/>
  <c r="BL17" i="3"/>
  <c r="BJ17" i="3"/>
  <c r="BH17" i="3"/>
  <c r="BD17" i="3"/>
  <c r="BB17" i="3"/>
  <c r="AZ17" i="3"/>
  <c r="AX17" i="3"/>
  <c r="AV17" i="3"/>
  <c r="AT17" i="3"/>
  <c r="AR16" i="3"/>
  <c r="BL16" i="3"/>
  <c r="BJ16" i="3"/>
  <c r="BH16" i="3"/>
  <c r="BD16" i="3"/>
  <c r="BB16" i="3"/>
  <c r="AZ16" i="3"/>
  <c r="AX16" i="3"/>
  <c r="AV16" i="3"/>
  <c r="AT16" i="3"/>
  <c r="AR15" i="3"/>
  <c r="BL15" i="3"/>
  <c r="BJ15" i="3"/>
  <c r="BH15" i="3"/>
  <c r="BD15" i="3"/>
  <c r="BB15" i="3"/>
  <c r="AZ15" i="3"/>
  <c r="AX15" i="3"/>
  <c r="AV15" i="3"/>
  <c r="AT15" i="3"/>
  <c r="AR14" i="3"/>
  <c r="BL14" i="3"/>
  <c r="BJ14" i="3"/>
  <c r="BH14" i="3"/>
  <c r="BD14" i="3"/>
  <c r="BB14" i="3"/>
  <c r="AZ14" i="3"/>
  <c r="AX14" i="3"/>
  <c r="AV14" i="3"/>
  <c r="AT14" i="3"/>
  <c r="AR13" i="3"/>
  <c r="BL13" i="3"/>
  <c r="BJ13" i="3"/>
  <c r="BH13" i="3"/>
  <c r="BD13" i="3"/>
  <c r="BB13" i="3"/>
  <c r="AZ13" i="3"/>
  <c r="AX13" i="3"/>
  <c r="AV13" i="3"/>
  <c r="AT13" i="3"/>
  <c r="AR12" i="3"/>
  <c r="BL12" i="3"/>
  <c r="BJ12" i="3"/>
  <c r="BH12" i="3"/>
  <c r="BD12" i="3"/>
  <c r="BB12" i="3"/>
  <c r="AZ12" i="3"/>
  <c r="AX12" i="3"/>
  <c r="AV12" i="3"/>
  <c r="AT12" i="3"/>
  <c r="AR11" i="3"/>
  <c r="BL11" i="3"/>
  <c r="BJ11" i="3"/>
  <c r="BH11" i="3"/>
  <c r="BD11" i="3"/>
  <c r="BB11" i="3"/>
  <c r="AZ11" i="3"/>
  <c r="AX11" i="3"/>
  <c r="AV11" i="3"/>
  <c r="AT11" i="3"/>
  <c r="AR10" i="3"/>
  <c r="BL10" i="3"/>
  <c r="BJ10" i="3"/>
  <c r="BH10" i="3"/>
  <c r="BD10" i="3"/>
  <c r="BB10" i="3"/>
  <c r="AZ10" i="3"/>
  <c r="AX10" i="3"/>
  <c r="AV10" i="3"/>
  <c r="AT10" i="3"/>
  <c r="AR9" i="3"/>
  <c r="BL9" i="3"/>
  <c r="BJ9" i="3"/>
  <c r="BH9" i="3"/>
  <c r="BD9" i="3"/>
  <c r="BB9" i="3"/>
  <c r="AZ9" i="3"/>
  <c r="AX9" i="3"/>
  <c r="AV9" i="3"/>
  <c r="AT9" i="3"/>
  <c r="AR8" i="3"/>
  <c r="BL8" i="3"/>
  <c r="BJ8" i="3"/>
  <c r="BH8" i="3"/>
  <c r="BD8" i="3"/>
  <c r="BB8" i="3"/>
  <c r="AZ8" i="3"/>
  <c r="AX8" i="3"/>
  <c r="AV8" i="3"/>
  <c r="AT8" i="3"/>
  <c r="AR7" i="3"/>
  <c r="BL7" i="3"/>
  <c r="BJ7" i="3"/>
  <c r="BH7" i="3"/>
  <c r="BD7" i="3"/>
  <c r="BB7" i="3"/>
  <c r="AZ7" i="3"/>
  <c r="AX7" i="3"/>
  <c r="AV7" i="3"/>
  <c r="AT7" i="3"/>
  <c r="AR6" i="3"/>
  <c r="BL6" i="3"/>
  <c r="BJ6" i="3"/>
  <c r="BH6" i="3"/>
  <c r="BD6" i="3"/>
  <c r="BB6" i="3"/>
  <c r="AZ6" i="3"/>
  <c r="AX6" i="3"/>
  <c r="AV6" i="3"/>
  <c r="AT6" i="3"/>
  <c r="AR5" i="3"/>
  <c r="BL5" i="3"/>
  <c r="BJ5" i="3"/>
  <c r="BH5" i="3"/>
  <c r="BD5" i="3"/>
  <c r="BB5" i="3"/>
  <c r="AZ5" i="3"/>
  <c r="AX5" i="3"/>
  <c r="AV5" i="3"/>
  <c r="AT5" i="3"/>
  <c r="AR4" i="3"/>
  <c r="Z15" i="3" l="1"/>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134" i="3"/>
  <c r="Z135" i="3"/>
  <c r="Z136" i="3"/>
  <c r="Z137" i="3"/>
  <c r="Z138" i="3"/>
  <c r="Z139" i="3"/>
  <c r="Z140" i="3"/>
  <c r="Z141" i="3"/>
  <c r="Z142" i="3"/>
  <c r="Z143" i="3"/>
  <c r="Z144" i="3"/>
  <c r="Z145" i="3"/>
  <c r="Z146" i="3"/>
  <c r="Z147" i="3"/>
  <c r="Z148" i="3"/>
  <c r="Z149" i="3"/>
  <c r="Z150" i="3"/>
  <c r="Z151" i="3"/>
  <c r="Z152" i="3"/>
  <c r="Z153" i="3"/>
  <c r="Z154" i="3"/>
  <c r="Z155" i="3"/>
  <c r="Z156" i="3"/>
  <c r="Z157" i="3"/>
  <c r="Z158" i="3"/>
  <c r="Z159" i="3"/>
  <c r="Z160" i="3"/>
  <c r="Z161" i="3"/>
  <c r="Z162" i="3"/>
  <c r="Z163" i="3"/>
  <c r="Z164" i="3"/>
  <c r="Z165" i="3"/>
  <c r="Z166" i="3"/>
  <c r="Z167" i="3"/>
  <c r="Z168" i="3"/>
  <c r="Z169" i="3"/>
  <c r="Z170" i="3"/>
  <c r="Z171" i="3"/>
  <c r="Z172" i="3"/>
  <c r="Z173" i="3"/>
  <c r="Z174" i="3"/>
  <c r="Z175" i="3"/>
  <c r="Z176" i="3"/>
  <c r="Z177" i="3"/>
  <c r="Z178" i="3"/>
  <c r="Z179" i="3"/>
  <c r="Z180" i="3"/>
  <c r="Z181" i="3"/>
  <c r="Z182" i="3"/>
  <c r="Z183" i="3"/>
  <c r="Z184" i="3"/>
  <c r="Z185" i="3"/>
  <c r="Z186" i="3"/>
  <c r="Z187" i="3"/>
  <c r="Z188" i="3"/>
  <c r="Z189" i="3"/>
  <c r="Z190" i="3"/>
  <c r="Z191" i="3"/>
  <c r="Z192" i="3"/>
  <c r="Z193" i="3"/>
  <c r="Z194" i="3"/>
  <c r="Z195" i="3"/>
  <c r="Z196" i="3"/>
  <c r="Z197" i="3"/>
  <c r="Z198" i="3"/>
  <c r="Z199" i="3"/>
  <c r="Z200" i="3"/>
  <c r="Z201" i="3"/>
  <c r="Z202" i="3"/>
  <c r="Z203" i="3"/>
  <c r="Z204" i="3"/>
  <c r="Z205" i="3"/>
  <c r="Z206" i="3"/>
  <c r="Z207" i="3"/>
  <c r="Z208" i="3"/>
  <c r="Z209" i="3"/>
  <c r="Z210" i="3"/>
  <c r="Z211" i="3"/>
  <c r="Z212" i="3"/>
  <c r="Z213" i="3"/>
  <c r="Z214" i="3"/>
  <c r="Z215" i="3"/>
  <c r="Z216" i="3"/>
  <c r="Z217" i="3"/>
  <c r="Z218" i="3"/>
  <c r="Z219" i="3"/>
  <c r="Z220" i="3"/>
  <c r="Z221" i="3"/>
  <c r="Z222" i="3"/>
  <c r="Z223" i="3"/>
  <c r="Z224" i="3"/>
  <c r="Z225" i="3"/>
  <c r="Z226" i="3"/>
  <c r="Z227" i="3"/>
  <c r="Z228" i="3"/>
  <c r="Z229" i="3"/>
  <c r="Z230" i="3"/>
  <c r="Z231" i="3"/>
  <c r="Z232" i="3"/>
  <c r="Z233" i="3"/>
  <c r="Z234" i="3"/>
  <c r="Z235" i="3"/>
  <c r="Z236" i="3"/>
  <c r="Z237" i="3"/>
  <c r="Z238" i="3"/>
  <c r="Z239" i="3"/>
  <c r="Z240" i="3"/>
  <c r="Z241" i="3"/>
  <c r="Z242" i="3"/>
  <c r="Z243" i="3"/>
  <c r="Z244" i="3"/>
  <c r="Z245" i="3"/>
  <c r="Z246" i="3"/>
  <c r="Z247" i="3"/>
  <c r="Z248" i="3"/>
  <c r="Z249" i="3"/>
  <c r="Z250" i="3"/>
  <c r="Z251" i="3"/>
  <c r="Z252" i="3"/>
  <c r="Z253" i="3"/>
  <c r="Z254" i="3"/>
  <c r="Z255" i="3"/>
  <c r="Z256" i="3"/>
  <c r="Z257" i="3"/>
  <c r="Z258" i="3"/>
  <c r="Z259" i="3"/>
  <c r="Z260" i="3"/>
  <c r="Z261" i="3"/>
  <c r="Z262" i="3"/>
  <c r="Z263" i="3"/>
  <c r="Z264" i="3"/>
  <c r="Z265" i="3"/>
  <c r="Z266" i="3"/>
  <c r="Z267" i="3"/>
  <c r="Z268" i="3"/>
  <c r="Z269" i="3"/>
  <c r="Z270" i="3"/>
  <c r="Z271" i="3"/>
  <c r="Z272" i="3"/>
  <c r="Z273" i="3"/>
  <c r="Z274" i="3"/>
  <c r="Z275" i="3"/>
  <c r="Z276" i="3"/>
  <c r="Z277" i="3"/>
  <c r="Z278" i="3"/>
  <c r="Z279" i="3"/>
  <c r="Z280" i="3"/>
  <c r="Z281" i="3"/>
  <c r="Z282" i="3"/>
  <c r="Z283" i="3"/>
  <c r="Z284" i="3"/>
  <c r="Z285" i="3"/>
  <c r="Z286" i="3"/>
  <c r="Z287" i="3"/>
  <c r="Z288" i="3"/>
  <c r="Z289" i="3"/>
  <c r="Z290" i="3"/>
  <c r="Z291" i="3"/>
  <c r="Z292" i="3"/>
  <c r="Z293" i="3"/>
  <c r="Z294" i="3"/>
  <c r="Z295" i="3"/>
  <c r="Z296" i="3"/>
  <c r="Z297" i="3"/>
  <c r="Z298" i="3"/>
  <c r="Z299" i="3"/>
  <c r="Z300" i="3"/>
  <c r="Z301" i="3"/>
  <c r="Z302" i="3"/>
  <c r="Z303" i="3"/>
  <c r="Z304" i="3"/>
  <c r="Z305" i="3"/>
  <c r="Z306" i="3"/>
  <c r="Z307" i="3"/>
  <c r="Z308" i="3"/>
  <c r="Z309" i="3"/>
  <c r="Z310" i="3"/>
  <c r="Z311" i="3"/>
  <c r="Z312" i="3"/>
  <c r="Z313" i="3"/>
  <c r="Z314" i="3"/>
  <c r="Z315" i="3"/>
  <c r="Z316" i="3"/>
  <c r="Z317" i="3"/>
  <c r="Z318" i="3"/>
  <c r="Z319" i="3"/>
  <c r="Z320" i="3"/>
  <c r="Z321" i="3"/>
  <c r="Z322" i="3"/>
  <c r="Z323" i="3"/>
  <c r="Z324" i="3"/>
  <c r="Z325" i="3"/>
  <c r="Z326" i="3"/>
  <c r="Z327" i="3"/>
  <c r="Z328" i="3"/>
  <c r="Z329" i="3"/>
  <c r="Z330" i="3"/>
  <c r="Z331" i="3"/>
  <c r="Z332" i="3"/>
  <c r="Z333" i="3"/>
  <c r="Z334" i="3"/>
  <c r="Z335" i="3"/>
  <c r="Z336" i="3"/>
  <c r="Z337" i="3"/>
  <c r="Z338" i="3"/>
  <c r="Z339" i="3"/>
  <c r="Z340" i="3"/>
  <c r="Z341" i="3"/>
  <c r="Z342" i="3"/>
  <c r="Z343" i="3"/>
  <c r="Z344" i="3"/>
  <c r="Z345" i="3"/>
  <c r="Z346" i="3"/>
  <c r="Z347" i="3"/>
  <c r="Z348" i="3"/>
  <c r="Z349" i="3"/>
  <c r="Z350" i="3"/>
  <c r="Z351" i="3"/>
  <c r="Z352" i="3"/>
  <c r="Z353" i="3"/>
  <c r="Z354" i="3"/>
  <c r="Z355" i="3"/>
  <c r="Z356" i="3"/>
  <c r="Z357" i="3"/>
  <c r="Z358" i="3"/>
  <c r="Z359" i="3"/>
  <c r="Z360" i="3"/>
  <c r="Z361" i="3"/>
  <c r="Z362" i="3"/>
  <c r="Z363" i="3"/>
  <c r="Z364" i="3"/>
  <c r="Z365" i="3"/>
  <c r="Z366" i="3"/>
  <c r="Z367" i="3"/>
  <c r="Z368" i="3"/>
  <c r="Z369" i="3"/>
  <c r="Z370" i="3"/>
  <c r="Z371" i="3"/>
  <c r="Z372" i="3"/>
  <c r="Z373" i="3"/>
  <c r="Z374" i="3"/>
  <c r="Z375" i="3"/>
  <c r="Z376" i="3"/>
  <c r="Z377" i="3"/>
  <c r="Z378" i="3"/>
  <c r="Z379" i="3"/>
  <c r="Z380" i="3"/>
  <c r="Z381" i="3"/>
  <c r="Z382" i="3"/>
  <c r="Z383" i="3"/>
  <c r="Z384" i="3"/>
  <c r="Z385" i="3"/>
  <c r="Z386" i="3"/>
  <c r="Z387" i="3"/>
  <c r="Z388" i="3"/>
  <c r="Z389" i="3"/>
  <c r="Z390" i="3"/>
  <c r="Z391" i="3"/>
  <c r="Z392" i="3"/>
  <c r="Z393" i="3"/>
  <c r="Z394" i="3"/>
  <c r="Z395" i="3"/>
  <c r="Z396" i="3"/>
  <c r="Z397" i="3"/>
  <c r="Z398" i="3"/>
  <c r="Z399" i="3"/>
  <c r="Z400" i="3"/>
  <c r="Z401" i="3"/>
  <c r="Z402" i="3"/>
  <c r="Z403" i="3"/>
  <c r="Z404" i="3"/>
  <c r="Z405" i="3"/>
  <c r="Z406" i="3"/>
  <c r="Z407" i="3"/>
  <c r="Z408" i="3"/>
  <c r="Z409" i="3"/>
  <c r="Z410" i="3"/>
  <c r="Z411" i="3"/>
  <c r="Z412" i="3"/>
  <c r="Z413" i="3"/>
  <c r="Z414" i="3"/>
  <c r="Z415" i="3"/>
  <c r="Z416" i="3"/>
  <c r="Z417" i="3"/>
  <c r="Z418" i="3"/>
  <c r="Z419" i="3"/>
  <c r="Z420" i="3"/>
  <c r="Z421" i="3"/>
  <c r="Z422" i="3"/>
  <c r="Z423" i="3"/>
  <c r="Z424" i="3"/>
  <c r="Z425" i="3"/>
  <c r="Z426" i="3"/>
  <c r="Z427" i="3"/>
  <c r="Z428" i="3"/>
  <c r="Z429" i="3"/>
  <c r="Z430" i="3"/>
  <c r="Z431" i="3"/>
  <c r="Z432" i="3"/>
  <c r="Z433" i="3"/>
  <c r="Z434" i="3"/>
  <c r="Z435" i="3"/>
  <c r="Z436" i="3"/>
  <c r="Z437" i="3"/>
  <c r="Z438" i="3"/>
  <c r="Z439" i="3"/>
  <c r="Z440" i="3"/>
  <c r="Z441" i="3"/>
  <c r="Z442" i="3"/>
  <c r="Z443" i="3"/>
  <c r="Z444" i="3"/>
  <c r="Z445" i="3"/>
  <c r="Z446" i="3"/>
  <c r="Z447" i="3"/>
  <c r="Z448" i="3"/>
  <c r="Z449" i="3"/>
  <c r="Z450" i="3"/>
  <c r="Z451" i="3"/>
  <c r="Z452" i="3"/>
  <c r="Z453" i="3"/>
  <c r="Z454" i="3"/>
  <c r="Z455" i="3"/>
  <c r="Z456" i="3"/>
  <c r="Z457" i="3"/>
  <c r="Z458" i="3"/>
  <c r="Z459" i="3"/>
  <c r="Z460" i="3"/>
  <c r="Z461" i="3"/>
  <c r="Z462" i="3"/>
  <c r="Z463" i="3"/>
  <c r="Z464" i="3"/>
  <c r="Z465" i="3"/>
  <c r="Z466" i="3"/>
  <c r="Z467" i="3"/>
  <c r="Z468" i="3"/>
  <c r="Z469" i="3"/>
  <c r="Z470" i="3"/>
  <c r="Z471" i="3"/>
  <c r="Z472" i="3"/>
  <c r="Z473" i="3"/>
  <c r="Z474" i="3"/>
  <c r="Z475" i="3"/>
  <c r="Z476" i="3"/>
  <c r="Z477" i="3"/>
  <c r="Z478" i="3"/>
  <c r="Z479" i="3"/>
  <c r="Z480" i="3"/>
  <c r="Z481" i="3"/>
  <c r="Z482" i="3"/>
  <c r="Z483" i="3"/>
  <c r="Z484" i="3"/>
  <c r="Z485" i="3"/>
  <c r="Z486" i="3"/>
  <c r="Z487" i="3"/>
  <c r="Z488" i="3"/>
  <c r="Z489" i="3"/>
  <c r="Z490" i="3"/>
  <c r="Z491" i="3"/>
  <c r="Z492" i="3"/>
  <c r="Z493" i="3"/>
  <c r="Z494" i="3"/>
  <c r="Z495" i="3"/>
  <c r="Z496" i="3"/>
  <c r="Z497" i="3"/>
  <c r="Z498" i="3"/>
  <c r="Z499" i="3"/>
  <c r="Z500" i="3"/>
  <c r="Z501" i="3"/>
  <c r="Z502" i="3"/>
  <c r="Z503" i="3"/>
  <c r="Z504" i="3"/>
  <c r="Z505" i="3"/>
  <c r="Z506" i="3"/>
  <c r="Z507" i="3"/>
  <c r="Z508" i="3"/>
  <c r="Z509" i="3"/>
  <c r="Z510" i="3"/>
  <c r="Z511" i="3"/>
  <c r="Z512" i="3"/>
  <c r="Z513" i="3"/>
  <c r="Z514" i="3"/>
  <c r="Z515" i="3"/>
  <c r="Z516" i="3"/>
  <c r="Z517" i="3"/>
  <c r="Z518" i="3"/>
  <c r="Z519" i="3"/>
  <c r="Z520" i="3"/>
  <c r="Z521" i="3"/>
  <c r="Z522" i="3"/>
  <c r="Z523" i="3"/>
  <c r="Z524" i="3"/>
  <c r="Z525" i="3"/>
  <c r="Z526" i="3"/>
  <c r="Z527" i="3"/>
  <c r="Z528" i="3"/>
  <c r="Z529" i="3"/>
  <c r="Z530" i="3"/>
  <c r="Z531" i="3"/>
  <c r="Z532" i="3"/>
  <c r="Z533" i="3"/>
  <c r="Z534" i="3"/>
  <c r="Z535" i="3"/>
  <c r="Z536" i="3"/>
  <c r="Z537" i="3"/>
  <c r="Z538" i="3"/>
  <c r="Z539" i="3"/>
  <c r="Z540" i="3"/>
  <c r="Z541" i="3"/>
  <c r="Z542" i="3"/>
  <c r="Z543" i="3"/>
  <c r="Z544" i="3"/>
  <c r="Z545" i="3"/>
  <c r="Z546" i="3"/>
  <c r="Z547" i="3"/>
  <c r="Z548" i="3"/>
  <c r="Z549" i="3"/>
  <c r="Z550" i="3"/>
  <c r="Z551" i="3"/>
  <c r="Z552" i="3"/>
  <c r="Z553" i="3"/>
  <c r="Z554" i="3"/>
  <c r="Z555" i="3"/>
  <c r="Z556" i="3"/>
  <c r="Z557" i="3"/>
  <c r="Z558" i="3"/>
  <c r="Z559" i="3"/>
  <c r="Z560" i="3"/>
  <c r="Z561" i="3"/>
  <c r="Z562" i="3"/>
  <c r="Z563" i="3"/>
  <c r="Z564" i="3"/>
  <c r="Z565" i="3"/>
  <c r="Z566" i="3"/>
  <c r="Z567" i="3"/>
  <c r="Z568" i="3"/>
  <c r="Z569" i="3"/>
  <c r="Z570" i="3"/>
  <c r="Z571" i="3"/>
  <c r="Z572" i="3"/>
  <c r="Z573" i="3"/>
  <c r="Z574" i="3"/>
  <c r="Z575" i="3"/>
  <c r="Z576" i="3"/>
  <c r="Z577" i="3"/>
  <c r="Z578" i="3"/>
  <c r="Z579" i="3"/>
  <c r="Z580" i="3"/>
  <c r="Z581" i="3"/>
  <c r="Z582" i="3"/>
  <c r="Z583" i="3"/>
  <c r="Z584" i="3"/>
  <c r="Z585" i="3"/>
  <c r="Z586" i="3"/>
  <c r="Z587" i="3"/>
  <c r="Z588" i="3"/>
  <c r="Z589" i="3"/>
  <c r="Z590" i="3"/>
  <c r="Z591" i="3"/>
  <c r="Z592" i="3"/>
  <c r="Z593" i="3"/>
  <c r="Z594" i="3"/>
  <c r="Z595" i="3"/>
  <c r="Z596" i="3"/>
  <c r="Z597" i="3"/>
  <c r="Z598" i="3"/>
  <c r="Z599" i="3"/>
  <c r="Z600" i="3"/>
  <c r="Z601" i="3"/>
  <c r="Z602" i="3"/>
  <c r="Z603" i="3"/>
  <c r="Z604" i="3"/>
  <c r="Z605" i="3"/>
  <c r="Z606" i="3"/>
  <c r="Z607" i="3"/>
  <c r="Z608" i="3"/>
  <c r="Z609" i="3"/>
  <c r="Z610" i="3"/>
  <c r="Z611" i="3"/>
  <c r="Z612" i="3"/>
  <c r="Z613" i="3"/>
  <c r="Z614" i="3"/>
  <c r="Z615" i="3"/>
  <c r="Z616" i="3"/>
  <c r="Z617" i="3"/>
  <c r="Z618" i="3"/>
  <c r="Z619" i="3"/>
  <c r="Z620" i="3"/>
  <c r="Z621" i="3"/>
  <c r="Z622" i="3"/>
  <c r="Z623" i="3"/>
  <c r="Z624" i="3"/>
  <c r="Z625" i="3"/>
  <c r="Z626" i="3"/>
  <c r="Z627" i="3"/>
  <c r="Z628" i="3"/>
  <c r="Z629" i="3"/>
  <c r="Z630" i="3"/>
  <c r="Z631" i="3"/>
  <c r="Z632" i="3"/>
  <c r="Z633" i="3"/>
  <c r="Z634" i="3"/>
  <c r="Z635" i="3"/>
  <c r="Z636" i="3"/>
  <c r="Z637" i="3"/>
  <c r="Z638" i="3"/>
  <c r="Z639" i="3"/>
  <c r="Z640" i="3"/>
  <c r="Z641" i="3"/>
  <c r="Z642" i="3"/>
  <c r="Z643" i="3"/>
  <c r="Z644" i="3"/>
  <c r="Z645" i="3"/>
  <c r="Z646" i="3"/>
  <c r="Z647" i="3"/>
  <c r="Z648" i="3"/>
  <c r="Z649" i="3"/>
  <c r="Z650" i="3"/>
  <c r="Z651" i="3"/>
  <c r="Z652" i="3"/>
  <c r="Z653" i="3"/>
  <c r="Z654" i="3"/>
  <c r="Z655" i="3"/>
  <c r="Z656" i="3"/>
  <c r="Z657" i="3"/>
  <c r="Z658" i="3"/>
  <c r="Z659" i="3"/>
  <c r="Z660" i="3"/>
  <c r="Z661" i="3"/>
  <c r="Z662" i="3"/>
  <c r="Z663" i="3"/>
  <c r="Z664" i="3"/>
  <c r="Z665" i="3"/>
  <c r="Z666" i="3"/>
  <c r="Z667" i="3"/>
  <c r="Z668" i="3"/>
  <c r="Z669" i="3"/>
  <c r="Z670" i="3"/>
  <c r="Z671" i="3"/>
  <c r="Z672" i="3"/>
  <c r="Z673" i="3"/>
  <c r="Z674" i="3"/>
  <c r="Z675" i="3"/>
  <c r="Z676" i="3"/>
  <c r="Z677" i="3"/>
  <c r="Z678" i="3"/>
  <c r="Z679" i="3"/>
  <c r="Z680" i="3"/>
  <c r="Z681" i="3"/>
  <c r="Z682" i="3"/>
  <c r="Z683" i="3"/>
  <c r="Z684" i="3"/>
  <c r="Z685" i="3"/>
  <c r="Z686" i="3"/>
  <c r="Z687" i="3"/>
  <c r="Z688" i="3"/>
  <c r="Z689" i="3"/>
  <c r="Z690" i="3"/>
  <c r="Z691" i="3"/>
  <c r="Z692" i="3"/>
  <c r="Z693" i="3"/>
  <c r="Z694" i="3"/>
  <c r="Z695" i="3"/>
  <c r="Z696" i="3"/>
  <c r="Z697" i="3"/>
  <c r="Z698" i="3"/>
  <c r="Z699" i="3"/>
  <c r="Z700" i="3"/>
  <c r="Z701" i="3"/>
  <c r="Z702" i="3"/>
  <c r="Z703" i="3"/>
  <c r="Z704" i="3"/>
  <c r="Z705" i="3"/>
  <c r="Z706" i="3"/>
  <c r="Z707" i="3"/>
  <c r="Z708" i="3"/>
  <c r="Z709" i="3"/>
  <c r="Z710" i="3"/>
  <c r="Z711" i="3"/>
  <c r="Z712" i="3"/>
  <c r="Z713" i="3"/>
  <c r="Z714" i="3"/>
  <c r="Z715" i="3"/>
  <c r="Z716" i="3"/>
  <c r="Z717" i="3"/>
  <c r="Z718" i="3"/>
  <c r="Z719" i="3"/>
  <c r="Z720" i="3"/>
  <c r="Z721" i="3"/>
  <c r="Z722" i="3"/>
  <c r="Z723" i="3"/>
  <c r="Z724" i="3"/>
  <c r="Z725" i="3"/>
  <c r="Z726" i="3"/>
  <c r="Z727" i="3"/>
  <c r="Z728" i="3"/>
  <c r="Z729" i="3"/>
  <c r="Z730" i="3"/>
  <c r="Z731" i="3"/>
  <c r="Z732" i="3"/>
  <c r="Z733" i="3"/>
  <c r="Z734" i="3"/>
  <c r="Z735" i="3"/>
  <c r="Z736" i="3"/>
  <c r="Z737" i="3"/>
  <c r="Z738" i="3"/>
  <c r="Z739" i="3"/>
  <c r="Z740" i="3"/>
  <c r="Z741" i="3"/>
  <c r="Z742" i="3"/>
  <c r="Z743" i="3"/>
  <c r="Z744" i="3"/>
  <c r="Z745" i="3"/>
  <c r="Z746" i="3"/>
  <c r="Z747" i="3"/>
  <c r="Z748" i="3"/>
  <c r="Z749" i="3"/>
  <c r="Z750" i="3"/>
  <c r="Z751" i="3"/>
  <c r="Z752" i="3"/>
  <c r="Z753" i="3"/>
  <c r="Z754" i="3"/>
  <c r="Z755" i="3"/>
  <c r="Z756" i="3"/>
  <c r="Z757" i="3"/>
  <c r="Z758" i="3"/>
  <c r="Z759" i="3"/>
  <c r="Z760" i="3"/>
  <c r="Z761" i="3"/>
  <c r="Z762" i="3"/>
  <c r="Z763" i="3"/>
  <c r="Z764" i="3"/>
  <c r="Z765" i="3"/>
  <c r="Z766" i="3"/>
  <c r="Z767" i="3"/>
  <c r="Z768" i="3"/>
  <c r="Z769" i="3"/>
  <c r="Z770" i="3"/>
  <c r="Z771" i="3"/>
  <c r="Z772" i="3"/>
  <c r="Z773" i="3"/>
  <c r="Z774" i="3"/>
  <c r="Z775" i="3"/>
  <c r="Z776" i="3"/>
  <c r="Z777" i="3"/>
  <c r="Z778" i="3"/>
  <c r="Z779" i="3"/>
  <c r="Z780" i="3"/>
  <c r="Z781" i="3"/>
  <c r="Z782" i="3"/>
  <c r="Z783" i="3"/>
  <c r="Z784" i="3"/>
  <c r="Z785" i="3"/>
  <c r="Z786" i="3"/>
  <c r="Z787" i="3"/>
  <c r="Z788" i="3"/>
  <c r="Z789" i="3"/>
  <c r="Z790" i="3"/>
  <c r="Z791" i="3"/>
  <c r="Z792" i="3"/>
  <c r="Z793" i="3"/>
  <c r="Z794" i="3"/>
  <c r="Z795" i="3"/>
  <c r="Z796" i="3"/>
  <c r="Z797" i="3"/>
  <c r="Z798" i="3"/>
  <c r="Z799" i="3"/>
  <c r="Z800" i="3"/>
  <c r="Z801" i="3"/>
  <c r="Z802" i="3"/>
  <c r="Z803" i="3"/>
  <c r="Z804" i="3"/>
  <c r="Z805" i="3"/>
  <c r="Z806" i="3"/>
  <c r="Z807" i="3"/>
  <c r="Z808" i="3"/>
  <c r="Z809" i="3"/>
  <c r="Z810" i="3"/>
  <c r="Z811" i="3"/>
  <c r="Z812" i="3"/>
  <c r="Z813" i="3"/>
  <c r="Z814" i="3"/>
  <c r="Z815" i="3"/>
  <c r="Z816" i="3"/>
  <c r="Z817" i="3"/>
  <c r="Z818" i="3"/>
  <c r="Z819" i="3"/>
  <c r="Z820" i="3"/>
  <c r="Z821" i="3"/>
  <c r="Z822" i="3"/>
  <c r="Z823" i="3"/>
  <c r="Z824" i="3"/>
  <c r="Z825" i="3"/>
  <c r="Z826" i="3"/>
  <c r="Z827" i="3"/>
  <c r="Z828" i="3"/>
  <c r="Z829" i="3"/>
  <c r="Z830" i="3"/>
  <c r="Z831" i="3"/>
  <c r="Z832" i="3"/>
  <c r="Z833" i="3"/>
  <c r="Z14"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581" i="3"/>
  <c r="Y582" i="3"/>
  <c r="Y583" i="3"/>
  <c r="Y584" i="3"/>
  <c r="Y585" i="3"/>
  <c r="Y586" i="3"/>
  <c r="Y587" i="3"/>
  <c r="Y588" i="3"/>
  <c r="Y589" i="3"/>
  <c r="Y590" i="3"/>
  <c r="Y591" i="3"/>
  <c r="Y592" i="3"/>
  <c r="Y593" i="3"/>
  <c r="Y594" i="3"/>
  <c r="Y595" i="3"/>
  <c r="Y596" i="3"/>
  <c r="Y597" i="3"/>
  <c r="Y598" i="3"/>
  <c r="Y599" i="3"/>
  <c r="Y600" i="3"/>
  <c r="Y601" i="3"/>
  <c r="Y602" i="3"/>
  <c r="Y603" i="3"/>
  <c r="Y604" i="3"/>
  <c r="Y605" i="3"/>
  <c r="Y606" i="3"/>
  <c r="Y607" i="3"/>
  <c r="Y608" i="3"/>
  <c r="Y609" i="3"/>
  <c r="Y610" i="3"/>
  <c r="Y611" i="3"/>
  <c r="Y612" i="3"/>
  <c r="Y613" i="3"/>
  <c r="Y614" i="3"/>
  <c r="Y615" i="3"/>
  <c r="Y616" i="3"/>
  <c r="Y617" i="3"/>
  <c r="Y618" i="3"/>
  <c r="Y619" i="3"/>
  <c r="Y620" i="3"/>
  <c r="Y621" i="3"/>
  <c r="Y622" i="3"/>
  <c r="Y623" i="3"/>
  <c r="Y624" i="3"/>
  <c r="Y625" i="3"/>
  <c r="Y626" i="3"/>
  <c r="Y627" i="3"/>
  <c r="Y628" i="3"/>
  <c r="Y629" i="3"/>
  <c r="Y630" i="3"/>
  <c r="Y631" i="3"/>
  <c r="Y632" i="3"/>
  <c r="Y633" i="3"/>
  <c r="Y634" i="3"/>
  <c r="Y635" i="3"/>
  <c r="Y636" i="3"/>
  <c r="Y637" i="3"/>
  <c r="Y638" i="3"/>
  <c r="Y639" i="3"/>
  <c r="Y640" i="3"/>
  <c r="Y641" i="3"/>
  <c r="Y642" i="3"/>
  <c r="Y643" i="3"/>
  <c r="Y644" i="3"/>
  <c r="Y645" i="3"/>
  <c r="Y646" i="3"/>
  <c r="Y647" i="3"/>
  <c r="Y648" i="3"/>
  <c r="Y649" i="3"/>
  <c r="Y650" i="3"/>
  <c r="Y651" i="3"/>
  <c r="Y652" i="3"/>
  <c r="Y653" i="3"/>
  <c r="Y654" i="3"/>
  <c r="Y655" i="3"/>
  <c r="Y656" i="3"/>
  <c r="Y657" i="3"/>
  <c r="Y658" i="3"/>
  <c r="Y659" i="3"/>
  <c r="Y660" i="3"/>
  <c r="Y661" i="3"/>
  <c r="Y662" i="3"/>
  <c r="Y663" i="3"/>
  <c r="Y664" i="3"/>
  <c r="Y665" i="3"/>
  <c r="Y666" i="3"/>
  <c r="Y667" i="3"/>
  <c r="Y668" i="3"/>
  <c r="Y669" i="3"/>
  <c r="Y670" i="3"/>
  <c r="Y671" i="3"/>
  <c r="Y672" i="3"/>
  <c r="Y673" i="3"/>
  <c r="Y674" i="3"/>
  <c r="Y675" i="3"/>
  <c r="Y676" i="3"/>
  <c r="Y677" i="3"/>
  <c r="Y678" i="3"/>
  <c r="Y679" i="3"/>
  <c r="Y680" i="3"/>
  <c r="Y681" i="3"/>
  <c r="Y682" i="3"/>
  <c r="Y683" i="3"/>
  <c r="Y684" i="3"/>
  <c r="Y685" i="3"/>
  <c r="Y686" i="3"/>
  <c r="Y687" i="3"/>
  <c r="Y688" i="3"/>
  <c r="Y689" i="3"/>
  <c r="Y690" i="3"/>
  <c r="Y691" i="3"/>
  <c r="Y692" i="3"/>
  <c r="Y693" i="3"/>
  <c r="Y694" i="3"/>
  <c r="Y695" i="3"/>
  <c r="Y696" i="3"/>
  <c r="Y697" i="3"/>
  <c r="Y698" i="3"/>
  <c r="Y699" i="3"/>
  <c r="Y700" i="3"/>
  <c r="Y701" i="3"/>
  <c r="Y702" i="3"/>
  <c r="Y703" i="3"/>
  <c r="Y704" i="3"/>
  <c r="Y705" i="3"/>
  <c r="Y706" i="3"/>
  <c r="Y707" i="3"/>
  <c r="Y708" i="3"/>
  <c r="Y709" i="3"/>
  <c r="Y710" i="3"/>
  <c r="Y711" i="3"/>
  <c r="Y712" i="3"/>
  <c r="Y713" i="3"/>
  <c r="Y714" i="3"/>
  <c r="Y715" i="3"/>
  <c r="Y716" i="3"/>
  <c r="Y717" i="3"/>
  <c r="Y718" i="3"/>
  <c r="Y719" i="3"/>
  <c r="Y720" i="3"/>
  <c r="Y721" i="3"/>
  <c r="Y722" i="3"/>
  <c r="Y723" i="3"/>
  <c r="Y724" i="3"/>
  <c r="Y725" i="3"/>
  <c r="Y726" i="3"/>
  <c r="Y727" i="3"/>
  <c r="Y728" i="3"/>
  <c r="Y729" i="3"/>
  <c r="Y730" i="3"/>
  <c r="Y731" i="3"/>
  <c r="Y732" i="3"/>
  <c r="Y733" i="3"/>
  <c r="Y734" i="3"/>
  <c r="Y735" i="3"/>
  <c r="Y736" i="3"/>
  <c r="Y737" i="3"/>
  <c r="Y738" i="3"/>
  <c r="Y739" i="3"/>
  <c r="Y740" i="3"/>
  <c r="Y741" i="3"/>
  <c r="Y742" i="3"/>
  <c r="Y743" i="3"/>
  <c r="Y744" i="3"/>
  <c r="Y745" i="3"/>
  <c r="Y746" i="3"/>
  <c r="Y747" i="3"/>
  <c r="Y748" i="3"/>
  <c r="Y749" i="3"/>
  <c r="Y750" i="3"/>
  <c r="Y751" i="3"/>
  <c r="Y752" i="3"/>
  <c r="Y753" i="3"/>
  <c r="Y754" i="3"/>
  <c r="Y755" i="3"/>
  <c r="Y756" i="3"/>
  <c r="Y757" i="3"/>
  <c r="Y758" i="3"/>
  <c r="Y759" i="3"/>
  <c r="Y760" i="3"/>
  <c r="Y761" i="3"/>
  <c r="Y762" i="3"/>
  <c r="Y763" i="3"/>
  <c r="Y764" i="3"/>
  <c r="Y765" i="3"/>
  <c r="Y766" i="3"/>
  <c r="Y767" i="3"/>
  <c r="Y768" i="3"/>
  <c r="Y769" i="3"/>
  <c r="Y770" i="3"/>
  <c r="Y771" i="3"/>
  <c r="Y772" i="3"/>
  <c r="Y773" i="3"/>
  <c r="Y774" i="3"/>
  <c r="Y775" i="3"/>
  <c r="Y776" i="3"/>
  <c r="Y777" i="3"/>
  <c r="Y778" i="3"/>
  <c r="Y779" i="3"/>
  <c r="Y780" i="3"/>
  <c r="Y781" i="3"/>
  <c r="Y782" i="3"/>
  <c r="Y783" i="3"/>
  <c r="Y784" i="3"/>
  <c r="Y785" i="3"/>
  <c r="Y786" i="3"/>
  <c r="Y787" i="3"/>
  <c r="Y788" i="3"/>
  <c r="Y789" i="3"/>
  <c r="Y790" i="3"/>
  <c r="Y791" i="3"/>
  <c r="Y792" i="3"/>
  <c r="Y793" i="3"/>
  <c r="Y794" i="3"/>
  <c r="Y795" i="3"/>
  <c r="Y796" i="3"/>
  <c r="Y797" i="3"/>
  <c r="Y798" i="3"/>
  <c r="Y799" i="3"/>
  <c r="Y800" i="3"/>
  <c r="Y801" i="3"/>
  <c r="Y802" i="3"/>
  <c r="Y803" i="3"/>
  <c r="Y804" i="3"/>
  <c r="Y805" i="3"/>
  <c r="Y806" i="3"/>
  <c r="Y807" i="3"/>
  <c r="Y808" i="3"/>
  <c r="Y809" i="3"/>
  <c r="Y810" i="3"/>
  <c r="Y811" i="3"/>
  <c r="Y812" i="3"/>
  <c r="Y813" i="3"/>
  <c r="Y814" i="3"/>
  <c r="Y815" i="3"/>
  <c r="Y816" i="3"/>
  <c r="Y817" i="3"/>
  <c r="Y818" i="3"/>
  <c r="Y819" i="3"/>
  <c r="Y820" i="3"/>
  <c r="Y821" i="3"/>
  <c r="Y822" i="3"/>
  <c r="Y823" i="3"/>
  <c r="Y824" i="3"/>
  <c r="Y825" i="3"/>
  <c r="Y826" i="3"/>
  <c r="Y827" i="3"/>
  <c r="Y828" i="3"/>
  <c r="Y829" i="3"/>
  <c r="Y830" i="3"/>
  <c r="Y831" i="3"/>
  <c r="Y832" i="3"/>
  <c r="Y833" i="3"/>
  <c r="Y3" i="3"/>
</calcChain>
</file>

<file path=xl/sharedStrings.xml><?xml version="1.0" encoding="utf-8"?>
<sst xmlns="http://schemas.openxmlformats.org/spreadsheetml/2006/main" count="431" uniqueCount="249">
  <si>
    <t>Date</t>
  </si>
  <si>
    <t>PMI INDEX</t>
  </si>
  <si>
    <t>Employment Forecast PMI</t>
  </si>
  <si>
    <t>Adj Close SPX</t>
  </si>
  <si>
    <t>SPX% m/m</t>
  </si>
  <si>
    <t>SPX% y/y</t>
  </si>
  <si>
    <t>PMI(lagged)</t>
  </si>
  <si>
    <t>Customer Inv. PMI</t>
  </si>
  <si>
    <t>Prices PMI</t>
  </si>
  <si>
    <t>Month</t>
  </si>
  <si>
    <t>PMI</t>
  </si>
  <si>
    <t>New Orders</t>
  </si>
  <si>
    <t>Production</t>
  </si>
  <si>
    <t>Employment</t>
  </si>
  <si>
    <t>Deliveries</t>
  </si>
  <si>
    <t>Inventories</t>
  </si>
  <si>
    <t>Custom Inv</t>
  </si>
  <si>
    <t>Prices</t>
  </si>
  <si>
    <t>Ord Backlog</t>
  </si>
  <si>
    <t>Exports</t>
  </si>
  <si>
    <t>Imports</t>
  </si>
  <si>
    <t>Deliveries PMI</t>
  </si>
  <si>
    <t>Inventories PMI</t>
  </si>
  <si>
    <t>Manu. Imports PMI</t>
  </si>
  <si>
    <t>Export Orders PMI</t>
  </si>
  <si>
    <t>Order Backlog PMI</t>
  </si>
  <si>
    <t>Production PMI</t>
  </si>
  <si>
    <t>New Orders PMI</t>
  </si>
  <si>
    <t>Textile Mills</t>
  </si>
  <si>
    <t>Wood Products</t>
  </si>
  <si>
    <t>Machinery</t>
  </si>
  <si>
    <t>Computer &amp; Electronic Products</t>
  </si>
  <si>
    <t>Paper Products</t>
  </si>
  <si>
    <t>Apparel, Leather &amp; Allied Products</t>
  </si>
  <si>
    <t>Printing &amp; Related Support Activities</t>
  </si>
  <si>
    <t>Primary Metals</t>
  </si>
  <si>
    <t>Nonmetallic Mineral Products</t>
  </si>
  <si>
    <t>Petroleum &amp; Coal Products</t>
  </si>
  <si>
    <t>Plastics &amp; Rubber Products</t>
  </si>
  <si>
    <t>Miscellaneous Manufacturing</t>
  </si>
  <si>
    <t>Food, Beverage &amp; Tobacco Products</t>
  </si>
  <si>
    <t>Furniture &amp; Related Products</t>
  </si>
  <si>
    <t>Transportation Equipment</t>
  </si>
  <si>
    <t>Chemical Products</t>
  </si>
  <si>
    <t>Fabricated Metal Products</t>
  </si>
  <si>
    <t>Electrical Equipment, Appliances &amp; Components</t>
  </si>
  <si>
    <t>NEW ORDERS</t>
  </si>
  <si>
    <t>PRODUCTION</t>
  </si>
  <si>
    <t>EMPLOYMENT</t>
  </si>
  <si>
    <t>DELIVERIES</t>
  </si>
  <si>
    <t>INVENTORIES</t>
  </si>
  <si>
    <t>CUSTOMER INVENTORIES</t>
  </si>
  <si>
    <t>Sector</t>
  </si>
  <si>
    <t/>
  </si>
  <si>
    <t>“Our business is moving higher into the new year. Increased sales are resulting in increased purchases of CapEx and raw materials.” (Chemical Products)</t>
  </si>
  <si>
    <t>"Continuing to see more orders for the next six to 12 months." (Chemical Products)</t>
  </si>
  <si>
    <t>"Raw material costs on the rise, but purchasing operation has navigated shortages caused by hurricanes." (Chemical Products)</t>
  </si>
  <si>
    <t>"Hurricanes causing supply chain and pricing issues." (Chemical Products)</t>
  </si>
  <si>
    <t>“We are seeing a ramp-up with companies releasing early 2018 spend now.” (Computer &amp; Electronic Products)</t>
  </si>
  <si>
    <t>"Business has leveled out but remains strong heading into the end of the year." (Computer &amp; Electronic Products)</t>
  </si>
  <si>
    <t>"Hurricanes have caused shortages in the resin market, resulting in price increases, inventory constraints and increased lead times." (Computer &amp; Electronic Products)</t>
  </si>
  <si>
    <t>"Energy sector (oil and gas) continues to be strong. Price of oil appears to be beginning to stabilize." (Computer &amp; Electronic Products)</t>
  </si>
  <si>
    <t>“First quarter 2018 probably will be better than the fourth quarter 2017.” (Fabricated Metal Products)</t>
  </si>
  <si>
    <t>"We are seeing steady, consistent demand for end of year. We usually see a slowdown, which we haven’t seen yet." (Fabricated Metal Products)</t>
  </si>
  <si>
    <t>"Business seems to be a bit depressed due to the storms last month, but is picking back up." (Fabricated Metal Products)</t>
  </si>
  <si>
    <t>“Economy [is] strong and business is strong, yet signals of headwinds in 2018 are persistent.” (Food, Beverage &amp; Tobacco Products)</t>
  </si>
  <si>
    <t>"Business is strong. Employment is tight. Supplier deliveries have lengthened. A few suppliers are still blaming Hurricane Harvey for the lead times." (Food, Beverage &amp; Tobacco Products)</t>
  </si>
  <si>
    <t>"Business is good. Supplier deliveries have extended. Things are really picking up." (Food, Beverage &amp; Tobacco Products)</t>
  </si>
  <si>
    <t>"Hurricanes Harvey and Irma will have significant effects on input costs. Disruption in supply chain. Concerns of transportation." (Food, Beverage &amp; Tobacco Products)</t>
  </si>
  <si>
    <t>“Strong international sales — Europe and Australia — versus last two years. U.S. sales continue to grow. Seeing commodity pricing pressures.” (Machinery)</t>
  </si>
  <si>
    <t>"Strong sales through third and now fourth quarters. Backlog increasing, and capacity at suppliers tightening." (Machinery)</t>
  </si>
  <si>
    <t>"Incoming orders are strong, mainly due to recovery efforts in the wake of Hurricanes Harvey and Irma. Backlogs are up due to operating inefficiencies." (Machinery)</t>
  </si>
  <si>
    <t>"Business levels continue [to be] strong; usually by now, a seasonal downturn begins." (Machinery)</t>
  </si>
  <si>
    <t>“Business conditions are good; we are tracking well to our projections for the year.” (Miscellaneous Manufacturing)</t>
  </si>
  <si>
    <t>"We are just coming off a record sales year. We expect to continue in 2018 robust activity." (Miscellaneous Manufacturing)</t>
  </si>
  <si>
    <t>"Ongoing market growth. Minimal impact expected from hurricanes so far in this season." (Miscellaneous Manufacturing)</t>
  </si>
  <si>
    <t>"We’ve had a very good year and we are forecasting continued strong demand for our product in 2018." (Miscellaneous Manufacturing)</t>
  </si>
  <si>
    <t>"Strong season demand for products and continued requirements for uptime." (Nonmetallic Mineral Products)</t>
  </si>
  <si>
    <t>"Our plants are sold out for 2017 — we can’t take any new orders." (Nonmetallic Mineral Products)</t>
  </si>
  <si>
    <t>"Hurricane Harvey, and now Irma, have impacted the business (building materials). Increasing sales but also causing significant price increases on input raw materials.&amp;quot (Nonmetallic Mineral Products)</t>
  </si>
  <si>
    <t>“All suppliers are reporting strong business activity and difficulties obtaining qualified employees.” (Paper Products)</t>
  </si>
  <si>
    <t>"We are closely watching the Houston events as many of our production chemicals are produced in the Gulf region. Some tightening of supply and/or price increases expected." (Paper Products)</t>
  </si>
  <si>
    <t>“Demand at this time is strong in the construction part of our business. I think it is due to the impact of the hurricanes and the rebuild and new construction that is required.” (Plastics &amp; Rubber Products)</t>
  </si>
  <si>
    <t>"Currently, we have not experienced the typical seasonal slowdown toward the end of Q4. Could be that there is a lot of optimism in the American economy." (Plastics &amp; Rubber Products)</t>
  </si>
  <si>
    <t>"In plastics processing, Hurricane Harvey is the reason for every price increase being announced — and virtually all suppliers are announcing price increases." (Plastics &amp; Rubber Products)</t>
  </si>
  <si>
    <t>"Business is strong. However, we are concerned about price increases due to the hurricanes." (Plastics &amp; Rubber Products)</t>
  </si>
  <si>
    <t>“Domestic and international sales on the rise.” (Transportation Equipment)</t>
  </si>
  <si>
    <t>"Overall industry demand remains strong. Continue to have a healthy backlog of orders. Local economy is also strong, with a fairly tight labor market." (Transportation Equipment)</t>
  </si>
  <si>
    <t>"Business continues to be better than expected." (Transportation Equipment)</t>
  </si>
  <si>
    <t>"Labor shortages continue to haunt operational capacity both at [the] local plant [level] and up and down the supply chain."(Transportation Equipment)</t>
  </si>
  <si>
    <t>"Lumber prices starting to drop, and log prices starting to increase. Not the best combination.&amp;quot (Wood Products)</t>
  </si>
  <si>
    <t>"Sales nationally and internationally are strong in Q1. We are increasing our CapEx spend by 30 percent to 40 percent over [the] previous year." (Chemical Products)</t>
  </si>
  <si>
    <t>We have heard reports of additional business due to the recent reduction of tax rates. (Machinery)</t>
  </si>
  <si>
    <t>Business outlook is positive on all fronts right now with our customers. Budgets are being approved for new projects, and component prices from suppliers have temporarily stabilized. (Computer &amp; Electronic Products)</t>
  </si>
  <si>
    <t>"Our usual winter slowdown has not occurred, and we are very busy with new orders." (Furniture &amp; Related Products)</t>
  </si>
  <si>
    <t>Slow start to 2018; pricing on metals is heading up and quotes/orders are picking up as well. (Fabricated Metal Products)</t>
  </si>
  <si>
    <t>Overall, business remains steady. With several key programs to begin ramping up in the industry, outlook looks good for calendar year 2018. (Transportation Equipment)</t>
  </si>
  <si>
    <t>Employment is very tight in our area. (Food, Beverage &amp; Tobacco Products)</t>
  </si>
  <si>
    <t>Business continues to strengthen. (Paper Products)</t>
  </si>
  <si>
    <t>"Business is starting the new year strong. Consumer confidence seems to be driving a lot of our customers’ order requirements higher." (Plastics &amp; Rubber Products)</t>
  </si>
  <si>
    <t>“Availability of electronic components, long lead times, allocations and constraints continue to wreak havoc in the purchasing cycle, with no end in sight at this time.” (Computer &amp; Electronic Products)</t>
  </si>
  <si>
    <t xml:space="preserve">Our business saw an increase in fourth quarter and it continued in Janurary.  CapEx purchase deliveries are moving out globally </t>
  </si>
  <si>
    <t>“Labor market continues to be tight for supply chain talent in the Southern California area. Overall economy is strong.” (Transportation Equipment)</t>
  </si>
  <si>
    <t>“Employment is one of our biggest challenges. No labor available.” (Food, Beverage &amp; Tobacco Products)</t>
  </si>
  <si>
    <t>“Steel market is doing rather well. Everybody is out of what I need.” (Fabricated Metal Products)</t>
  </si>
  <si>
    <t>“It seems the tax break for business is making a difference. Customers are spending more for capital equipment.” (Machinery)</t>
  </si>
  <si>
    <t>“Hiring has picked up for direct-hire employees. Due to end-of-2017 performance and improvement in commodity price, there has been an increase in capital budget.” (Petroleum &amp; Coal Products)</t>
  </si>
  <si>
    <t>“Business is very strong, and our lines are running at full capacity.” (Plastics &amp; Rubber Products)</t>
  </si>
  <si>
    <t>“We expect to have a strong year in 2018. In expectation, we have added to our sales staff and plan on adding to our production staff.” (Miscellaneous Manufacturing)</t>
  </si>
  <si>
    <t>“The weakening U.S. dollar in relationship to the yuan is starting to impact importing cost. We are starting to see more supplier price increases.” (Electrical Equipment, Appliances &amp; Components)</t>
  </si>
  <si>
    <t>“Supply constraints, extended lead times, capacity constraints [and the like], particularly in the electronics components markets, continue to frustrate and drain needed resources, have delayed production schedules and, in some cases, caused missed or delayed sales opportunities.” (Computer &amp; Electronic Products)</t>
  </si>
  <si>
    <t>“International demand is strong for our products in all regions. We are seeing constraints in multiple chemical supply chains due to increased global demand. We are concerned about the impact of tariff and trade wars on demand, but at this time, [there are] no signals that global demand is slowing.” (Chemical Products)</t>
  </si>
  <si>
    <t>“Production targets continue to be a struggle due to shortages of globally sourced components. Many subtier components are in short supply for multiple OEMs.” (Transportation Equipment)</t>
  </si>
  <si>
    <t>“In the U.S., we continue to struggle with finding carriers and drivers for shipments.” (Food, Beverage &amp; Tobacco Products)</t>
  </si>
  <si>
    <t>“Much concern in the industry regarding the steel and aluminum tariffs recently [imposed]. This is causing panic buying, driving the near-term prices higher and [leading to] inventory shortages for non-contract customers.” (Machinery)</t>
  </si>
  <si>
    <t>“New tariffs are causing concern across the supply chain. Full impact will take a few weeks to reveal itself.” (Miscellaneous Manufacturing)</t>
  </si>
  <si>
    <t>“Significant price increases in the steel commodity due to 232 [the tariffs]. The price increases will begin to impact our company’s performance.” (Primary Metals)</t>
  </si>
  <si>
    <t>“Overall, incoming orders are picking up, and supplier pricing is increasing in some commodities.” (Textile Mills)</t>
  </si>
  <si>
    <t>“Hiring continues to slowly increase from February into March and capital spending was allowed a small increase. Oil market conditions have improved and continue to stabilize.” (Petroleum &amp; Coal Products)</t>
  </si>
  <si>
    <t>“We are seeing strong sales in the U.S., Europe and Asia.” (Chemical Products)</t>
  </si>
  <si>
    <t>“Business is off the charts. This is causing many collateral issues: a tightening supply chain market and longer lead times. Subcontractors are trading capacity up, leading to a bidding war for the marginal capacity. Labor remains tight and getting tighter.” (Transportation Equipment)</t>
  </si>
  <si>
    <t>“Shortages of trucks and drivers has impacted delivery times.” (Food, Beverage &amp; Tobacco Products)</t>
  </si>
  <si>
    <t>“The recent steel tariffs have made it difficult to source material, and we have had to eliminate two products due to availability and cost of raw material.” (Fabricated Metal Products)</t>
  </si>
  <si>
    <t>“Demand is up for products. Commodity pricing for steel and other materials increased due to the proposed tariffs. We are seeing commodity futures coming down. A lot of suppliers are asking for increases, and the team is battling those requests.” (Machinery)</t>
  </si>
  <si>
    <t>[The] 232 and 301 tariffs are very concerning. Business planning is at a standstill until they are resolved. Significant amount of manpower [on planning and the like] being expended on these issues.” (Miscellaneous Manufacturing)</t>
  </si>
  <si>
    <t>“Production orders at this time are still strong and being driven partially by construction factors and customers purchasing ahead to avoid potential price increases.” (Plastics &amp; Rubber Products)</t>
  </si>
  <si>
    <t>“The general outlook for 2018 remains positive and upbeat as we see continued signs of a growing economy and investment in housing and infrastructure.” (Nonmetallic Mineral Products)</t>
  </si>
  <si>
    <t>“Business conditions have been good; order book is full and running around 98 percent capacity.” (Primary Metals)</t>
  </si>
  <si>
    <t>“Backorders remain strong. New order rate exceeds shipment rate.” (Computer &amp; Electronic Products)</t>
  </si>
  <si>
    <t>“We are currently overselling our forecast and don’t see an end to the upswing in business. We are very concerned, however, about the tariffs proposed in Section 301 and are focusing on alternatives to Chinese sourcing.” (Transportation Equipment)</t>
  </si>
  <si>
    <t>“Very difficult to hire skilled and unskilled labor.” (Food, Beverage &amp; Tobacco Products)</t>
  </si>
  <si>
    <t>“We are concerned about the strong dollar affecting our export orders as well as the steel tariffs, which are causing domestic steel prices to rise.” (Fabricated Metal Products)</t>
  </si>
  <si>
    <t>“Strong demand from (agricultural) business; solid demand in all other business segments.” (Chemical Products)</t>
  </si>
  <si>
    <t>“Sales remain strong. Lead times and direct material costs are soaring.” (Machinery)</t>
  </si>
  <si>
    <t>“Suppliers are seeing price increases and trying to pass them on.” (Miscellaneous Manufacturing)</t>
  </si>
  <si>
    <t>“Continued talk around steel tariffs has resulted in price increases for domestic line pipe, while HRC seems to be moving sideways. Temporary exemptions for allies and an agreement with South Korea have not calmed the market.” (Petroleum &amp; Coal Products)</t>
  </si>
  <si>
    <t>“Growth seems to be coming in the construction industry, but at a slower pace than expected with delays due to weather in the U.S. Business in (Latin America) is way up, and Canada is off to a decent start.” (Nonmetallic Mineral Products)</t>
  </si>
  <si>
    <t>“Industry demand is causing price increases. Fuel prices are also on the rise, and there have been (price) increases associated with that.” (Primary Metals)</t>
  </si>
  <si>
    <t>“Severe allocation, long lead times and upward price pressure, particularly in the electronic components market, continue to hamper our ability to meet customer demand and our shipping schedule.” (Computer &amp; Electronic Products)</t>
  </si>
  <si>
    <t>“Business is strong in all regions. Materials are tight. Trucking continues to be a major challenge.” (Chemical Products)</t>
  </si>
  <si>
    <t>“Strong economic growth continues to put pressure/strain on capacity, lead time, availability and pricing across a broadening array of commodities and components.” (Computer &amp; Electronic Products)</t>
  </si>
  <si>
    <t>“U.S. tariff policy and lack of predictability, along with [the] threat of trade wars, [is a] causing general business instability and [is] drag on growth for investments.” (Electrical Equipment, Appliances &amp; Components)</t>
  </si>
  <si>
    <t>“Electronic component supply issues continue to disrupt production.” (Transportation Equipment)</t>
  </si>
  <si>
    <t xml:space="preserve">“We are preparing to shift some customer responsibilities among manufacturing plants and business units due to trade issues (for example, we’ll shift production for China market from the U.S. to our Canadian plant to avoid higher tariffs). Within our company, there is a sense of uncertainty due to potential trade wars.” </t>
  </si>
  <si>
    <t>“The Section 232 steel tariffs are now impacting domestic steel prices and capacity. Base steel prices have already increased 20 percent since March.” (Fabricated Metal Products)</t>
  </si>
  <si>
    <t>“Transportation costs are going through the roof right now, which definitely impacts the decisions we’re making with regard to quantities we’re bringing in versus truckload and LTL.” (Furniture &amp; Related Products)</t>
  </si>
  <si>
    <t xml:space="preserve">“The economy and product demand still continue to be strong. Having trouble finding people [to fill] blue collar positions. Lead times for parts and materials are moving out, and we are seeing commodity cost pressures increases with the threat of tariffs. Additionally, suppliers are asking for more price increases.” </t>
  </si>
  <si>
    <t>“The tariffs are improving margins in our raw material businesses; however, our businesses which are further up the supply chain are seeing significant inflation.” (Miscellaneous Manufacturing)</t>
  </si>
  <si>
    <t>"The steel tariffs continue to drive uncertainty. Projects and services using steel have limited days that prices are good for. Trucking is tight, requiring advanced planning and increasing costs.” (Paper Products)</t>
  </si>
  <si>
    <t>Report Release Date, Tells Information for the Month Previous</t>
  </si>
  <si>
    <t>“Busy for new orders, but the cost of raw material chemicals keeps going up.” (Chemical Products)</t>
  </si>
  <si>
    <t>“We have seen a slight uptick in international business. Suppliers do not seem to know how to handle the recently imposed tariffs. Most are waiting to re-evaluate potential price increases until September.” (Computer &amp; Electronic Products)</t>
  </si>
  <si>
    <t>“Generally high levels of demand continue, and [we are] planning for this elevated rate through the rest of the year.” (Transportation Equipment)</t>
  </si>
  <si>
    <t>“Suppliers appear to be bracing us for cost increases, given increased talk of tariffs and inflation. We are budgeting for 2019 accordingly.” (Food, Beverage &amp; Tobacco Products)</t>
  </si>
  <si>
    <t>“The toughest thing we deal with is the unknown. Dealing with tariffs on steel purchases and not knowing if or when they will end makes planning difficult. We are entering the period when we begin our pricing negotiations for next year and will likely treat the tariffs as if they will be here for the entire year. It’s challenging, but not insurmountable.”</t>
  </si>
  <si>
    <t>“Business is positive, new equipment sales and inquiries are strong, and the parts business is strong. Raw material costs, especially steel, appear to be leveling off. Cost of manufactured components has also leveled off. Most suppliers are willing and able to suppress cost increases. Tariff impacts are still a concern.” (Machinery)</t>
  </si>
  <si>
    <t>“Business continues to be strong. We anticipate growth in the next few months.” (Plastics &amp; Rubber Products)</t>
  </si>
  <si>
    <t>"Business conditions are strong. Orders are up. Purchase prices are up. Unemployment is down.” (Miscellaneous Manufacturing)</t>
  </si>
  <si>
    <t>"Continued strong demand has most locations in a sold-out market, putting pressure on our facilities to produce and have strong uptime. Purchasing is under pressure to provide critical parts in a market where lead times have increased.” (Nonmetallic Mineral Products)</t>
  </si>
  <si>
    <t>“Steel tariffs and their threats are putting upward pressure on downstream materials.” (Petroleum &amp; Coal Products)</t>
  </si>
  <si>
    <t>“Global demand is still strong. Working on contingency plans for the Chinese tariffs. We will probably onshore most of that material. Labor availability is becoming an issue.” (Computer &amp; Electronic Products)</t>
  </si>
  <si>
    <t>“As a result of new tariffs on materials to/from China, we are taking measures to move impacted materials ahead of effective dates, which in some cases is resulting in holding higher inventories.” (Chemical Products)</t>
  </si>
  <si>
    <t>“Steel cost increases are causing a lot of negotiations. The increases are real and will affect costs beginning in the third quarter of 2018.” (Electrical Equipment, Appliances &amp; Components)</t>
  </si>
  <si>
    <t>“Reviewing the business case for importing manufactured parts from China, as new tariffs will lead to increased costs that we will pass along to our domestic customers.” (Transportation Equipment)</t>
  </si>
  <si>
    <t>“Corn and soybean meal costs are reducing. Labor continues to be a struggle to fill open positions.” (Food, Beverage &amp; Tobacco Products)</t>
  </si>
  <si>
    <t>“The steel tariffs are a concern to us. We have already seen steel prices increase due to the threat of the tariffs and are seeing kickback from our customers due to the higher prices. We are concerned that the end customer will go to off shore to purchase the finished product.” (Fabricated Metal Products)</t>
  </si>
  <si>
    <t>“Business is moving along at a brisk pace, outperforming the annual plan year-to-date. However, internationally, nationally and locally, we are finding many manufacturers behind schedule due to capacity constraints. They are stating their order intake is heavy and/or they cannot find qualified employees to get all the work done.”</t>
  </si>
  <si>
    <t>“Tariffs are [resulting in] customs inspection-time increases on imported raw materials from China. Logistics seems to be improving, but we are seeing a [continuing] tight chemical bulk tanker market.” (Plastics &amp; Rubber Products)</t>
  </si>
  <si>
    <t xml:space="preserve">"Our customer demand is high, but  tariffs are negatively affecting our bottom line, as we are unable to pass increases to all of our customers. Plus, we are seeing increases in our construction costs because of the steel price increases. Labor market is extremely tight for professional personnel, plant technicians and support associates.” </t>
  </si>
  <si>
    <t>“ China has all but stopped taking orders, causing inventories to build up in the U.S,  Domestic business is steady. However, it is too small to carry the load that export markets have retreated from. As a result, we will be meeting as a corporation next week to recast our second-half sales and revenue projections.” (Wood Products)</t>
  </si>
  <si>
    <t xml:space="preserve">"The tariffs have caused a mass rush to buy up inventories of affected products in order to minimize the long-term financial impact. This, in turn, is causing market constraints, which further drive up the cost and increase lead times.” </t>
  </si>
  <si>
    <t>“Tariffs starting to take a bite out of profitability.” (Chemical Products)</t>
  </si>
  <si>
    <t>“Business is strong and relatively stable. Tariffs are putting pressure on Chinese imports. Labor rates are increasing as it is very difficult to find help.” (Furniture &amp; Related Products)</t>
  </si>
  <si>
    <t>“The economy's strength is holding [and] outlook for the industry is positive, although continuing margin compression in consumer packaged goods is restricting general growth momentum from the greater economy.” (Food, Beverage &amp; Tobacco Products)</t>
  </si>
  <si>
    <t>“Still extremely strong through November; starting to see a decline for steel prices for December.” (Fabricated Metal Products)</t>
  </si>
  <si>
    <t>“General available capacity at suppliers continues to decrease, creating supply issues.” (Machinery)</t>
  </si>
  <si>
    <t>“Tariffs are creating a drag on some of our export opportunities.” (Plastics &amp; Rubber Products)</t>
  </si>
  <si>
    <t>“Sourcing hourly workers for remote locations continues to be a challenge for both full-time and part-time opportunities. Have implemented a wide variety of recruiting techniques and suppliers to aid us in sourcing this hard-to-find talent.” (Paper Products)</t>
  </si>
  <si>
    <t>"Orders are coming in, but from a limited number of customers. The future looks very promising.” (Primary Metals)</t>
  </si>
  <si>
    <t>“Suppliers are impacted by China tariffs, [which is] delaying or cancelling manufacturing transfer projects.” (Miscellaneous Manufacturing)</t>
  </si>
  <si>
    <t>“All electronic components are having shortages and much longer lead times that impact our production.” (Computer &amp; Electronic Products)</t>
  </si>
  <si>
    <t>“Tariffs are causing inflation: increased costs of imports, increased cost of freight and increased domestic costs from suppliers who import.” (Chemical Products)</t>
  </si>
  <si>
    <t>“Protein prices continue under pressure from heavy U.S. supplies and export concerns related to trade tariffs. Higher costs related to trade tariffs are starting to be passed on to the cost of goods sold.” (Food, Beverage &amp; Tobacco Products)</t>
  </si>
  <si>
    <t>“While order intake remains steady, the pace has slowed since Q1/2. The backlog is declining. We are processing orders at the point of status quo from late 2017. We are not concerned yet, but there is certainly trepidation about the future.” (Machinery)</t>
  </si>
  <si>
    <t>“NAFTA 2.0/USMCA does nothing to help our company, as it does not address Section 232 tariffs.” (Plastics &amp; Rubber Products)</t>
  </si>
  <si>
    <t>“We continue to run at full capacity. I continue to see pricing pressures and longer lead times in most commodities.” (Primary Metals)</t>
  </si>
  <si>
    <t>“Mounting pressure due to pending tariffs. Bracing for delays in material from China — a rush of orders trying to race tariff implementation is flooding shipping and customs.” (Miscellaneous Manufacturing)</t>
  </si>
  <si>
    <t>“Demand is high, and the supply chains are stressed.” (Transportation Equipment)</t>
  </si>
  <si>
    <t>“Orders and shipments are strong right now. Backlog for Q4 and next year are way down. We'll be spending as much as possible on capital improvements before the end of the year.” (Fabricated Metal Products)</t>
  </si>
  <si>
    <t>“Steel tariffs continue to negatively affect our cost, even though we utilize U.S. sources for steel. Oil prices put meaningful upward pressure on cost. Continued tightness with truck drivers is expected.” (Petroleum &amp; Coal Products)</t>
  </si>
  <si>
    <t xml:space="preserve">“Shortages, longer lead times and capacity constraints [particularly in the electronic components marketplace] and tariffs continue to strain the supply chain and disrupt normal business practices and activities.” </t>
  </si>
  <si>
    <t>“Seeing a number [of] areas of slowdown that are concerning: truck market loosening [and] ISO depots full of empty containers, all signs of decreasing business activity.” (Chemical Products)</t>
  </si>
  <si>
    <t>“Production continues at increased levels.” (Transportation Equipment)</t>
  </si>
  <si>
    <t>“Labor shortages in our area are affecting production volumes.” (Food, Beverage &amp; Tobacco Products)</t>
  </si>
  <si>
    <t>“Trade tariffs and commodity increases have greatly affected our ability to remain competitive in the market.” (Machinery)</t>
  </si>
  <si>
    <t>“Business [orders] steady. Many customers [moving] orders up due to price increases [from commodity costs and tariffs].” (Furniture &amp; Related Products)</t>
  </si>
  <si>
    <t>“Business remains strong. Tariffs impact is fully reflected in Q3 results, and initiatives are underway to move work out of China into other low-cost countries.” (Miscellaneous Manufacturing)</t>
  </si>
  <si>
    <t>“A lack of experienced workers is having an impact on production, which impacts sourcing due to the skills gap in the manufacturing trades; particularly computer numeric controlled machinists, but also assemblers and welders. The challenge is meeting customer-delivery requirements for new and repaired equipment.” (Fabricated Metal Products)</t>
  </si>
  <si>
    <t>“Steel tariffs continue to put upward pressure on downstream materials (even when sourcing steel domestically). Long-haul trucking market seems to be normalizing after the implementation of the electronic logging requirements. Oil volatility is also beginning to make its way through downstream materials.” (Petroleum &amp; Coal Products)</t>
  </si>
  <si>
    <t>“Continuing to increase imports in order to receive material in by the end of the year to avoid potential 25-percent tariffs.” (Nonmetallic Mineral Products)</t>
  </si>
  <si>
    <t>“Growth appears to have stopped. Resources still focused on re-sourcing for U.S. tariff mitigation out of China.” (Computer &amp; Electronic Products)</t>
  </si>
  <si>
    <t>“Brexit has become a problem due to labeling changes.” (Chemical Products)</t>
  </si>
  <si>
    <t>“Customer demand continues to decrease [due to] concerns about the economy and tariffs.” (Transportation Equipment)</t>
  </si>
  <si>
    <t>“Starting to see more and more inflationary increases for raw materials. Also, suppliers [are] forcing price increases due to tariffs.” (Food, Beverage &amp; Tobacco Products)</t>
  </si>
  <si>
    <t>“The ongoing open issues with tariffs between U.S. and China are causing longer-term concerns about costs and sourcing strategies for our manufacturing operations. We were anticipating more clarity [regarding] tariffs at the end of 2018.” (Machinery)</t>
  </si>
  <si>
    <t>“Business is steady, but pace of incoming orders are slowing.” (Furniture &amp; Related Products)</t>
  </si>
  <si>
    <t>“Business is robust for certain sectors [aerospace] and flat to downward for others [energy]. Tariffs continue to impact business direction and profit.” (Miscellaneous Manufacturing)</t>
  </si>
  <si>
    <t>“Caution seems to be the outlook. Are we in a correction, or is the market getting ready to slow over time?” (Fabricated Metal Products)</t>
  </si>
  <si>
    <t>“No major change in business operations towards the end of 2018; however, we are carefully monitoring oil prices and outside influence from market conditions to better understand our 2019 outlook and capital plans.” (Petroleum &amp; Coal Products)</t>
  </si>
  <si>
    <t>“Customers are hedge buying in December as a result of announced price increases starting in January.” (Textile Mills)</t>
  </si>
  <si>
    <t>“Unlike in the last few years, we are experiencing a first quarter slowdown.” (Paper Products)</t>
  </si>
  <si>
    <t>“Steady supply and production environment.” (Computer &amp; Electronic Products)</t>
  </si>
  <si>
    <t>“Concerns about oil prices are fueling questions of how strong the economy will be the first half of 2019.” (Chemical Products)</t>
  </si>
  <si>
    <t>“Overall, business continues to be good; however, margins are being squeezed.” (Transportation Equipment)</t>
  </si>
  <si>
    <t>“The federal government shutdown is impacting our ability to get new products launched. All wines need TTB [Alcohol and Tobacco Tax and Trade Bureau] approval. We are reforecasting accordingly.” (Food, Beverage &amp; Tobacco Products)</t>
  </si>
  <si>
    <t>“We continue to enjoy the benefits of a strong general economy. We are busy and maintain a backlog of sales orders.” (Machinery)</t>
  </si>
  <si>
    <t>“Incoming orders have been steady, but we’re starting to see signs of slowing going into February and March.” (Furniture &amp; Related Products)</t>
  </si>
  <si>
    <t>“Business conditions are good, and our demand and production are tracking to our forecasted growth levels for the year.” (Miscellaneous Manufacturing)</t>
  </si>
  <si>
    <t>“Going to be a very strong spring. Business levels will be just as good [compared to] the same time frame in 2018.” (Fabricated Metal Products)</t>
  </si>
  <si>
    <t>“Steel tariffs continue to put upward pressure on prices of downstream materials.” (Petroleum &amp; Coal Products)</t>
  </si>
  <si>
    <t>“January is off to a good start versus a lower November and December. We are ahead of both plan and January 2018 performance.” (Plastics and Rubber Products)</t>
  </si>
  <si>
    <t>“Sales nationally appear to be on target for 2019 and slightly ahead of 2018.” (Nonmetallic Mineral Products)</t>
  </si>
  <si>
    <t>“Strong domestics market. Slow export markets.” (Paper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</si>
  <si>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</si>
  <si>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“Strong start to the year, though weather has been a challenge.” (Chemical Products)</t>
  </si>
  <si>
    <t>“Still fairly steady with production and services.” (Transportation Equipment)</t>
  </si>
  <si>
    <t>“Economy showing general strength, especially in manufacturing. Cost pressures and tariff challenges persist but are manageable. General outlook is for stability and potential improvement in the second half of 2019.” (Food, Beverage &amp; Tobacco Products)</t>
  </si>
  <si>
    <t>“Orders remain strong. Supplier delivery continues to be challenged on some commodities.” (Machinery)</t>
  </si>
  <si>
    <t>“Aerospace engine-related business continues to be strong. Energy and general industry-related business is flat to down.” (Miscellaneous Manufacturing)</t>
  </si>
  <si>
    <t>“Business so far this year is meeting, but not exceeding, our forecast. We are concerned about indicators showing a slight recession for the second half of the calendar year.” (Fabricated Metal Products)</t>
  </si>
  <si>
    <t>"Uncertainty of steel prices due to Section 232 tariffs on imported steel and lack of resolution of the anti-dumping trade cases.” (Petroleum &amp; Coal Products)</t>
  </si>
  <si>
    <t>“General business conditions started to slow at the end of January, continuing through February.” (Plastics and Rubber Products)</t>
  </si>
  <si>
    <t>“Customer orders remain strong.” (Textile Mills)</t>
  </si>
  <si>
    <t>“The electronics industry seems to be slowly coming out of crisis mode. Lead times and costs have leveled out in some commodities, and dynamic random access memory (DRAM) prices are actually coming down.” (Computer &amp; Electronic Products)</t>
  </si>
  <si>
    <t>“Brexit continues to be a concern, despite the fact that our organization has already rolled out a plan to minimize its impact.” (Chemical Products)</t>
  </si>
  <si>
    <t>“Business remains very strong amid rumors of a slowdown, but forecasts do not indicate this. Electronics are at tight capacity from manufacturers, with no [change] in the near future.” (Transportation Equipment)</t>
  </si>
  <si>
    <t>“Strong customer orders continue.” (Food, Beverage &amp; Tobacco Products)</t>
  </si>
  <si>
    <t>“Current weather conditions causing significant delivery delays [and] diminishing our production capabilities.” (Machinery)</t>
  </si>
  <si>
    <t>“Strong business momentum coming into January and early February has slowed to typical seasonal business conditions for our industry.” (Miscellaneous Manufacturing)</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</si>
  <si>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</si>
  <si>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“Steel tariffs continue to put upward pressure on our input costs. The government shutdown delayed the process of gaining exemptions to the tariffs.” (Petroleum &amp; Coal Products)</t>
  </si>
  <si>
    <t>“Awaiting with anticipation the outcome of the U.S.-China trade deal.” (Plastics and Rubber Products)</t>
  </si>
  <si>
    <t>“Experienced a reduction in orders, with forecasted softness going into Q2.” (Primary Metals)</t>
  </si>
  <si>
    <t>“Weather in the domestic market is constraining homebuilding across the nation.. Expectations are that homebuilding backlog is growing, and a surge of domestic business will come in May and June. Internationally, the Chinese trade war is still holding business back, but expectations are that in April or May, business will spring back as tariffs resolve."</t>
  </si>
  <si>
    <t>“Skilled labor is still tough to find.” (Apparel, Leather &amp; Allied Products)</t>
  </si>
  <si>
    <t>“Steel in U.S. remains strong, driving numerous product lines.” (Nonmetallic Mineral Products)</t>
  </si>
  <si>
    <t>“Business is very strong and has been for over two years.” (Furniture &amp; Related Products)</t>
  </si>
  <si>
    <t>TOTALS(Sum cumm.score)</t>
  </si>
  <si>
    <t>ISM Manufacturing [What happened last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</si>
</sst>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0.0"/>
  </numFmts>
  <fonts count="30">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0"/>
      <name val="Arial"/>
      <family val="2"/>
    </font>
    <font>
      <u/>
      <sz val="10"/>
      <color theme="1"/>
      <name val="Calibri"/>
      <family val="2"/>
      <scheme val="minor"/>
    </font>
    <font>
      <sz val="10"/>
      <color theme="1"/>
      <name val="Calibri"/>
      <family val="2"/>
      <scheme val="minor"/>
    </font>
    <font>
      <b/>
      <sz val="8"/>
      <color theme="1"/>
      <name val="Calibri"/>
      <family val="2"/>
      <scheme val="minor"/>
    </font>
    <font>
      <sz val="10"/>
      <name val="Calibri"/>
      <family val="2"/>
      <scheme val="minor"/>
    </font>
    <font>
      <sz val="8"/>
      <color theme="1"/>
      <name val="Calibri"/>
      <family val="2"/>
      <scheme val="minor"/>
    </font>
    <font>
      <sz val="8"/>
      <name val="Calibri"/>
      <family val="2"/>
      <scheme val="minor"/>
    </font>
    <font>
      <b/>
      <sz val="10"/>
      <name val="Arial"/>
      <family val="2"/>
    </font>
    <font>
      <b/>
      <sz val="10"/>
      <name val="Calibri"/>
      <family val="2"/>
      <scheme val="minor"/>
    </font>
    <font>
      <sz val="11"/>
      <name val="Calibri"/>
      <family val="2"/>
      <scheme val="minor"/>
    </font>
    <font>
      <sz val="11"/>
      <color rgb="FF444444"/>
      <name val="Calibri"/>
      <family val="2"/>
      <scheme val="minor"/>
    </font>
    <font>
      <sz val="11"/>
      <color theme="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92D050"/>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xf numFmtId="0" fontId="18" fillId="0" borderId="0"/>
  </cellStyleXfs>
  <cellXfs count="89">
    <xf numFmtId="0" fontId="0" fillId="0" borderId="0" xfId="0"/>
    <xf numFmtId="14" fontId="0" fillId="0" borderId="0" xfId="0" applyNumberFormat="1"/>
    <xf numFmtId="0" fontId="0" fillId="0" borderId="10" xfId="0" applyBorder="1"/>
    <xf numFmtId="14" fontId="0" fillId="0" borderId="10" xfId="0" applyNumberFormat="1" applyBorder="1"/>
    <xf numFmtId="10" fontId="0" fillId="0" borderId="0" xfId="0" applyNumberFormat="1"/>
    <xf numFmtId="0" fontId="0" fillId="34" borderId="0" xfId="0" applyFill="1"/>
    <xf numFmtId="0" fontId="0" fillId="35" borderId="0" xfId="0" applyFill="1"/>
    <xf numFmtId="166" fontId="20" fillId="0" borderId="10" xfId="42" applyNumberFormat="1" applyFont="1" applyFill="1" applyBorder="1"/>
    <xf numFmtId="166" fontId="20" fillId="0" borderId="10" xfId="0" applyNumberFormat="1" applyFont="1" applyFill="1" applyBorder="1"/>
    <xf numFmtId="0" fontId="18" fillId="0" borderId="0" xfId="42"/>
    <xf numFmtId="0" fontId="18" fillId="0" borderId="0" xfId="43"/>
    <xf numFmtId="0" fontId="21" fillId="37" borderId="15" xfId="42" applyFont="1" applyFill="1" applyBorder="1" applyAlignment="1">
      <alignment horizontal="center" vertical="center"/>
    </xf>
    <xf numFmtId="17" fontId="21" fillId="37" borderId="17" xfId="42" applyNumberFormat="1" applyFont="1" applyFill="1" applyBorder="1" applyAlignment="1">
      <alignment horizontal="center" vertical="center"/>
    </xf>
    <xf numFmtId="0" fontId="23" fillId="37" borderId="20" xfId="42" applyFont="1" applyFill="1" applyBorder="1" applyAlignment="1"/>
    <xf numFmtId="0" fontId="24" fillId="36" borderId="10" xfId="43" applyFont="1" applyFill="1" applyBorder="1"/>
    <xf numFmtId="0" fontId="23" fillId="37" borderId="16" xfId="42" applyFont="1" applyFill="1" applyBorder="1" applyAlignment="1"/>
    <xf numFmtId="0" fontId="25" fillId="0" borderId="18" xfId="43" applyFont="1" applyBorder="1"/>
    <xf numFmtId="0" fontId="18" fillId="0" borderId="18" xfId="42" applyBorder="1"/>
    <xf numFmtId="0" fontId="18" fillId="38" borderId="0" xfId="42" applyFill="1"/>
    <xf numFmtId="0" fontId="18" fillId="38" borderId="18" xfId="42" applyFill="1" applyBorder="1"/>
    <xf numFmtId="0" fontId="18" fillId="39" borderId="0" xfId="42" applyFill="1"/>
    <xf numFmtId="0" fontId="18" fillId="39" borderId="18" xfId="42" applyFill="1" applyBorder="1"/>
    <xf numFmtId="0" fontId="18" fillId="40" borderId="0" xfId="42" applyFill="1"/>
    <xf numFmtId="0" fontId="18" fillId="40" borderId="18" xfId="42" applyFill="1" applyBorder="1"/>
    <xf numFmtId="0" fontId="18" fillId="0" borderId="0" xfId="42" applyBorder="1"/>
    <xf numFmtId="0" fontId="18" fillId="41" borderId="0" xfId="43" applyFont="1" applyFill="1" applyBorder="1"/>
    <xf numFmtId="0" fontId="18" fillId="0" borderId="0" xfId="42" applyFont="1" applyBorder="1"/>
    <xf numFmtId="0" fontId="18" fillId="38" borderId="0" xfId="42" applyFill="1" applyBorder="1"/>
    <xf numFmtId="0" fontId="18" fillId="39" borderId="0" xfId="43" applyFont="1" applyFill="1" applyBorder="1"/>
    <xf numFmtId="0" fontId="18" fillId="39" borderId="0" xfId="42" applyFont="1" applyFill="1" applyBorder="1"/>
    <xf numFmtId="0" fontId="18" fillId="41" borderId="0" xfId="42" applyFont="1" applyFill="1" applyBorder="1"/>
    <xf numFmtId="0" fontId="18" fillId="41" borderId="0" xfId="42" applyFill="1"/>
    <xf numFmtId="0" fontId="18" fillId="41" borderId="18" xfId="42" applyFill="1" applyBorder="1"/>
    <xf numFmtId="0" fontId="18" fillId="34" borderId="0" xfId="42" applyFill="1" applyBorder="1"/>
    <xf numFmtId="0" fontId="18" fillId="34" borderId="0" xfId="43" applyFont="1" applyFill="1" applyBorder="1"/>
    <xf numFmtId="0" fontId="18" fillId="34" borderId="0" xfId="42" applyFill="1"/>
    <xf numFmtId="0" fontId="18" fillId="34" borderId="18" xfId="42" applyFill="1" applyBorder="1"/>
    <xf numFmtId="0" fontId="18" fillId="34" borderId="0" xfId="42" applyFont="1" applyFill="1" applyBorder="1"/>
    <xf numFmtId="17" fontId="26" fillId="0" borderId="18" xfId="43" applyNumberFormat="1" applyFont="1" applyBorder="1" applyAlignment="1">
      <alignment horizontal="left"/>
    </xf>
    <xf numFmtId="17" fontId="22" fillId="0" borderId="0" xfId="43" applyNumberFormat="1" applyFont="1" applyAlignment="1">
      <alignment horizontal="left"/>
    </xf>
    <xf numFmtId="0" fontId="18" fillId="42" borderId="0" xfId="43" applyFont="1" applyFill="1" applyBorder="1"/>
    <xf numFmtId="17" fontId="22" fillId="33" borderId="10" xfId="43" applyNumberFormat="1" applyFont="1" applyFill="1" applyBorder="1" applyAlignment="1">
      <alignment horizontal="left"/>
    </xf>
    <xf numFmtId="17" fontId="22" fillId="33" borderId="10" xfId="43" applyNumberFormat="1" applyFont="1" applyFill="1" applyBorder="1" applyAlignment="1">
      <alignment horizontal="left" vertical="center"/>
    </xf>
    <xf numFmtId="0" fontId="18" fillId="42" borderId="0" xfId="42" applyFill="1" applyBorder="1"/>
    <xf numFmtId="0" fontId="18" fillId="42" borderId="0" xfId="42" applyFont="1" applyFill="1" applyBorder="1"/>
    <xf numFmtId="17" fontId="22" fillId="34" borderId="10" xfId="43" applyNumberFormat="1" applyFont="1" applyFill="1" applyBorder="1" applyAlignment="1">
      <alignment horizontal="left"/>
    </xf>
    <xf numFmtId="17" fontId="22" fillId="34" borderId="10" xfId="43" applyNumberFormat="1" applyFont="1" applyFill="1" applyBorder="1" applyAlignment="1">
      <alignment horizontal="left" vertical="center"/>
    </xf>
    <xf numFmtId="49" fontId="27" fillId="33" borderId="10" xfId="43" applyNumberFormat="1" applyFont="1" applyFill="1" applyBorder="1"/>
    <xf numFmtId="49" fontId="27" fillId="33" borderId="10" xfId="43" applyNumberFormat="1" applyFont="1" applyFill="1" applyBorder="1" applyAlignment="1">
      <alignment wrapText="1"/>
    </xf>
    <xf numFmtId="49" fontId="28" fillId="33" borderId="10" xfId="43" applyNumberFormat="1" applyFont="1" applyFill="1" applyBorder="1" applyAlignment="1">
      <alignment horizontal="left" wrapText="1"/>
    </xf>
    <xf numFmtId="49" fontId="27" fillId="0" borderId="0" xfId="43" applyNumberFormat="1" applyFont="1"/>
    <xf numFmtId="49" fontId="18" fillId="37" borderId="0" xfId="42" applyNumberFormat="1" applyFill="1"/>
    <xf numFmtId="0" fontId="18" fillId="37" borderId="0" xfId="42" applyFill="1"/>
    <xf numFmtId="49" fontId="27" fillId="0" borderId="10" xfId="43" applyNumberFormat="1" applyFont="1" applyFill="1" applyBorder="1"/>
    <xf numFmtId="49" fontId="27" fillId="34" borderId="10" xfId="43" applyNumberFormat="1" applyFont="1" applyFill="1" applyBorder="1"/>
    <xf numFmtId="49" fontId="27" fillId="34" borderId="10" xfId="43" applyNumberFormat="1" applyFont="1" applyFill="1" applyBorder="1" applyAlignment="1">
      <alignment wrapText="1"/>
    </xf>
    <xf numFmtId="49" fontId="29" fillId="34" borderId="10" xfId="43" applyNumberFormat="1" applyFont="1" applyFill="1" applyBorder="1" applyAlignment="1">
      <alignment horizontal="left" wrapText="1"/>
    </xf>
    <xf numFmtId="17" fontId="20" fillId="33" borderId="10" xfId="43" applyNumberFormat="1" applyFont="1" applyFill="1" applyBorder="1" applyAlignment="1">
      <alignment horizontal="left"/>
    </xf>
    <xf numFmtId="49" fontId="29" fillId="33" borderId="10" xfId="43" applyNumberFormat="1" applyFont="1" applyFill="1" applyBorder="1"/>
    <xf numFmtId="49" fontId="29" fillId="33" borderId="10" xfId="43" applyNumberFormat="1" applyFont="1" applyFill="1" applyBorder="1" applyAlignment="1">
      <alignment wrapText="1"/>
    </xf>
    <xf numFmtId="17" fontId="20" fillId="33" borderId="10" xfId="43" applyNumberFormat="1" applyFont="1" applyFill="1" applyBorder="1" applyAlignment="1">
      <alignment horizontal="left" vertical="center"/>
    </xf>
    <xf numFmtId="49" fontId="29" fillId="33" borderId="10" xfId="43" applyNumberFormat="1" applyFont="1" applyFill="1" applyBorder="1" applyAlignment="1">
      <alignment horizontal="left" wrapText="1"/>
    </xf>
    <xf numFmtId="17" fontId="20" fillId="34" borderId="10" xfId="43" applyNumberFormat="1" applyFont="1" applyFill="1" applyBorder="1" applyAlignment="1">
      <alignment horizontal="left"/>
    </xf>
    <xf numFmtId="49" fontId="29" fillId="34" borderId="10" xfId="43" applyNumberFormat="1" applyFont="1" applyFill="1" applyBorder="1"/>
    <xf numFmtId="49" fontId="29" fillId="34" borderId="10" xfId="43" applyNumberFormat="1" applyFont="1" applyFill="1" applyBorder="1" applyAlignment="1">
      <alignment wrapText="1"/>
    </xf>
    <xf numFmtId="17" fontId="20" fillId="34" borderId="10" xfId="43" applyNumberFormat="1" applyFont="1" applyFill="1" applyBorder="1" applyAlignment="1">
      <alignment horizontal="left" vertical="center"/>
    </xf>
    <xf numFmtId="49" fontId="29" fillId="33" borderId="10" xfId="0" applyNumberFormat="1" applyFont="1" applyFill="1" applyBorder="1"/>
    <xf numFmtId="49" fontId="29" fillId="34" borderId="0" xfId="43" applyNumberFormat="1" applyFont="1" applyFill="1"/>
    <xf numFmtId="49" fontId="18" fillId="33" borderId="10" xfId="42" applyNumberFormat="1" applyFill="1" applyBorder="1"/>
    <xf numFmtId="49" fontId="18" fillId="34" borderId="10" xfId="42" applyNumberFormat="1" applyFill="1" applyBorder="1"/>
    <xf numFmtId="0" fontId="19" fillId="0" borderId="14" xfId="42" applyFont="1" applyBorder="1" applyAlignment="1">
      <alignment horizontal="center" vertical="center" wrapText="1"/>
    </xf>
    <xf numFmtId="0" fontId="19" fillId="0" borderId="13" xfId="42" applyFont="1" applyBorder="1" applyAlignment="1">
      <alignment horizontal="center" vertical="center" wrapText="1"/>
    </xf>
    <xf numFmtId="0" fontId="19" fillId="0" borderId="18" xfId="42" applyFont="1" applyBorder="1" applyAlignment="1">
      <alignment horizontal="center" vertical="center" wrapText="1"/>
    </xf>
    <xf numFmtId="0" fontId="19" fillId="0" borderId="17" xfId="42" applyFont="1" applyBorder="1" applyAlignment="1">
      <alignment horizontal="center" vertical="center" wrapText="1"/>
    </xf>
    <xf numFmtId="0" fontId="19" fillId="0" borderId="11" xfId="42" applyFont="1" applyBorder="1" applyAlignment="1">
      <alignment horizontal="center" vertical="center"/>
    </xf>
    <xf numFmtId="0" fontId="19" fillId="0" borderId="15" xfId="42" applyFont="1" applyBorder="1" applyAlignment="1">
      <alignment horizontal="center" vertical="center"/>
    </xf>
    <xf numFmtId="0" fontId="19" fillId="0" borderId="12" xfId="42" applyFont="1" applyBorder="1" applyAlignment="1">
      <alignment horizontal="center" vertical="center" wrapText="1"/>
    </xf>
    <xf numFmtId="0" fontId="19" fillId="0" borderId="16" xfId="42" applyFont="1" applyBorder="1" applyAlignment="1">
      <alignment horizontal="center" vertical="center" wrapText="1"/>
    </xf>
    <xf numFmtId="0" fontId="19" fillId="0" borderId="10" xfId="42" applyFont="1" applyBorder="1" applyAlignment="1">
      <alignment horizontal="center" vertical="center" wrapText="1"/>
    </xf>
    <xf numFmtId="0" fontId="21" fillId="37" borderId="11" xfId="42" applyFont="1" applyFill="1" applyBorder="1" applyAlignment="1">
      <alignment horizontal="center" vertical="center"/>
    </xf>
    <xf numFmtId="0" fontId="21" fillId="37" borderId="19" xfId="42" applyFont="1" applyFill="1" applyBorder="1" applyAlignment="1">
      <alignment horizontal="center" vertical="center"/>
    </xf>
    <xf numFmtId="0" fontId="20" fillId="33" borderId="11" xfId="43" applyFont="1" applyFill="1" applyBorder="1" applyAlignment="1">
      <alignment horizontal="center" vertical="center" wrapText="1"/>
    </xf>
    <xf numFmtId="0" fontId="20" fillId="33" borderId="19" xfId="43" applyFont="1" applyFill="1" applyBorder="1" applyAlignment="1">
      <alignment horizontal="center" vertical="center" wrapText="1"/>
    </xf>
    <xf numFmtId="0" fontId="20" fillId="33" borderId="15" xfId="43" applyFont="1" applyFill="1" applyBorder="1" applyAlignment="1">
      <alignment horizontal="center" vertical="center" wrapText="1"/>
    </xf>
    <xf numFmtId="0" fontId="20" fillId="34" borderId="10" xfId="43" applyFont="1" applyFill="1" applyBorder="1" applyAlignment="1">
      <alignment horizontal="center" vertical="center" wrapText="1"/>
    </xf>
    <xf numFmtId="0" fontId="20" fillId="33" borderId="10" xfId="43" applyFont="1" applyFill="1" applyBorder="1" applyAlignment="1">
      <alignment horizontal="center" vertical="center" wrapText="1"/>
    </xf>
    <xf numFmtId="17" fontId="21" fillId="37" borderId="11" xfId="42" applyNumberFormat="1" applyFont="1" applyFill="1" applyBorder="1" applyAlignment="1">
      <alignment horizontal="center" vertical="center"/>
    </xf>
    <xf numFmtId="17" fontId="21" fillId="37" borderId="19" xfId="42" applyNumberFormat="1" applyFont="1" applyFill="1" applyBorder="1" applyAlignment="1">
      <alignment horizontal="center" vertical="center"/>
    </xf>
    <xf numFmtId="0" fontId="18" fillId="0" borderId="15" xfId="42" applyBorder="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3" xfId="43" xr:uid="{FF0B5E10-7516-144C-B5E9-2D88DC4731C5}"/>
    <cellStyle name="Normal 4" xfId="42" xr:uid="{1A084063-09FF-104B-8A14-76E017015114}"/>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3" tint="0.59996337778862885"/>
        </patternFill>
      </fill>
    </dxf>
    <dxf>
      <fill>
        <patternFill>
          <bgColor theme="3" tint="0.59996337778862885"/>
        </patternFill>
      </fill>
    </dxf>
  </dxfs>
  <tableStyles count="0" defaultTableStyle="TableStyleMedium2" defaultPivotStyle="PivotStyleLight16"/>
  <colors>
    <mruColors>
      <color rgb="FF009193"/>
      <color rgb="FF941100"/>
      <color rgb="FF00FDFF"/>
      <color rgb="FFFF40FF"/>
      <color rgb="FFFC3200"/>
      <color rgb="FFD883FF"/>
      <color rgb="FFFFF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SPX%</a:t>
            </a:r>
            <a:r>
              <a:rPr lang="en-US" baseline="0"/>
              <a:t> m/m</a:t>
            </a:r>
            <a:r>
              <a:rPr lang="en-US"/>
              <a:t> vs PMI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'PMI Analysis'!$Y$1</c:f>
              <c:strCache>
                <c:ptCount val="1"/>
                <c:pt idx="0">
                  <c:v>SPX% m/m</c:v>
                </c:pt>
              </c:strCache>
            </c:strRef>
          </c:tx>
          <c:spPr>
            <a:ln w="6350" cap="rnd">
              <a:solidFill>
                <a:srgbClr val="00FDFF"/>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Analysis'!$Y$2:$Y$833</c:f>
              <c:numCache>
                <c:formatCode>0.00%</c:formatCode>
                <c:ptCount val="832"/>
                <c:pt idx="1">
                  <c:v>9.9706750715939461E-3</c:v>
                </c:pt>
                <c:pt idx="2">
                  <c:v>4.0651570304968531E-3</c:v>
                </c:pt>
                <c:pt idx="3">
                  <c:v>4.5112721508807324E-2</c:v>
                </c:pt>
                <c:pt idx="4">
                  <c:v>3.9291698948533391E-2</c:v>
                </c:pt>
                <c:pt idx="5">
                  <c:v>-5.8040465493052952E-2</c:v>
                </c:pt>
                <c:pt idx="6">
                  <c:v>8.4793098654997873E-3</c:v>
                </c:pt>
                <c:pt idx="7">
                  <c:v>3.2511210762331939E-2</c:v>
                </c:pt>
                <c:pt idx="8">
                  <c:v>5.5917535287730649E-2</c:v>
                </c:pt>
                <c:pt idx="9">
                  <c:v>4.113110328374703E-3</c:v>
                </c:pt>
                <c:pt idx="10">
                  <c:v>-1.0241166910333005E-3</c:v>
                </c:pt>
                <c:pt idx="11">
                  <c:v>4.6130189646335133E-2</c:v>
                </c:pt>
                <c:pt idx="12">
                  <c:v>6.124448799608035E-2</c:v>
                </c:pt>
                <c:pt idx="13">
                  <c:v>6.463481071098778E-3</c:v>
                </c:pt>
                <c:pt idx="14">
                  <c:v>-1.8348578823329353E-2</c:v>
                </c:pt>
                <c:pt idx="15">
                  <c:v>4.8130841121495384E-2</c:v>
                </c:pt>
                <c:pt idx="16">
                  <c:v>-4.05706642888988E-2</c:v>
                </c:pt>
                <c:pt idx="17">
                  <c:v>-2.6022351301115229E-2</c:v>
                </c:pt>
                <c:pt idx="18">
                  <c:v>6.8702341064042938E-2</c:v>
                </c:pt>
                <c:pt idx="19">
                  <c:v>3.9285758928571432E-2</c:v>
                </c:pt>
                <c:pt idx="20">
                  <c:v>-8.5914944763091077E-4</c:v>
                </c:pt>
                <c:pt idx="21">
                  <c:v>-1.3757480653482493E-2</c:v>
                </c:pt>
                <c:pt idx="22">
                  <c:v>-2.6156058144895995E-3</c:v>
                </c:pt>
                <c:pt idx="23">
                  <c:v>3.8898646805010699E-2</c:v>
                </c:pt>
                <c:pt idx="24">
                  <c:v>1.5565797223390828E-2</c:v>
                </c:pt>
                <c:pt idx="25">
                  <c:v>-3.6453978312095126E-2</c:v>
                </c:pt>
                <c:pt idx="26">
                  <c:v>4.7721453138434948E-2</c:v>
                </c:pt>
                <c:pt idx="27">
                  <c:v>-4.3085800447853831E-2</c:v>
                </c:pt>
                <c:pt idx="28">
                  <c:v>2.3156132075471705E-2</c:v>
                </c:pt>
                <c:pt idx="29">
                  <c:v>4.6102177447519779E-2</c:v>
                </c:pt>
                <c:pt idx="30">
                  <c:v>1.7628245898567495E-2</c:v>
                </c:pt>
                <c:pt idx="31">
                  <c:v>-1.4566889763779527E-2</c:v>
                </c:pt>
                <c:pt idx="32">
                  <c:v>-1.9576507408049983E-2</c:v>
                </c:pt>
                <c:pt idx="33">
                  <c:v>-8.1503664160407336E-4</c:v>
                </c:pt>
                <c:pt idx="34">
                  <c:v>4.6492659053833631E-2</c:v>
                </c:pt>
                <c:pt idx="35">
                  <c:v>3.5463756819953243E-2</c:v>
                </c:pt>
                <c:pt idx="36">
                  <c:v>-7.1509597290176424E-3</c:v>
                </c:pt>
                <c:pt idx="37">
                  <c:v>-1.8195565511583339E-2</c:v>
                </c:pt>
                <c:pt idx="38">
                  <c:v>-2.3552084942084883E-2</c:v>
                </c:pt>
                <c:pt idx="39">
                  <c:v>-2.649268380811854E-2</c:v>
                </c:pt>
                <c:pt idx="40">
                  <c:v>-3.2493906072545774E-3</c:v>
                </c:pt>
                <c:pt idx="41">
                  <c:v>-1.6299999335778373E-2</c:v>
                </c:pt>
                <c:pt idx="42">
                  <c:v>2.5269305106433538E-2</c:v>
                </c:pt>
                <c:pt idx="43">
                  <c:v>-5.7777777777777768E-2</c:v>
                </c:pt>
                <c:pt idx="44">
                  <c:v>1.2864493996569955E-3</c:v>
                </c:pt>
                <c:pt idx="45">
                  <c:v>5.0963640256959257E-2</c:v>
                </c:pt>
                <c:pt idx="46">
                  <c:v>8.9649140601095086E-3</c:v>
                </c:pt>
                <c:pt idx="47">
                  <c:v>2.0193457189014411E-3</c:v>
                </c:pt>
                <c:pt idx="48">
                  <c:v>5.1189079048330352E-2</c:v>
                </c:pt>
                <c:pt idx="49">
                  <c:v>2.6840490797546122E-3</c:v>
                </c:pt>
                <c:pt idx="50">
                  <c:v>3.0210363288718938E-2</c:v>
                </c:pt>
                <c:pt idx="51">
                  <c:v>4.8997733890210428E-2</c:v>
                </c:pt>
                <c:pt idx="52">
                  <c:v>3.2908740268931251E-2</c:v>
                </c:pt>
                <c:pt idx="53">
                  <c:v>6.850976127065248E-4</c:v>
                </c:pt>
                <c:pt idx="54">
                  <c:v>5.7172203258206267E-2</c:v>
                </c:pt>
                <c:pt idx="55">
                  <c:v>-3.4002559391274695E-2</c:v>
                </c:pt>
                <c:pt idx="56">
                  <c:v>8.3137814280925301E-2</c:v>
                </c:pt>
                <c:pt idx="57">
                  <c:v>-1.9498637589023909E-2</c:v>
                </c:pt>
                <c:pt idx="58">
                  <c:v>8.0808143939393853E-2</c:v>
                </c:pt>
                <c:pt idx="59">
                  <c:v>5.0817695629807501E-2</c:v>
                </c:pt>
                <c:pt idx="60">
                  <c:v>1.8065619788771629E-2</c:v>
                </c:pt>
                <c:pt idx="61">
                  <c:v>3.5489215520360762E-3</c:v>
                </c:pt>
                <c:pt idx="62">
                  <c:v>-4.8965182207029142E-3</c:v>
                </c:pt>
                <c:pt idx="63">
                  <c:v>3.7725449003529386E-2</c:v>
                </c:pt>
                <c:pt idx="64">
                  <c:v>-1.3171496658892637E-3</c:v>
                </c:pt>
                <c:pt idx="65">
                  <c:v>8.2300158269585866E-2</c:v>
                </c:pt>
                <c:pt idx="66">
                  <c:v>6.0687327825672301E-2</c:v>
                </c:pt>
                <c:pt idx="67">
                  <c:v>-7.8125000000000781E-3</c:v>
                </c:pt>
                <c:pt idx="68">
                  <c:v>1.1347799907364519E-2</c:v>
                </c:pt>
                <c:pt idx="69">
                  <c:v>-3.0455646002090411E-2</c:v>
                </c:pt>
                <c:pt idx="70">
                  <c:v>7.4870051960321191E-2</c:v>
                </c:pt>
                <c:pt idx="71">
                  <c:v>-6.5915186372906859E-4</c:v>
                </c:pt>
                <c:pt idx="72">
                  <c:v>-3.6499560246262018E-2</c:v>
                </c:pt>
                <c:pt idx="73">
                  <c:v>3.4687357371063515E-2</c:v>
                </c:pt>
                <c:pt idx="74">
                  <c:v>6.9254521393912513E-2</c:v>
                </c:pt>
                <c:pt idx="75">
                  <c:v>-2.0626856435642916E-3</c:v>
                </c:pt>
                <c:pt idx="76">
                  <c:v>-6.5729638988639122E-2</c:v>
                </c:pt>
                <c:pt idx="77">
                  <c:v>3.91592911690423E-2</c:v>
                </c:pt>
                <c:pt idx="78">
                  <c:v>5.1522204566271983E-2</c:v>
                </c:pt>
                <c:pt idx="79">
                  <c:v>-3.8064406520842406E-2</c:v>
                </c:pt>
                <c:pt idx="80">
                  <c:v>-4.54641147322297E-2</c:v>
                </c:pt>
                <c:pt idx="81">
                  <c:v>5.0717532556451492E-3</c:v>
                </c:pt>
                <c:pt idx="82">
                  <c:v>-1.0969723081626893E-2</c:v>
                </c:pt>
                <c:pt idx="83">
                  <c:v>3.5270539695184559E-2</c:v>
                </c:pt>
                <c:pt idx="84">
                  <c:v>-4.1782667314448914E-2</c:v>
                </c:pt>
                <c:pt idx="85">
                  <c:v>-3.2647651327199219E-2</c:v>
                </c:pt>
                <c:pt idx="86">
                  <c:v>1.9648706410018646E-2</c:v>
                </c:pt>
                <c:pt idx="87">
                  <c:v>3.695309369863764E-2</c:v>
                </c:pt>
                <c:pt idx="88">
                  <c:v>3.6947921427725405E-2</c:v>
                </c:pt>
                <c:pt idx="89">
                  <c:v>-1.2650432215897058E-3</c:v>
                </c:pt>
                <c:pt idx="90">
                  <c:v>1.1399641363724677E-2</c:v>
                </c:pt>
                <c:pt idx="91">
                  <c:v>-5.614692131079093E-2</c:v>
                </c:pt>
                <c:pt idx="92">
                  <c:v>-6.1919569616993235E-2</c:v>
                </c:pt>
                <c:pt idx="93">
                  <c:v>-3.2060279682238547E-2</c:v>
                </c:pt>
                <c:pt idx="94">
                  <c:v>1.6074037601703995E-2</c:v>
                </c:pt>
                <c:pt idx="95">
                  <c:v>-4.1466897376153139E-2</c:v>
                </c:pt>
                <c:pt idx="96">
                  <c:v>4.2760663027723869E-2</c:v>
                </c:pt>
                <c:pt idx="97">
                  <c:v>-2.0623524685287102E-2</c:v>
                </c:pt>
                <c:pt idx="98">
                  <c:v>3.0852056807051807E-2</c:v>
                </c:pt>
                <c:pt idx="99">
                  <c:v>3.1829003887363629E-2</c:v>
                </c:pt>
                <c:pt idx="100">
                  <c:v>1.4963190952191393E-2</c:v>
                </c:pt>
                <c:pt idx="101">
                  <c:v>2.6083057382626298E-2</c:v>
                </c:pt>
                <c:pt idx="102">
                  <c:v>4.3103380057321915E-2</c:v>
                </c:pt>
                <c:pt idx="103">
                  <c:v>1.1866942400231874E-2</c:v>
                </c:pt>
                <c:pt idx="104">
                  <c:v>4.837698429319371E-2</c:v>
                </c:pt>
                <c:pt idx="105">
                  <c:v>2.5369576001406803E-2</c:v>
                </c:pt>
                <c:pt idx="106">
                  <c:v>2.240401237467313E-2</c:v>
                </c:pt>
                <c:pt idx="107">
                  <c:v>5.2019798018292811E-2</c:v>
                </c:pt>
                <c:pt idx="108">
                  <c:v>4.3470748840259343E-3</c:v>
                </c:pt>
                <c:pt idx="109">
                  <c:v>-7.2138862540333817E-4</c:v>
                </c:pt>
                <c:pt idx="110">
                  <c:v>5.4140046922944711E-4</c:v>
                </c:pt>
                <c:pt idx="111">
                  <c:v>3.8780682517689138E-2</c:v>
                </c:pt>
                <c:pt idx="112">
                  <c:v>1.8926897030734437E-2</c:v>
                </c:pt>
                <c:pt idx="113">
                  <c:v>-3.5787150647579461E-3</c:v>
                </c:pt>
                <c:pt idx="114">
                  <c:v>3.48896351139108E-2</c:v>
                </c:pt>
                <c:pt idx="115">
                  <c:v>-1.5038837053010705E-2</c:v>
                </c:pt>
                <c:pt idx="116">
                  <c:v>-4.5637535088507881E-2</c:v>
                </c:pt>
                <c:pt idx="117">
                  <c:v>1.1251740308513763E-2</c:v>
                </c:pt>
                <c:pt idx="118">
                  <c:v>1.3212778164116715E-2</c:v>
                </c:pt>
                <c:pt idx="119">
                  <c:v>2.7625257852183675E-2</c:v>
                </c:pt>
                <c:pt idx="120">
                  <c:v>-7.1464319109439386E-2</c:v>
                </c:pt>
                <c:pt idx="121">
                  <c:v>9.1709762781698768E-3</c:v>
                </c:pt>
                <c:pt idx="122">
                  <c:v>-1.3898770739464848E-2</c:v>
                </c:pt>
                <c:pt idx="123">
                  <c:v>-1.7528026743765874E-2</c:v>
                </c:pt>
                <c:pt idx="124">
                  <c:v>2.6853099629448225E-2</c:v>
                </c:pt>
                <c:pt idx="125">
                  <c:v>1.9523481299534958E-2</c:v>
                </c:pt>
                <c:pt idx="126">
                  <c:v>-2.4771610146577951E-2</c:v>
                </c:pt>
                <c:pt idx="127">
                  <c:v>2.6121438519958157E-2</c:v>
                </c:pt>
                <c:pt idx="128">
                  <c:v>-6.0393241931061131E-2</c:v>
                </c:pt>
                <c:pt idx="129">
                  <c:v>-2.429017189835576E-3</c:v>
                </c:pt>
                <c:pt idx="130">
                  <c:v>4.0269751643936036E-2</c:v>
                </c:pt>
                <c:pt idx="131">
                  <c:v>4.627295559465331E-2</c:v>
                </c:pt>
                <c:pt idx="132">
                  <c:v>6.3156047785991265E-2</c:v>
                </c:pt>
                <c:pt idx="133">
                  <c:v>2.6869537501934951E-2</c:v>
                </c:pt>
                <c:pt idx="134">
                  <c:v>2.5535924109960861E-2</c:v>
                </c:pt>
                <c:pt idx="135">
                  <c:v>3.842606942594742E-3</c:v>
                </c:pt>
                <c:pt idx="136">
                  <c:v>1.9139489178976857E-2</c:v>
                </c:pt>
                <c:pt idx="137">
                  <c:v>-2.884613968888626E-2</c:v>
                </c:pt>
                <c:pt idx="138">
                  <c:v>3.2797076621241858E-2</c:v>
                </c:pt>
                <c:pt idx="139">
                  <c:v>1.9622497914245016E-2</c:v>
                </c:pt>
                <c:pt idx="140">
                  <c:v>-1.9685573674158907E-2</c:v>
                </c:pt>
                <c:pt idx="141">
                  <c:v>2.832309178826203E-2</c:v>
                </c:pt>
                <c:pt idx="142">
                  <c:v>3.9347083677626717E-2</c:v>
                </c:pt>
                <c:pt idx="143">
                  <c:v>3.2249439147505696E-3</c:v>
                </c:pt>
                <c:pt idx="144">
                  <c:v>-3.7875707706119935E-2</c:v>
                </c:pt>
                <c:pt idx="145">
                  <c:v>1.626965521613332E-2</c:v>
                </c:pt>
                <c:pt idx="146">
                  <c:v>-5.8604346177876946E-3</c:v>
                </c:pt>
                <c:pt idx="147">
                  <c:v>-6.1969875112730097E-2</c:v>
                </c:pt>
                <c:pt idx="148">
                  <c:v>-8.5990146719501739E-2</c:v>
                </c:pt>
                <c:pt idx="149">
                  <c:v>-8.183801640385685E-2</c:v>
                </c:pt>
                <c:pt idx="150">
                  <c:v>6.3561643835616383E-2</c:v>
                </c:pt>
                <c:pt idx="151">
                  <c:v>1.5284200583891518E-2</c:v>
                </c:pt>
                <c:pt idx="152">
                  <c:v>-4.8207020436519234E-2</c:v>
                </c:pt>
                <c:pt idx="153">
                  <c:v>4.4428647591967301E-3</c:v>
                </c:pt>
                <c:pt idx="154">
                  <c:v>0.1015569355980184</c:v>
                </c:pt>
                <c:pt idx="155">
                  <c:v>1.349180897821417E-2</c:v>
                </c:pt>
                <c:pt idx="156">
                  <c:v>4.9128353379662495E-2</c:v>
                </c:pt>
                <c:pt idx="157">
                  <c:v>-2.8851904630750852E-2</c:v>
                </c:pt>
                <c:pt idx="158">
                  <c:v>3.5464286273692691E-2</c:v>
                </c:pt>
                <c:pt idx="159">
                  <c:v>4.8520399579390278E-2</c:v>
                </c:pt>
                <c:pt idx="160">
                  <c:v>1.4326646948711448E-2</c:v>
                </c:pt>
                <c:pt idx="161">
                  <c:v>-2.0197739257158037E-2</c:v>
                </c:pt>
                <c:pt idx="162">
                  <c:v>-3.4597951509385688E-3</c:v>
                </c:pt>
                <c:pt idx="163">
                  <c:v>4.8748779780794678E-2</c:v>
                </c:pt>
                <c:pt idx="164">
                  <c:v>-1.1034524137931087E-2</c:v>
                </c:pt>
                <c:pt idx="165">
                  <c:v>3.2217644304782939E-2</c:v>
                </c:pt>
                <c:pt idx="166">
                  <c:v>-1.0539102539140638E-2</c:v>
                </c:pt>
                <c:pt idx="167">
                  <c:v>2.4443451135731993E-2</c:v>
                </c:pt>
                <c:pt idx="168">
                  <c:v>2.6926207421735834E-2</c:v>
                </c:pt>
                <c:pt idx="169">
                  <c:v>9.8650310245972095E-3</c:v>
                </c:pt>
                <c:pt idx="170">
                  <c:v>1.5167094530831735E-2</c:v>
                </c:pt>
                <c:pt idx="171">
                  <c:v>6.0774370950580983E-3</c:v>
                </c:pt>
                <c:pt idx="172">
                  <c:v>1.1452353529478407E-2</c:v>
                </c:pt>
                <c:pt idx="173">
                  <c:v>1.6424025764936328E-2</c:v>
                </c:pt>
                <c:pt idx="174">
                  <c:v>1.8239661690790505E-2</c:v>
                </c:pt>
                <c:pt idx="175">
                  <c:v>-1.6229838903582754E-2</c:v>
                </c:pt>
                <c:pt idx="176">
                  <c:v>2.8718048913160404E-2</c:v>
                </c:pt>
                <c:pt idx="177">
                  <c:v>8.0779401282963896E-3</c:v>
                </c:pt>
                <c:pt idx="178">
                  <c:v>-5.1850458969472579E-3</c:v>
                </c:pt>
                <c:pt idx="179">
                  <c:v>3.9090500807639587E-3</c:v>
                </c:pt>
                <c:pt idx="180">
                  <c:v>3.3156318584070713E-2</c:v>
                </c:pt>
                <c:pt idx="181">
                  <c:v>-1.4846734007461523E-3</c:v>
                </c:pt>
                <c:pt idx="182">
                  <c:v>-1.4525860688550909E-2</c:v>
                </c:pt>
                <c:pt idx="183">
                  <c:v>3.4238589403965167E-2</c:v>
                </c:pt>
                <c:pt idx="184">
                  <c:v>-7.7432722731087186E-3</c:v>
                </c:pt>
                <c:pt idx="185">
                  <c:v>-4.863147587947253E-2</c:v>
                </c:pt>
                <c:pt idx="186">
                  <c:v>1.3433154537571795E-2</c:v>
                </c:pt>
                <c:pt idx="187">
                  <c:v>2.2521970674486882E-2</c:v>
                </c:pt>
                <c:pt idx="188">
                  <c:v>3.2006436434700726E-2</c:v>
                </c:pt>
                <c:pt idx="189">
                  <c:v>2.7345476070981398E-2</c:v>
                </c:pt>
                <c:pt idx="190">
                  <c:v>-8.7643044528091189E-3</c:v>
                </c:pt>
                <c:pt idx="191">
                  <c:v>8.9509768698726455E-3</c:v>
                </c:pt>
                <c:pt idx="192">
                  <c:v>4.8685167153521168E-3</c:v>
                </c:pt>
                <c:pt idx="193">
                  <c:v>-1.7872481197431636E-2</c:v>
                </c:pt>
                <c:pt idx="194">
                  <c:v>-2.1815369197375912E-2</c:v>
                </c:pt>
                <c:pt idx="195">
                  <c:v>2.0508740765143724E-2</c:v>
                </c:pt>
                <c:pt idx="196">
                  <c:v>-5.4140139559414338E-2</c:v>
                </c:pt>
                <c:pt idx="197">
                  <c:v>-1.6138384400501058E-2</c:v>
                </c:pt>
                <c:pt idx="198">
                  <c:v>-1.3452915115716672E-2</c:v>
                </c:pt>
                <c:pt idx="199">
                  <c:v>-7.7751198032325317E-2</c:v>
                </c:pt>
                <c:pt idx="200">
                  <c:v>-7.0038912322670389E-3</c:v>
                </c:pt>
                <c:pt idx="201">
                  <c:v>4.7544397793740846E-2</c:v>
                </c:pt>
                <c:pt idx="202">
                  <c:v>3.1172070991473981E-3</c:v>
                </c:pt>
                <c:pt idx="203">
                  <c:v>-1.4915476006792513E-3</c:v>
                </c:pt>
                <c:pt idx="204">
                  <c:v>7.817750334426736E-2</c:v>
                </c:pt>
                <c:pt idx="205">
                  <c:v>1.9627987303684103E-3</c:v>
                </c:pt>
                <c:pt idx="206">
                  <c:v>3.9409979712030099E-2</c:v>
                </c:pt>
                <c:pt idx="207">
                  <c:v>4.2239524686458738E-2</c:v>
                </c:pt>
                <c:pt idx="208">
                  <c:v>-5.2441228540767472E-2</c:v>
                </c:pt>
                <c:pt idx="209">
                  <c:v>1.7512314380055918E-2</c:v>
                </c:pt>
                <c:pt idx="210">
                  <c:v>4.534423042083216E-2</c:v>
                </c:pt>
                <c:pt idx="211">
                  <c:v>-1.1715050131926089E-2</c:v>
                </c:pt>
                <c:pt idx="212">
                  <c:v>3.2785134908000085E-2</c:v>
                </c:pt>
                <c:pt idx="213">
                  <c:v>-3.5260014840864516E-2</c:v>
                </c:pt>
                <c:pt idx="214">
                  <c:v>7.5026471328194511E-3</c:v>
                </c:pt>
                <c:pt idx="215">
                  <c:v>2.6276606382978684E-2</c:v>
                </c:pt>
                <c:pt idx="216">
                  <c:v>-4.384785898364401E-2</c:v>
                </c:pt>
                <c:pt idx="217">
                  <c:v>-3.1222864944121128E-2</c:v>
                </c:pt>
                <c:pt idx="218">
                  <c:v>9.4001341830781682E-3</c:v>
                </c:pt>
                <c:pt idx="219">
                  <c:v>8.0487829727976606E-2</c:v>
                </c:pt>
                <c:pt idx="220">
                  <c:v>1.251796647360945E-2</c:v>
                </c:pt>
                <c:pt idx="221">
                  <c:v>9.1204094041344389E-3</c:v>
                </c:pt>
                <c:pt idx="222">
                  <c:v>-1.8477645742565794E-2</c:v>
                </c:pt>
                <c:pt idx="223">
                  <c:v>1.1459003713096013E-2</c:v>
                </c:pt>
                <c:pt idx="224">
                  <c:v>3.8539317837959663E-2</c:v>
                </c:pt>
                <c:pt idx="225">
                  <c:v>7.2076167762270132E-3</c:v>
                </c:pt>
                <c:pt idx="226">
                  <c:v>4.7964401974106841E-2</c:v>
                </c:pt>
                <c:pt idx="227">
                  <c:v>-4.1616700887237221E-2</c:v>
                </c:pt>
                <c:pt idx="228">
                  <c:v>-8.1840842655104239E-3</c:v>
                </c:pt>
                <c:pt idx="229">
                  <c:v>-4.7374088974389078E-2</c:v>
                </c:pt>
                <c:pt idx="230">
                  <c:v>3.4444156764826935E-2</c:v>
                </c:pt>
                <c:pt idx="231">
                  <c:v>2.1475716255034718E-2</c:v>
                </c:pt>
                <c:pt idx="232">
                  <c:v>-2.218179145179403E-3</c:v>
                </c:pt>
                <c:pt idx="233">
                  <c:v>-5.5577035139928815E-2</c:v>
                </c:pt>
                <c:pt idx="234">
                  <c:v>-6.0178047898659819E-2</c:v>
                </c:pt>
                <c:pt idx="235">
                  <c:v>4.007404900198093E-2</c:v>
                </c:pt>
                <c:pt idx="236">
                  <c:v>-2.5023546748538475E-2</c:v>
                </c:pt>
                <c:pt idx="237">
                  <c:v>4.2955325076611095E-2</c:v>
                </c:pt>
                <c:pt idx="238">
                  <c:v>-3.4081599029604684E-2</c:v>
                </c:pt>
                <c:pt idx="239">
                  <c:v>-1.8654728038689439E-2</c:v>
                </c:pt>
                <c:pt idx="240">
                  <c:v>-7.6471878698063739E-2</c:v>
                </c:pt>
                <c:pt idx="241">
                  <c:v>5.2693521031293336E-2</c:v>
                </c:pt>
                <c:pt idx="242">
                  <c:v>1.4524804469274082E-3</c:v>
                </c:pt>
                <c:pt idx="243">
                  <c:v>-9.048310020583844E-2</c:v>
                </c:pt>
                <c:pt idx="244">
                  <c:v>-6.0966562596904902E-2</c:v>
                </c:pt>
                <c:pt idx="245">
                  <c:v>-5.0032682559137294E-2</c:v>
                </c:pt>
                <c:pt idx="246">
                  <c:v>7.3294855977793616E-2</c:v>
                </c:pt>
                <c:pt idx="247">
                  <c:v>4.4458601750470138E-2</c:v>
                </c:pt>
                <c:pt idx="248">
                  <c:v>3.4102135700520203E-2</c:v>
                </c:pt>
                <c:pt idx="249">
                  <c:v>-1.2455551158165483E-2</c:v>
                </c:pt>
                <c:pt idx="250">
                  <c:v>4.7447411411411365E-2</c:v>
                </c:pt>
                <c:pt idx="251">
                  <c:v>5.6766114338283803E-2</c:v>
                </c:pt>
                <c:pt idx="252">
                  <c:v>4.0477427227836656E-2</c:v>
                </c:pt>
                <c:pt idx="253">
                  <c:v>9.0738738759034068E-3</c:v>
                </c:pt>
                <c:pt idx="254">
                  <c:v>3.6795844961240241E-2</c:v>
                </c:pt>
                <c:pt idx="255">
                  <c:v>3.6287499477370172E-2</c:v>
                </c:pt>
                <c:pt idx="256">
                  <c:v>-4.155844275781935E-2</c:v>
                </c:pt>
                <c:pt idx="257">
                  <c:v>-9.3345380708985352E-3</c:v>
                </c:pt>
                <c:pt idx="258">
                  <c:v>-3.161089255149626E-2</c:v>
                </c:pt>
                <c:pt idx="259">
                  <c:v>3.6095385308738646E-2</c:v>
                </c:pt>
                <c:pt idx="260">
                  <c:v>-6.9676159443362645E-3</c:v>
                </c:pt>
                <c:pt idx="261">
                  <c:v>-4.1793707211458531E-2</c:v>
                </c:pt>
                <c:pt idx="262">
                  <c:v>-2.5470125475852579E-3</c:v>
                </c:pt>
                <c:pt idx="263">
                  <c:v>8.6179361340128977E-2</c:v>
                </c:pt>
                <c:pt idx="264">
                  <c:v>1.8121325031690741E-2</c:v>
                </c:pt>
                <c:pt idx="265">
                  <c:v>2.5303039728631006E-2</c:v>
                </c:pt>
                <c:pt idx="266">
                  <c:v>5.9115792436896224E-3</c:v>
                </c:pt>
                <c:pt idx="267">
                  <c:v>4.3843378092632834E-3</c:v>
                </c:pt>
                <c:pt idx="268">
                  <c:v>1.7275016574254946E-2</c:v>
                </c:pt>
                <c:pt idx="269">
                  <c:v>-2.1820505996717855E-2</c:v>
                </c:pt>
                <c:pt idx="270">
                  <c:v>2.3333955789937985E-3</c:v>
                </c:pt>
                <c:pt idx="271">
                  <c:v>3.4453832148745957E-2</c:v>
                </c:pt>
                <c:pt idx="272">
                  <c:v>-4.8608607385312672E-3</c:v>
                </c:pt>
                <c:pt idx="273">
                  <c:v>9.3170418095781457E-3</c:v>
                </c:pt>
                <c:pt idx="274">
                  <c:v>4.561745750820128E-2</c:v>
                </c:pt>
                <c:pt idx="275">
                  <c:v>1.1828276537726494E-2</c:v>
                </c:pt>
                <c:pt idx="276">
                  <c:v>-1.7111426926435573E-2</c:v>
                </c:pt>
                <c:pt idx="277">
                  <c:v>-3.7490295936312097E-2</c:v>
                </c:pt>
                <c:pt idx="278">
                  <c:v>-1.4326916189112036E-3</c:v>
                </c:pt>
                <c:pt idx="279">
                  <c:v>-4.0799821757527548E-2</c:v>
                </c:pt>
                <c:pt idx="280">
                  <c:v>-1.8883836413164101E-2</c:v>
                </c:pt>
                <c:pt idx="281">
                  <c:v>-6.5745118601575206E-3</c:v>
                </c:pt>
                <c:pt idx="282">
                  <c:v>3.7981957836524846E-2</c:v>
                </c:pt>
                <c:pt idx="283">
                  <c:v>-3.6684540411342233E-2</c:v>
                </c:pt>
                <c:pt idx="284">
                  <c:v>4.0095923261390956E-2</c:v>
                </c:pt>
                <c:pt idx="285">
                  <c:v>-1.2911463617080428E-3</c:v>
                </c:pt>
                <c:pt idx="286">
                  <c:v>-0.1138609464044608</c:v>
                </c:pt>
                <c:pt idx="287">
                  <c:v>1.6569445775004726E-2</c:v>
                </c:pt>
                <c:pt idx="288">
                  <c:v>-1.0046160634152011E-2</c:v>
                </c:pt>
                <c:pt idx="289">
                  <c:v>-3.6243036139587538E-3</c:v>
                </c:pt>
                <c:pt idx="290">
                  <c:v>-2.3279962343795861E-2</c:v>
                </c:pt>
                <c:pt idx="291">
                  <c:v>-3.9050913841745707E-2</c:v>
                </c:pt>
                <c:pt idx="292">
                  <c:v>-3.3551091430651894E-2</c:v>
                </c:pt>
                <c:pt idx="293">
                  <c:v>-1.4665433256936719E-2</c:v>
                </c:pt>
                <c:pt idx="294">
                  <c:v>-7.7790720930232635E-2</c:v>
                </c:pt>
                <c:pt idx="295">
                  <c:v>-9.0278605227048336E-2</c:v>
                </c:pt>
                <c:pt idx="296">
                  <c:v>-0.11933472988677123</c:v>
                </c:pt>
                <c:pt idx="297">
                  <c:v>0.16304691276287522</c:v>
                </c:pt>
                <c:pt idx="298">
                  <c:v>-5.3179985028958515E-2</c:v>
                </c:pt>
                <c:pt idx="299">
                  <c:v>-2.0151536084728701E-2</c:v>
                </c:pt>
                <c:pt idx="300">
                  <c:v>0.12281221186733413</c:v>
                </c:pt>
                <c:pt idx="301">
                  <c:v>5.9885591326880087E-2</c:v>
                </c:pt>
                <c:pt idx="302">
                  <c:v>2.1693897374379056E-2</c:v>
                </c:pt>
                <c:pt idx="303">
                  <c:v>4.7264898665248418E-2</c:v>
                </c:pt>
                <c:pt idx="304">
                  <c:v>4.4100788862515811E-2</c:v>
                </c:pt>
                <c:pt idx="305">
                  <c:v>4.4322544282555325E-2</c:v>
                </c:pt>
                <c:pt idx="306">
                  <c:v>-6.7654184942658221E-2</c:v>
                </c:pt>
                <c:pt idx="307">
                  <c:v>-2.1070456338028135E-2</c:v>
                </c:pt>
                <c:pt idx="308">
                  <c:v>-3.4645420165012278E-2</c:v>
                </c:pt>
                <c:pt idx="309">
                  <c:v>6.1642992906534258E-2</c:v>
                </c:pt>
                <c:pt idx="310">
                  <c:v>2.4707962435894359E-2</c:v>
                </c:pt>
                <c:pt idx="311">
                  <c:v>-1.1508066889698892E-2</c:v>
                </c:pt>
                <c:pt idx="312">
                  <c:v>0.11830578515787137</c:v>
                </c:pt>
                <c:pt idx="313">
                  <c:v>-1.1401963004144733E-2</c:v>
                </c:pt>
                <c:pt idx="314">
                  <c:v>3.0688978344087712E-2</c:v>
                </c:pt>
                <c:pt idx="315">
                  <c:v>-1.0995407540977163E-2</c:v>
                </c:pt>
                <c:pt idx="316">
                  <c:v>-1.4364413758012692E-2</c:v>
                </c:pt>
                <c:pt idx="317">
                  <c:v>4.0926322619285249E-2</c:v>
                </c:pt>
                <c:pt idx="318">
                  <c:v>-8.0552072118834292E-3</c:v>
                </c:pt>
                <c:pt idx="319">
                  <c:v>-5.1237237988453069E-3</c:v>
                </c:pt>
                <c:pt idx="320">
                  <c:v>2.2641083562682587E-2</c:v>
                </c:pt>
                <c:pt idx="321">
                  <c:v>-2.2234854090362102E-2</c:v>
                </c:pt>
                <c:pt idx="322">
                  <c:v>-7.774577108365861E-3</c:v>
                </c:pt>
                <c:pt idx="323">
                  <c:v>5.2497562242851334E-2</c:v>
                </c:pt>
                <c:pt idx="324">
                  <c:v>-5.0530430397640269E-2</c:v>
                </c:pt>
                <c:pt idx="325">
                  <c:v>-2.1660286402629587E-2</c:v>
                </c:pt>
                <c:pt idx="326">
                  <c:v>-1.4025265477860014E-2</c:v>
                </c:pt>
                <c:pt idx="327">
                  <c:v>2.0325137580271167E-4</c:v>
                </c:pt>
                <c:pt idx="328">
                  <c:v>-2.3567644787329544E-2</c:v>
                </c:pt>
                <c:pt idx="329">
                  <c:v>4.5359965292552054E-2</c:v>
                </c:pt>
                <c:pt idx="330">
                  <c:v>-1.6222183034767596E-2</c:v>
                </c:pt>
                <c:pt idx="331">
                  <c:v>-2.1041993344299265E-2</c:v>
                </c:pt>
                <c:pt idx="332">
                  <c:v>-2.4800868806475205E-3</c:v>
                </c:pt>
                <c:pt idx="333">
                  <c:v>-4.3406226493382688E-2</c:v>
                </c:pt>
                <c:pt idx="334">
                  <c:v>2.6965628198640967E-2</c:v>
                </c:pt>
                <c:pt idx="335">
                  <c:v>2.8471580122924191E-3</c:v>
                </c:pt>
                <c:pt idx="336">
                  <c:v>-6.1514175846775508E-2</c:v>
                </c:pt>
                <c:pt idx="337">
                  <c:v>-2.4761893557422927E-2</c:v>
                </c:pt>
                <c:pt idx="338">
                  <c:v>2.4931042912097308E-2</c:v>
                </c:pt>
                <c:pt idx="339">
                  <c:v>8.5416467721292064E-2</c:v>
                </c:pt>
                <c:pt idx="340">
                  <c:v>4.234183533322727E-3</c:v>
                </c:pt>
                <c:pt idx="341">
                  <c:v>-1.7585345898505637E-2</c:v>
                </c:pt>
                <c:pt idx="342">
                  <c:v>5.3909777597715695E-2</c:v>
                </c:pt>
                <c:pt idx="343">
                  <c:v>2.5923728645212522E-2</c:v>
                </c:pt>
                <c:pt idx="344">
                  <c:v>-7.2611094272329417E-3</c:v>
                </c:pt>
                <c:pt idx="345">
                  <c:v>-9.1574009249327029E-2</c:v>
                </c:pt>
                <c:pt idx="346">
                  <c:v>1.6639774199897445E-2</c:v>
                </c:pt>
                <c:pt idx="347">
                  <c:v>1.4889166258368527E-2</c:v>
                </c:pt>
                <c:pt idx="348">
                  <c:v>3.9746113414357472E-2</c:v>
                </c:pt>
                <c:pt idx="349">
                  <c:v>-3.6525577904533202E-2</c:v>
                </c:pt>
                <c:pt idx="350">
                  <c:v>5.5151610460652326E-2</c:v>
                </c:pt>
                <c:pt idx="351">
                  <c:v>1.6734521773187269E-3</c:v>
                </c:pt>
                <c:pt idx="352">
                  <c:v>-2.6336477469802003E-2</c:v>
                </c:pt>
                <c:pt idx="353">
                  <c:v>3.8655651218093515E-2</c:v>
                </c:pt>
                <c:pt idx="354">
                  <c:v>8.7454471384530545E-3</c:v>
                </c:pt>
                <c:pt idx="355">
                  <c:v>5.3077758464073956E-2</c:v>
                </c:pt>
                <c:pt idx="356">
                  <c:v>0</c:v>
                </c:pt>
                <c:pt idx="357">
                  <c:v>-6.8605927552140511E-2</c:v>
                </c:pt>
                <c:pt idx="358">
                  <c:v>4.2624278137890471E-2</c:v>
                </c:pt>
                <c:pt idx="359">
                  <c:v>1.6767124462429429E-2</c:v>
                </c:pt>
                <c:pt idx="360">
                  <c:v>5.7624623723834964E-2</c:v>
                </c:pt>
                <c:pt idx="361">
                  <c:v>-4.3798176461171115E-3</c:v>
                </c:pt>
                <c:pt idx="362">
                  <c:v>-0.10179489347897613</c:v>
                </c:pt>
                <c:pt idx="363">
                  <c:v>4.1140221026162098E-2</c:v>
                </c:pt>
                <c:pt idx="364">
                  <c:v>4.6570674131426494E-2</c:v>
                </c:pt>
                <c:pt idx="365">
                  <c:v>2.6968716773979086E-2</c:v>
                </c:pt>
                <c:pt idx="366">
                  <c:v>6.5038516544792022E-2</c:v>
                </c:pt>
                <c:pt idx="367">
                  <c:v>5.8354484398035105E-3</c:v>
                </c:pt>
                <c:pt idx="368">
                  <c:v>2.5167527990705811E-2</c:v>
                </c:pt>
                <c:pt idx="369">
                  <c:v>1.6021058632401233E-2</c:v>
                </c:pt>
                <c:pt idx="370">
                  <c:v>0.10237705262118892</c:v>
                </c:pt>
                <c:pt idx="371">
                  <c:v>-3.3874244694726857E-2</c:v>
                </c:pt>
                <c:pt idx="372">
                  <c:v>-4.5742429498468969E-2</c:v>
                </c:pt>
                <c:pt idx="373">
                  <c:v>1.327673454395826E-2</c:v>
                </c:pt>
                <c:pt idx="374">
                  <c:v>3.6032572985980865E-2</c:v>
                </c:pt>
                <c:pt idx="375">
                  <c:v>-2.3455897058823477E-2</c:v>
                </c:pt>
                <c:pt idx="376">
                  <c:v>-1.6565168534976847E-3</c:v>
                </c:pt>
                <c:pt idx="377">
                  <c:v>-1.0407942089386767E-2</c:v>
                </c:pt>
                <c:pt idx="378">
                  <c:v>-2.2102658679074515E-3</c:v>
                </c:pt>
                <c:pt idx="379">
                  <c:v>-6.2098969784585463E-2</c:v>
                </c:pt>
                <c:pt idx="380">
                  <c:v>-5.3831752961708966E-2</c:v>
                </c:pt>
                <c:pt idx="381">
                  <c:v>4.9147865381304834E-2</c:v>
                </c:pt>
                <c:pt idx="382">
                  <c:v>3.6590360460992344E-2</c:v>
                </c:pt>
                <c:pt idx="383">
                  <c:v>-3.0075148873369952E-2</c:v>
                </c:pt>
                <c:pt idx="384">
                  <c:v>-1.7543867379587116E-2</c:v>
                </c:pt>
                <c:pt idx="385">
                  <c:v>-6.0548180057339231E-2</c:v>
                </c:pt>
                <c:pt idx="386">
                  <c:v>-1.0167111571327814E-2</c:v>
                </c:pt>
                <c:pt idx="387">
                  <c:v>4.0014317970831804E-2</c:v>
                </c:pt>
                <c:pt idx="388">
                  <c:v>-3.9161842336622454E-2</c:v>
                </c:pt>
                <c:pt idx="389">
                  <c:v>-2.0289560787170972E-2</c:v>
                </c:pt>
                <c:pt idx="390">
                  <c:v>-2.2990648453693543E-2</c:v>
                </c:pt>
                <c:pt idx="391">
                  <c:v>0.11597727578587266</c:v>
                </c:pt>
                <c:pt idx="392">
                  <c:v>7.6143919736526046E-3</c:v>
                </c:pt>
                <c:pt idx="393">
                  <c:v>0.11044679638675953</c:v>
                </c:pt>
                <c:pt idx="394">
                  <c:v>3.5970669787835308E-2</c:v>
                </c:pt>
                <c:pt idx="395">
                  <c:v>1.5231357938578959E-2</c:v>
                </c:pt>
                <c:pt idx="396">
                  <c:v>3.3134272135482701E-2</c:v>
                </c:pt>
                <c:pt idx="397">
                  <c:v>1.8995147577526225E-2</c:v>
                </c:pt>
                <c:pt idx="398">
                  <c:v>3.3094752574560904E-2</c:v>
                </c:pt>
                <c:pt idx="399">
                  <c:v>7.4986829727328702E-2</c:v>
                </c:pt>
                <c:pt idx="400">
                  <c:v>-1.2406459203583419E-2</c:v>
                </c:pt>
                <c:pt idx="401">
                  <c:v>3.2329577143479137E-2</c:v>
                </c:pt>
                <c:pt idx="402">
                  <c:v>-3.0303036448956207E-2</c:v>
                </c:pt>
                <c:pt idx="403">
                  <c:v>1.131887317075376E-2</c:v>
                </c:pt>
                <c:pt idx="404">
                  <c:v>1.0158230297745702E-2</c:v>
                </c:pt>
                <c:pt idx="405">
                  <c:v>-1.5174347526823432E-2</c:v>
                </c:pt>
                <c:pt idx="406">
                  <c:v>1.7425808301574832E-2</c:v>
                </c:pt>
                <c:pt idx="407">
                  <c:v>-8.8341409435387149E-3</c:v>
                </c:pt>
                <c:pt idx="408">
                  <c:v>-9.2159647396578108E-3</c:v>
                </c:pt>
                <c:pt idx="409">
                  <c:v>-3.8859346701931294E-2</c:v>
                </c:pt>
                <c:pt idx="410">
                  <c:v>1.3497994568928931E-2</c:v>
                </c:pt>
                <c:pt idx="411">
                  <c:v>5.4655738048688552E-3</c:v>
                </c:pt>
                <c:pt idx="412">
                  <c:v>-5.935644999644267E-2</c:v>
                </c:pt>
                <c:pt idx="413">
                  <c:v>1.7469212537976449E-2</c:v>
                </c:pt>
                <c:pt idx="414">
                  <c:v>-1.6451162783380005E-2</c:v>
                </c:pt>
                <c:pt idx="415">
                  <c:v>0.10633206275502297</c:v>
                </c:pt>
                <c:pt idx="416">
                  <c:v>-3.4796437746429979E-3</c:v>
                </c:pt>
                <c:pt idx="417">
                  <c:v>-6.0264898485278072E-5</c:v>
                </c:pt>
                <c:pt idx="418">
                  <c:v>-1.5112252757234131E-2</c:v>
                </c:pt>
                <c:pt idx="419">
                  <c:v>2.237439146137184E-2</c:v>
                </c:pt>
                <c:pt idx="420">
                  <c:v>7.4085144879061773E-2</c:v>
                </c:pt>
                <c:pt idx="421">
                  <c:v>8.6287811437737519E-3</c:v>
                </c:pt>
                <c:pt idx="422">
                  <c:v>-2.8700133573799709E-3</c:v>
                </c:pt>
                <c:pt idx="423">
                  <c:v>-4.5942764398476327E-3</c:v>
                </c:pt>
                <c:pt idx="424">
                  <c:v>5.4051053171872823E-2</c:v>
                </c:pt>
                <c:pt idx="425">
                  <c:v>1.2134017217609877E-2</c:v>
                </c:pt>
                <c:pt idx="426">
                  <c:v>-4.8475786860283704E-3</c:v>
                </c:pt>
                <c:pt idx="427">
                  <c:v>-1.1994516153305121E-2</c:v>
                </c:pt>
                <c:pt idx="428">
                  <c:v>-3.4724077964160598E-2</c:v>
                </c:pt>
                <c:pt idx="429">
                  <c:v>4.2508814339753773E-2</c:v>
                </c:pt>
                <c:pt idx="430">
                  <c:v>6.5061587528020631E-2</c:v>
                </c:pt>
                <c:pt idx="431">
                  <c:v>4.5061092595944978E-2</c:v>
                </c:pt>
                <c:pt idx="432">
                  <c:v>2.366527841568193E-3</c:v>
                </c:pt>
                <c:pt idx="433">
                  <c:v>7.1489276945364361E-2</c:v>
                </c:pt>
                <c:pt idx="434">
                  <c:v>5.2793919026916263E-2</c:v>
                </c:pt>
                <c:pt idx="435">
                  <c:v>-1.4148137651271738E-2</c:v>
                </c:pt>
                <c:pt idx="436">
                  <c:v>5.0229287530073274E-2</c:v>
                </c:pt>
                <c:pt idx="437">
                  <c:v>1.4109520579514381E-2</c:v>
                </c:pt>
                <c:pt idx="438">
                  <c:v>-5.8682830628015256E-2</c:v>
                </c:pt>
                <c:pt idx="439">
                  <c:v>7.1192606962404897E-2</c:v>
                </c:pt>
                <c:pt idx="440">
                  <c:v>-8.5438605930772279E-2</c:v>
                </c:pt>
                <c:pt idx="441">
                  <c:v>5.4729330005596946E-2</c:v>
                </c:pt>
                <c:pt idx="442">
                  <c:v>2.1477191105454384E-2</c:v>
                </c:pt>
                <c:pt idx="443">
                  <c:v>-2.8288271293281972E-2</c:v>
                </c:pt>
                <c:pt idx="444">
                  <c:v>0.13176689624451343</c:v>
                </c:pt>
                <c:pt idx="445">
                  <c:v>3.6923618943399898E-2</c:v>
                </c:pt>
                <c:pt idx="446">
                  <c:v>2.6389865177064101E-2</c:v>
                </c:pt>
                <c:pt idx="447">
                  <c:v>-1.1450212076096934E-2</c:v>
                </c:pt>
                <c:pt idx="448">
                  <c:v>6.0341971511755103E-3</c:v>
                </c:pt>
                <c:pt idx="449">
                  <c:v>4.791449056364374E-2</c:v>
                </c:pt>
                <c:pt idx="450">
                  <c:v>4.8223697368421102E-2</c:v>
                </c:pt>
                <c:pt idx="451">
                  <c:v>3.4958839704276067E-2</c:v>
                </c:pt>
                <c:pt idx="452">
                  <c:v>-2.4166165221327928E-2</c:v>
                </c:pt>
                <c:pt idx="453">
                  <c:v>-0.21763041614888423</c:v>
                </c:pt>
                <c:pt idx="454">
                  <c:v>-8.5348864519806417E-2</c:v>
                </c:pt>
                <c:pt idx="455">
                  <c:v>7.2861479728248219E-2</c:v>
                </c:pt>
                <c:pt idx="456">
                  <c:v>4.0432268573479965E-2</c:v>
                </c:pt>
                <c:pt idx="457">
                  <c:v>4.1817402681285962E-2</c:v>
                </c:pt>
                <c:pt idx="458">
                  <c:v>-3.3343259527283828E-2</c:v>
                </c:pt>
                <c:pt idx="459">
                  <c:v>9.4247435537442859E-3</c:v>
                </c:pt>
                <c:pt idx="460">
                  <c:v>3.1761261289926057E-3</c:v>
                </c:pt>
                <c:pt idx="461">
                  <c:v>4.32560109359778E-2</c:v>
                </c:pt>
                <c:pt idx="462">
                  <c:v>-5.4113747714807691E-3</c:v>
                </c:pt>
                <c:pt idx="463">
                  <c:v>-3.8600104494526687E-2</c:v>
                </c:pt>
                <c:pt idx="464">
                  <c:v>3.9729334035724533E-2</c:v>
                </c:pt>
                <c:pt idx="465">
                  <c:v>2.596446212401957E-2</c:v>
                </c:pt>
                <c:pt idx="466">
                  <c:v>-1.8890880672148003E-2</c:v>
                </c:pt>
                <c:pt idx="467">
                  <c:v>1.468757334215977E-2</c:v>
                </c:pt>
                <c:pt idx="468">
                  <c:v>7.1114791620643839E-2</c:v>
                </c:pt>
                <c:pt idx="469">
                  <c:v>-2.8944148892513129E-2</c:v>
                </c:pt>
                <c:pt idx="470">
                  <c:v>2.0805962445785014E-2</c:v>
                </c:pt>
                <c:pt idx="471">
                  <c:v>5.0089938788108933E-2</c:v>
                </c:pt>
                <c:pt idx="472">
                  <c:v>3.5137493453486636E-2</c:v>
                </c:pt>
                <c:pt idx="473">
                  <c:v>-7.9245541219584246E-3</c:v>
                </c:pt>
                <c:pt idx="474">
                  <c:v>8.8370259223621531E-2</c:v>
                </c:pt>
                <c:pt idx="475">
                  <c:v>1.5516716371120292E-2</c:v>
                </c:pt>
                <c:pt idx="476">
                  <c:v>-6.5443673964080632E-3</c:v>
                </c:pt>
                <c:pt idx="477">
                  <c:v>-2.5175452244172166E-2</c:v>
                </c:pt>
                <c:pt idx="478">
                  <c:v>1.6541324621341676E-2</c:v>
                </c:pt>
                <c:pt idx="479">
                  <c:v>2.1416816133900334E-2</c:v>
                </c:pt>
                <c:pt idx="480">
                  <c:v>-6.8817225277032615E-2</c:v>
                </c:pt>
                <c:pt idx="481">
                  <c:v>8.5390425155206662E-3</c:v>
                </c:pt>
                <c:pt idx="482">
                  <c:v>2.4254983989198915E-2</c:v>
                </c:pt>
                <c:pt idx="483">
                  <c:v>-2.6887138748678385E-2</c:v>
                </c:pt>
                <c:pt idx="484">
                  <c:v>9.1989190156802569E-2</c:v>
                </c:pt>
                <c:pt idx="485">
                  <c:v>-8.8863657565815615E-3</c:v>
                </c:pt>
                <c:pt idx="486">
                  <c:v>-5.2231580846174965E-3</c:v>
                </c:pt>
                <c:pt idx="487">
                  <c:v>-9.43141838154853E-2</c:v>
                </c:pt>
                <c:pt idx="488">
                  <c:v>-5.1184307112998005E-2</c:v>
                </c:pt>
                <c:pt idx="489">
                  <c:v>-6.6982129729735032E-3</c:v>
                </c:pt>
                <c:pt idx="490">
                  <c:v>5.9934213815789554E-2</c:v>
                </c:pt>
                <c:pt idx="491">
                  <c:v>2.4827757355757686E-2</c:v>
                </c:pt>
                <c:pt idx="492">
                  <c:v>4.1517751676101528E-2</c:v>
                </c:pt>
                <c:pt idx="493">
                  <c:v>6.7281174863978638E-2</c:v>
                </c:pt>
                <c:pt idx="494">
                  <c:v>2.2202832823658213E-2</c:v>
                </c:pt>
                <c:pt idx="495">
                  <c:v>3.1979905037087913E-4</c:v>
                </c:pt>
                <c:pt idx="496">
                  <c:v>3.8604974568177998E-2</c:v>
                </c:pt>
                <c:pt idx="497">
                  <c:v>-4.7892629152718316E-2</c:v>
                </c:pt>
                <c:pt idx="498">
                  <c:v>4.4859343195825574E-2</c:v>
                </c:pt>
                <c:pt idx="499">
                  <c:v>1.9648784299779752E-2</c:v>
                </c:pt>
                <c:pt idx="500">
                  <c:v>-1.9143737536368489E-2</c:v>
                </c:pt>
                <c:pt idx="501">
                  <c:v>1.1834237037883711E-2</c:v>
                </c:pt>
                <c:pt idx="502">
                  <c:v>-4.3903708684304973E-2</c:v>
                </c:pt>
                <c:pt idx="503">
                  <c:v>0.11158785482760009</c:v>
                </c:pt>
                <c:pt idx="504">
                  <c:v>-1.9923750460799857E-2</c:v>
                </c:pt>
                <c:pt idx="505">
                  <c:v>9.5895420754185199E-3</c:v>
                </c:pt>
                <c:pt idx="506">
                  <c:v>-2.1831862704186262E-2</c:v>
                </c:pt>
                <c:pt idx="507">
                  <c:v>2.7892714568640772E-2</c:v>
                </c:pt>
                <c:pt idx="508">
                  <c:v>9.6395707538861905E-4</c:v>
                </c:pt>
                <c:pt idx="509">
                  <c:v>-1.7358832059340339E-2</c:v>
                </c:pt>
                <c:pt idx="510">
                  <c:v>3.9373684053008125E-2</c:v>
                </c:pt>
                <c:pt idx="511">
                  <c:v>-2.3997530034600308E-2</c:v>
                </c:pt>
                <c:pt idx="512">
                  <c:v>9.1055938195435202E-3</c:v>
                </c:pt>
                <c:pt idx="513">
                  <c:v>2.1062829709799793E-3</c:v>
                </c:pt>
                <c:pt idx="514">
                  <c:v>3.0261806658623838E-2</c:v>
                </c:pt>
                <c:pt idx="515">
                  <c:v>1.0107766174460178E-2</c:v>
                </c:pt>
                <c:pt idx="516">
                  <c:v>7.0459894503543136E-3</c:v>
                </c:pt>
                <c:pt idx="517">
                  <c:v>1.0483627354217684E-2</c:v>
                </c:pt>
                <c:pt idx="518">
                  <c:v>1.869729781792934E-2</c:v>
                </c:pt>
                <c:pt idx="519">
                  <c:v>-2.541681021449611E-2</c:v>
                </c:pt>
                <c:pt idx="520">
                  <c:v>2.2717462810525169E-2</c:v>
                </c:pt>
                <c:pt idx="521">
                  <c:v>7.5523001063889142E-4</c:v>
                </c:pt>
                <c:pt idx="522">
                  <c:v>-5.3270459355138139E-3</c:v>
                </c:pt>
                <c:pt idx="523">
                  <c:v>3.4431956860375874E-2</c:v>
                </c:pt>
                <c:pt idx="524">
                  <c:v>-9.9879304080935441E-3</c:v>
                </c:pt>
                <c:pt idx="525">
                  <c:v>1.9392922963742735E-2</c:v>
                </c:pt>
                <c:pt idx="526">
                  <c:v>-1.291062601337699E-2</c:v>
                </c:pt>
                <c:pt idx="527">
                  <c:v>1.009117328045098E-2</c:v>
                </c:pt>
                <c:pt idx="528">
                  <c:v>3.2500745224549335E-2</c:v>
                </c:pt>
                <c:pt idx="529">
                  <c:v>-3.0044995848663707E-2</c:v>
                </c:pt>
                <c:pt idx="530">
                  <c:v>-4.5746511353774728E-2</c:v>
                </c:pt>
                <c:pt idx="531">
                  <c:v>1.1530643889981578E-2</c:v>
                </c:pt>
                <c:pt idx="532">
                  <c:v>1.2397143444171589E-2</c:v>
                </c:pt>
                <c:pt idx="533">
                  <c:v>-2.679082365826942E-2</c:v>
                </c:pt>
                <c:pt idx="534">
                  <c:v>3.1489907818193885E-2</c:v>
                </c:pt>
                <c:pt idx="535">
                  <c:v>3.7598698607805542E-2</c:v>
                </c:pt>
                <c:pt idx="536">
                  <c:v>-2.6877535318882265E-2</c:v>
                </c:pt>
                <c:pt idx="537">
                  <c:v>2.0833816402291615E-2</c:v>
                </c:pt>
                <c:pt idx="538">
                  <c:v>-3.9504612602884175E-2</c:v>
                </c:pt>
                <c:pt idx="539">
                  <c:v>1.2299118286499109E-2</c:v>
                </c:pt>
                <c:pt idx="540">
                  <c:v>2.4277710860833045E-2</c:v>
                </c:pt>
                <c:pt idx="541">
                  <c:v>3.6074149761991574E-2</c:v>
                </c:pt>
                <c:pt idx="542">
                  <c:v>2.7329193438646864E-2</c:v>
                </c:pt>
                <c:pt idx="543">
                  <c:v>2.7960358793799222E-2</c:v>
                </c:pt>
                <c:pt idx="544">
                  <c:v>3.6311711839953353E-2</c:v>
                </c:pt>
                <c:pt idx="545">
                  <c:v>2.1278544224437396E-2</c:v>
                </c:pt>
                <c:pt idx="546">
                  <c:v>3.1776040385497847E-2</c:v>
                </c:pt>
                <c:pt idx="547">
                  <c:v>-3.2023805401637506E-4</c:v>
                </c:pt>
                <c:pt idx="548">
                  <c:v>4.0097472413171305E-2</c:v>
                </c:pt>
                <c:pt idx="549">
                  <c:v>-4.9793349436903535E-3</c:v>
                </c:pt>
                <c:pt idx="550">
                  <c:v>4.1049002579535712E-2</c:v>
                </c:pt>
                <c:pt idx="551">
                  <c:v>1.7443874138492691E-2</c:v>
                </c:pt>
                <c:pt idx="552">
                  <c:v>3.2617387086717305E-2</c:v>
                </c:pt>
                <c:pt idx="553">
                  <c:v>6.9337015523503838E-3</c:v>
                </c:pt>
                <c:pt idx="554">
                  <c:v>7.916567080580238E-3</c:v>
                </c:pt>
                <c:pt idx="555">
                  <c:v>1.3431422153369484E-2</c:v>
                </c:pt>
                <c:pt idx="556">
                  <c:v>2.2853405672085103E-2</c:v>
                </c:pt>
                <c:pt idx="557">
                  <c:v>2.2567103229368681E-3</c:v>
                </c:pt>
                <c:pt idx="558">
                  <c:v>-4.5748017194667527E-2</c:v>
                </c:pt>
                <c:pt idx="559">
                  <c:v>1.8813935110919288E-2</c:v>
                </c:pt>
                <c:pt idx="560">
                  <c:v>5.4203327569492227E-2</c:v>
                </c:pt>
                <c:pt idx="561">
                  <c:v>2.610100323903073E-2</c:v>
                </c:pt>
                <c:pt idx="562">
                  <c:v>7.337615173263709E-2</c:v>
                </c:pt>
                <c:pt idx="563">
                  <c:v>-2.1505415404998153E-2</c:v>
                </c:pt>
                <c:pt idx="564">
                  <c:v>6.1317039194819227E-2</c:v>
                </c:pt>
                <c:pt idx="565">
                  <c:v>5.9275900071803778E-3</c:v>
                </c:pt>
                <c:pt idx="566">
                  <c:v>-4.261401039642642E-2</c:v>
                </c:pt>
                <c:pt idx="567">
                  <c:v>5.8405579422057062E-2</c:v>
                </c:pt>
                <c:pt idx="568">
                  <c:v>5.8576884241924997E-2</c:v>
                </c:pt>
                <c:pt idx="569">
                  <c:v>4.3452615574897539E-2</c:v>
                </c:pt>
                <c:pt idx="570">
                  <c:v>7.8145809507888991E-2</c:v>
                </c:pt>
                <c:pt idx="571">
                  <c:v>-5.7465631833399242E-2</c:v>
                </c:pt>
                <c:pt idx="572">
                  <c:v>5.3153589937912478E-2</c:v>
                </c:pt>
                <c:pt idx="573">
                  <c:v>-3.4477697196337698E-2</c:v>
                </c:pt>
                <c:pt idx="574">
                  <c:v>4.4586854893763843E-2</c:v>
                </c:pt>
                <c:pt idx="575">
                  <c:v>1.5731597888257891E-2</c:v>
                </c:pt>
                <c:pt idx="576">
                  <c:v>1.0150176798997644E-2</c:v>
                </c:pt>
                <c:pt idx="577">
                  <c:v>7.044919304379707E-2</c:v>
                </c:pt>
                <c:pt idx="578">
                  <c:v>4.9945714161429351E-2</c:v>
                </c:pt>
                <c:pt idx="579">
                  <c:v>9.0764692534604039E-3</c:v>
                </c:pt>
                <c:pt idx="580">
                  <c:v>-1.8826223521475085E-2</c:v>
                </c:pt>
                <c:pt idx="581">
                  <c:v>3.9438241075214008E-2</c:v>
                </c:pt>
                <c:pt idx="582">
                  <c:v>-1.1615327025789495E-2</c:v>
                </c:pt>
                <c:pt idx="583">
                  <c:v>-0.14579671855670656</c:v>
                </c:pt>
                <c:pt idx="584">
                  <c:v>6.2395515617718951E-2</c:v>
                </c:pt>
                <c:pt idx="585">
                  <c:v>8.0294228372442475E-2</c:v>
                </c:pt>
                <c:pt idx="586">
                  <c:v>5.9125996339625349E-2</c:v>
                </c:pt>
                <c:pt idx="587">
                  <c:v>5.6375286575735976E-2</c:v>
                </c:pt>
                <c:pt idx="588">
                  <c:v>4.1009441536725193E-2</c:v>
                </c:pt>
                <c:pt idx="589">
                  <c:v>-3.2282562686194144E-2</c:v>
                </c:pt>
                <c:pt idx="590">
                  <c:v>3.8794215360158806E-2</c:v>
                </c:pt>
                <c:pt idx="591">
                  <c:v>3.7944027915545332E-2</c:v>
                </c:pt>
                <c:pt idx="592">
                  <c:v>-2.4970480872686798E-2</c:v>
                </c:pt>
                <c:pt idx="593">
                  <c:v>5.4438331016794128E-2</c:v>
                </c:pt>
                <c:pt idx="594">
                  <c:v>-3.2046092218893742E-2</c:v>
                </c:pt>
                <c:pt idx="595">
                  <c:v>-6.2540920445004668E-3</c:v>
                </c:pt>
                <c:pt idx="596">
                  <c:v>-2.8551792268491635E-2</c:v>
                </c:pt>
                <c:pt idx="597">
                  <c:v>6.2539541625965367E-2</c:v>
                </c:pt>
                <c:pt idx="598">
                  <c:v>1.9061858621249591E-2</c:v>
                </c:pt>
                <c:pt idx="599">
                  <c:v>5.784389487677933E-2</c:v>
                </c:pt>
                <c:pt idx="600">
                  <c:v>-5.0903548749361906E-2</c:v>
                </c:pt>
                <c:pt idx="601">
                  <c:v>-2.0108083261058264E-2</c:v>
                </c:pt>
                <c:pt idx="602">
                  <c:v>9.6719828269732314E-2</c:v>
                </c:pt>
                <c:pt idx="603">
                  <c:v>-3.0795755551931397E-2</c:v>
                </c:pt>
                <c:pt idx="604">
                  <c:v>-2.1915050512993556E-2</c:v>
                </c:pt>
                <c:pt idx="605">
                  <c:v>2.3933549608901303E-2</c:v>
                </c:pt>
                <c:pt idx="606">
                  <c:v>-1.6341276221772696E-2</c:v>
                </c:pt>
                <c:pt idx="607">
                  <c:v>6.0699105184236081E-2</c:v>
                </c:pt>
                <c:pt idx="608">
                  <c:v>-5.3482974745611284E-2</c:v>
                </c:pt>
                <c:pt idx="609">
                  <c:v>-4.9494858723608441E-3</c:v>
                </c:pt>
                <c:pt idx="610">
                  <c:v>-8.0068609961069917E-2</c:v>
                </c:pt>
                <c:pt idx="611">
                  <c:v>4.0534455291979079E-3</c:v>
                </c:pt>
                <c:pt idx="612">
                  <c:v>3.4636577086329577E-2</c:v>
                </c:pt>
                <c:pt idx="613">
                  <c:v>-9.2290735849000022E-2</c:v>
                </c:pt>
                <c:pt idx="614">
                  <c:v>-6.4204710540895507E-2</c:v>
                </c:pt>
                <c:pt idx="615">
                  <c:v>7.6814361759009853E-2</c:v>
                </c:pt>
                <c:pt idx="616">
                  <c:v>5.0901871196495675E-3</c:v>
                </c:pt>
                <c:pt idx="617">
                  <c:v>-2.5035389109833495E-2</c:v>
                </c:pt>
                <c:pt idx="618">
                  <c:v>-1.074015007293419E-2</c:v>
                </c:pt>
                <c:pt idx="619">
                  <c:v>-6.4108406563714707E-2</c:v>
                </c:pt>
                <c:pt idx="620">
                  <c:v>-8.172340601971613E-2</c:v>
                </c:pt>
                <c:pt idx="621">
                  <c:v>1.8099111445277823E-2</c:v>
                </c:pt>
                <c:pt idx="622">
                  <c:v>7.5175904263053484E-2</c:v>
                </c:pt>
                <c:pt idx="623">
                  <c:v>7.5738341929157561E-3</c:v>
                </c:pt>
                <c:pt idx="624">
                  <c:v>-1.5573832559794278E-2</c:v>
                </c:pt>
                <c:pt idx="625">
                  <c:v>-2.0766211305560379E-2</c:v>
                </c:pt>
                <c:pt idx="626">
                  <c:v>3.6738893618839058E-2</c:v>
                </c:pt>
                <c:pt idx="627">
                  <c:v>-6.1417626159139961E-2</c:v>
                </c:pt>
                <c:pt idx="628">
                  <c:v>-9.081481076045431E-3</c:v>
                </c:pt>
                <c:pt idx="629">
                  <c:v>-7.2455354417573711E-2</c:v>
                </c:pt>
                <c:pt idx="630">
                  <c:v>-7.9004274966125249E-2</c:v>
                </c:pt>
                <c:pt idx="631">
                  <c:v>4.8814330800192847E-3</c:v>
                </c:pt>
                <c:pt idx="632">
                  <c:v>-0.11002431826151908</c:v>
                </c:pt>
                <c:pt idx="633">
                  <c:v>8.6448801016809837E-2</c:v>
                </c:pt>
                <c:pt idx="634">
                  <c:v>5.7069620923617885E-2</c:v>
                </c:pt>
                <c:pt idx="635">
                  <c:v>-6.0332572674290638E-2</c:v>
                </c:pt>
                <c:pt idx="636">
                  <c:v>-2.7414692559952228E-2</c:v>
                </c:pt>
                <c:pt idx="637">
                  <c:v>-1.7003608502929392E-2</c:v>
                </c:pt>
                <c:pt idx="638">
                  <c:v>8.3575685661514496E-3</c:v>
                </c:pt>
                <c:pt idx="639">
                  <c:v>8.1044106872726049E-2</c:v>
                </c:pt>
                <c:pt idx="640">
                  <c:v>5.0898709664177928E-2</c:v>
                </c:pt>
                <c:pt idx="641">
                  <c:v>1.132221452516137E-2</c:v>
                </c:pt>
                <c:pt idx="642">
                  <c:v>1.6223702411493023E-2</c:v>
                </c:pt>
                <c:pt idx="643">
                  <c:v>1.7873203376464364E-2</c:v>
                </c:pt>
                <c:pt idx="644">
                  <c:v>-1.1944364520745165E-2</c:v>
                </c:pt>
                <c:pt idx="645">
                  <c:v>5.4961486384010702E-2</c:v>
                </c:pt>
                <c:pt idx="646">
                  <c:v>7.1285038478854151E-3</c:v>
                </c:pt>
                <c:pt idx="647">
                  <c:v>5.0765541001239284E-2</c:v>
                </c:pt>
                <c:pt idx="648">
                  <c:v>1.7276387006114644E-2</c:v>
                </c:pt>
                <c:pt idx="649">
                  <c:v>1.2208973273589456E-2</c:v>
                </c:pt>
                <c:pt idx="650">
                  <c:v>-1.6358919214261271E-2</c:v>
                </c:pt>
                <c:pt idx="651">
                  <c:v>-1.6790751862298683E-2</c:v>
                </c:pt>
                <c:pt idx="652">
                  <c:v>1.2083450201310325E-2</c:v>
                </c:pt>
                <c:pt idx="653">
                  <c:v>1.7988998669195622E-2</c:v>
                </c:pt>
                <c:pt idx="654">
                  <c:v>-3.4290519411904981E-2</c:v>
                </c:pt>
                <c:pt idx="655">
                  <c:v>2.2873498405522209E-3</c:v>
                </c:pt>
                <c:pt idx="656">
                  <c:v>9.3638756915514383E-3</c:v>
                </c:pt>
                <c:pt idx="657">
                  <c:v>1.4014243586487049E-2</c:v>
                </c:pt>
                <c:pt idx="658">
                  <c:v>3.8594936198152442E-2</c:v>
                </c:pt>
                <c:pt idx="659">
                  <c:v>3.2458213144045421E-2</c:v>
                </c:pt>
                <c:pt idx="660">
                  <c:v>-2.5290467099494587E-2</c:v>
                </c:pt>
                <c:pt idx="661">
                  <c:v>1.8903346078316657E-2</c:v>
                </c:pt>
                <c:pt idx="662">
                  <c:v>-1.9117655748441098E-2</c:v>
                </c:pt>
                <c:pt idx="663">
                  <c:v>-2.0108581881679344E-2</c:v>
                </c:pt>
                <c:pt idx="664">
                  <c:v>2.9952046262565708E-2</c:v>
                </c:pt>
                <c:pt idx="665">
                  <c:v>-1.4271422576580921E-4</c:v>
                </c:pt>
                <c:pt idx="666">
                  <c:v>3.5968287193812398E-2</c:v>
                </c:pt>
                <c:pt idx="667">
                  <c:v>-1.1222104874496611E-2</c:v>
                </c:pt>
                <c:pt idx="668">
                  <c:v>6.9490246947603992E-3</c:v>
                </c:pt>
                <c:pt idx="669">
                  <c:v>-1.7740780066319385E-2</c:v>
                </c:pt>
                <c:pt idx="670">
                  <c:v>3.518609592972647E-2</c:v>
                </c:pt>
                <c:pt idx="671">
                  <c:v>-9.5234899241850176E-4</c:v>
                </c:pt>
                <c:pt idx="672">
                  <c:v>2.5466771348641722E-2</c:v>
                </c:pt>
                <c:pt idx="673">
                  <c:v>4.5315763072534016E-4</c:v>
                </c:pt>
                <c:pt idx="674">
                  <c:v>1.1095810459249501E-2</c:v>
                </c:pt>
                <c:pt idx="675">
                  <c:v>1.215565273794149E-2</c:v>
                </c:pt>
                <c:pt idx="676">
                  <c:v>-3.0916916141150906E-2</c:v>
                </c:pt>
                <c:pt idx="677">
                  <c:v>8.659622778253766E-5</c:v>
                </c:pt>
                <c:pt idx="678">
                  <c:v>5.085878797990869E-3</c:v>
                </c:pt>
                <c:pt idx="679">
                  <c:v>2.127419303234809E-2</c:v>
                </c:pt>
                <c:pt idx="680">
                  <c:v>2.4566298512509407E-2</c:v>
                </c:pt>
                <c:pt idx="681">
                  <c:v>3.1508002961554211E-2</c:v>
                </c:pt>
                <c:pt idx="682">
                  <c:v>1.6466656727820252E-2</c:v>
                </c:pt>
                <c:pt idx="683">
                  <c:v>1.2615782852659909E-2</c:v>
                </c:pt>
                <c:pt idx="684">
                  <c:v>1.4059042735039834E-2</c:v>
                </c:pt>
                <c:pt idx="685">
                  <c:v>-2.1846176033528286E-2</c:v>
                </c:pt>
                <c:pt idx="686">
                  <c:v>9.9799828968304798E-3</c:v>
                </c:pt>
                <c:pt idx="687">
                  <c:v>4.329069060242411E-2</c:v>
                </c:pt>
                <c:pt idx="688">
                  <c:v>3.254922870993486E-2</c:v>
                </c:pt>
                <c:pt idx="689">
                  <c:v>-1.7816322202167525E-2</c:v>
                </c:pt>
                <c:pt idx="690">
                  <c:v>-3.1981878316802555E-2</c:v>
                </c:pt>
                <c:pt idx="691">
                  <c:v>1.2863571531556806E-2</c:v>
                </c:pt>
                <c:pt idx="692">
                  <c:v>3.5794008343299509E-2</c:v>
                </c:pt>
                <c:pt idx="693">
                  <c:v>1.4822338300311107E-2</c:v>
                </c:pt>
                <c:pt idx="694">
                  <c:v>-4.4043417224814412E-2</c:v>
                </c:pt>
                <c:pt idx="695">
                  <c:v>-8.6285090339686069E-3</c:v>
                </c:pt>
                <c:pt idx="696">
                  <c:v>-6.1163431935936409E-2</c:v>
                </c:pt>
                <c:pt idx="697">
                  <c:v>-3.4761192772624509E-2</c:v>
                </c:pt>
                <c:pt idx="698">
                  <c:v>-5.9596236145298166E-3</c:v>
                </c:pt>
                <c:pt idx="699">
                  <c:v>4.754669791319887E-2</c:v>
                </c:pt>
                <c:pt idx="700">
                  <c:v>1.0674181657577029E-2</c:v>
                </c:pt>
                <c:pt idx="701">
                  <c:v>-8.5962384902803571E-2</c:v>
                </c:pt>
                <c:pt idx="702">
                  <c:v>-9.8593710937500134E-3</c:v>
                </c:pt>
                <c:pt idx="703">
                  <c:v>1.2190464532379975E-2</c:v>
                </c:pt>
                <c:pt idx="704">
                  <c:v>-9.0791433779084579E-2</c:v>
                </c:pt>
                <c:pt idx="705">
                  <c:v>-0.16942452376741993</c:v>
                </c:pt>
                <c:pt idx="706">
                  <c:v>-7.484904258064512E-2</c:v>
                </c:pt>
                <c:pt idx="707">
                  <c:v>7.8215768970540632E-3</c:v>
                </c:pt>
                <c:pt idx="708">
                  <c:v>-8.5657342928314437E-2</c:v>
                </c:pt>
                <c:pt idx="709">
                  <c:v>-0.10993119757149226</c:v>
                </c:pt>
                <c:pt idx="710">
                  <c:v>8.5404461622494654E-2</c:v>
                </c:pt>
                <c:pt idx="711">
                  <c:v>9.3925079862164682E-2</c:v>
                </c:pt>
                <c:pt idx="712">
                  <c:v>5.3081446255385356E-2</c:v>
                </c:pt>
                <c:pt idx="713">
                  <c:v>1.958265303029853E-4</c:v>
                </c:pt>
                <c:pt idx="714">
                  <c:v>7.4141727016716522E-2</c:v>
                </c:pt>
                <c:pt idx="715">
                  <c:v>3.3560189240494843E-2</c:v>
                </c:pt>
                <c:pt idx="716">
                  <c:v>3.5723345788458732E-2</c:v>
                </c:pt>
                <c:pt idx="717">
                  <c:v>-1.976200086041547E-2</c:v>
                </c:pt>
                <c:pt idx="718">
                  <c:v>5.7364061981373636E-2</c:v>
                </c:pt>
                <c:pt idx="719">
                  <c:v>1.7770571188400402E-2</c:v>
                </c:pt>
                <c:pt idx="720">
                  <c:v>-3.6974246154947411E-2</c:v>
                </c:pt>
                <c:pt idx="721">
                  <c:v>2.8513688940531405E-2</c:v>
                </c:pt>
                <c:pt idx="722">
                  <c:v>5.879642603189178E-2</c:v>
                </c:pt>
                <c:pt idx="723">
                  <c:v>1.4759229883791036E-2</c:v>
                </c:pt>
                <c:pt idx="724">
                  <c:v>-8.1975841910334427E-2</c:v>
                </c:pt>
                <c:pt idx="725">
                  <c:v>-5.3882442026415164E-2</c:v>
                </c:pt>
                <c:pt idx="726">
                  <c:v>6.8777849911552322E-2</c:v>
                </c:pt>
                <c:pt idx="727">
                  <c:v>-4.7449184040287175E-2</c:v>
                </c:pt>
                <c:pt idx="728">
                  <c:v>8.7551102944020034E-2</c:v>
                </c:pt>
                <c:pt idx="729">
                  <c:v>3.6855994397076437E-2</c:v>
                </c:pt>
                <c:pt idx="730">
                  <c:v>-2.2902497989431936E-3</c:v>
                </c:pt>
                <c:pt idx="731">
                  <c:v>6.5300040489854744E-2</c:v>
                </c:pt>
                <c:pt idx="732">
                  <c:v>2.2645573980086878E-2</c:v>
                </c:pt>
                <c:pt idx="733">
                  <c:v>3.1956564052952129E-2</c:v>
                </c:pt>
                <c:pt idx="734">
                  <c:v>-1.0473132038185315E-3</c:v>
                </c:pt>
                <c:pt idx="735">
                  <c:v>2.8495380443795019E-2</c:v>
                </c:pt>
                <c:pt idx="736">
                  <c:v>-1.3500952766930637E-2</c:v>
                </c:pt>
                <c:pt idx="737">
                  <c:v>-1.8257461265697078E-2</c:v>
                </c:pt>
                <c:pt idx="738">
                  <c:v>-2.1474425791952044E-2</c:v>
                </c:pt>
                <c:pt idx="739">
                  <c:v>-5.6791107463597633E-2</c:v>
                </c:pt>
                <c:pt idx="740">
                  <c:v>-7.1761988303760113E-2</c:v>
                </c:pt>
                <c:pt idx="741">
                  <c:v>0.10772303853581013</c:v>
                </c:pt>
                <c:pt idx="742">
                  <c:v>-5.0587151935872331E-3</c:v>
                </c:pt>
                <c:pt idx="743">
                  <c:v>8.5327639481440794E-3</c:v>
                </c:pt>
                <c:pt idx="744">
                  <c:v>4.3583062218506295E-2</c:v>
                </c:pt>
                <c:pt idx="745">
                  <c:v>4.058946413084185E-2</c:v>
                </c:pt>
                <c:pt idx="746">
                  <c:v>3.1332314530530633E-2</c:v>
                </c:pt>
                <c:pt idx="747">
                  <c:v>-7.4974527092704279E-3</c:v>
                </c:pt>
                <c:pt idx="748">
                  <c:v>-6.2650725633177598E-2</c:v>
                </c:pt>
                <c:pt idx="749">
                  <c:v>3.9554982134591417E-2</c:v>
                </c:pt>
                <c:pt idx="750">
                  <c:v>1.2597574126154459E-2</c:v>
                </c:pt>
                <c:pt idx="751">
                  <c:v>1.9763369680148135E-2</c:v>
                </c:pt>
                <c:pt idx="752">
                  <c:v>2.4236153696477046E-2</c:v>
                </c:pt>
                <c:pt idx="753">
                  <c:v>-1.9789409878227443E-2</c:v>
                </c:pt>
                <c:pt idx="754">
                  <c:v>2.8467170173433272E-3</c:v>
                </c:pt>
                <c:pt idx="755">
                  <c:v>7.0682304638645639E-3</c:v>
                </c:pt>
                <c:pt idx="756">
                  <c:v>5.0428096519578497E-2</c:v>
                </c:pt>
                <c:pt idx="757">
                  <c:v>1.1060649195259101E-2</c:v>
                </c:pt>
                <c:pt idx="758">
                  <c:v>3.5987723516956123E-2</c:v>
                </c:pt>
                <c:pt idx="759">
                  <c:v>1.8085767859252408E-2</c:v>
                </c:pt>
                <c:pt idx="760">
                  <c:v>2.0762811721046208E-2</c:v>
                </c:pt>
                <c:pt idx="761">
                  <c:v>-1.4999301636062792E-2</c:v>
                </c:pt>
                <c:pt idx="762">
                  <c:v>4.9462079815225081E-2</c:v>
                </c:pt>
                <c:pt idx="763">
                  <c:v>-3.1298019033866906E-2</c:v>
                </c:pt>
                <c:pt idx="764">
                  <c:v>2.9749523177239098E-2</c:v>
                </c:pt>
                <c:pt idx="765">
                  <c:v>4.45957526180061E-2</c:v>
                </c:pt>
                <c:pt idx="766">
                  <c:v>2.8049471635186524E-2</c:v>
                </c:pt>
                <c:pt idx="767">
                  <c:v>2.3562791550492821E-2</c:v>
                </c:pt>
                <c:pt idx="768">
                  <c:v>-3.5582905675162646E-2</c:v>
                </c:pt>
                <c:pt idx="769">
                  <c:v>4.3117029976595334E-2</c:v>
                </c:pt>
                <c:pt idx="770">
                  <c:v>6.9321656079357136E-3</c:v>
                </c:pt>
                <c:pt idx="771">
                  <c:v>6.2007889650527552E-3</c:v>
                </c:pt>
                <c:pt idx="772">
                  <c:v>2.103028001299596E-2</c:v>
                </c:pt>
                <c:pt idx="773">
                  <c:v>1.9058331658920603E-2</c:v>
                </c:pt>
                <c:pt idx="774">
                  <c:v>-1.5079830581919834E-2</c:v>
                </c:pt>
                <c:pt idx="775">
                  <c:v>3.7655295489735195E-2</c:v>
                </c:pt>
                <c:pt idx="776">
                  <c:v>-1.5513837223063749E-2</c:v>
                </c:pt>
                <c:pt idx="777">
                  <c:v>2.3201460786772227E-2</c:v>
                </c:pt>
                <c:pt idx="778">
                  <c:v>2.4533588760364766E-2</c:v>
                </c:pt>
                <c:pt idx="779">
                  <c:v>-4.1885878779204062E-3</c:v>
                </c:pt>
                <c:pt idx="780">
                  <c:v>-3.1040805790470173E-2</c:v>
                </c:pt>
                <c:pt idx="781">
                  <c:v>5.4892511014553995E-2</c:v>
                </c:pt>
                <c:pt idx="782">
                  <c:v>-1.7396106913756221E-2</c:v>
                </c:pt>
                <c:pt idx="783">
                  <c:v>8.5208197301247391E-3</c:v>
                </c:pt>
                <c:pt idx="784">
                  <c:v>1.0491382393316857E-2</c:v>
                </c:pt>
                <c:pt idx="785">
                  <c:v>-2.1011672375900521E-2</c:v>
                </c:pt>
                <c:pt idx="786">
                  <c:v>1.9742029696721345E-2</c:v>
                </c:pt>
                <c:pt idx="787">
                  <c:v>-6.2580818167202831E-2</c:v>
                </c:pt>
                <c:pt idx="788">
                  <c:v>-2.6442831573227094E-2</c:v>
                </c:pt>
                <c:pt idx="789">
                  <c:v>8.2983117760394132E-2</c:v>
                </c:pt>
                <c:pt idx="790">
                  <c:v>5.0486926072401835E-4</c:v>
                </c:pt>
                <c:pt idx="791">
                  <c:v>-1.7530185176314418E-2</c:v>
                </c:pt>
                <c:pt idx="792">
                  <c:v>-5.073532197294639E-2</c:v>
                </c:pt>
                <c:pt idx="793">
                  <c:v>-4.1283604302991229E-3</c:v>
                </c:pt>
                <c:pt idx="794">
                  <c:v>6.5991114577365145E-2</c:v>
                </c:pt>
                <c:pt idx="795">
                  <c:v>2.6993984808732631E-3</c:v>
                </c:pt>
                <c:pt idx="796">
                  <c:v>1.5324602357572555E-2</c:v>
                </c:pt>
                <c:pt idx="797">
                  <c:v>9.1092112097811118E-4</c:v>
                </c:pt>
                <c:pt idx="798">
                  <c:v>3.5609801125254283E-2</c:v>
                </c:pt>
                <c:pt idx="799">
                  <c:v>-1.2192431360480338E-3</c:v>
                </c:pt>
                <c:pt idx="800">
                  <c:v>-1.2344508443253945E-3</c:v>
                </c:pt>
                <c:pt idx="801">
                  <c:v>-1.9425679279557545E-2</c:v>
                </c:pt>
                <c:pt idx="802">
                  <c:v>3.4174522187570479E-2</c:v>
                </c:pt>
                <c:pt idx="803">
                  <c:v>1.8200762196895176E-2</c:v>
                </c:pt>
                <c:pt idx="804">
                  <c:v>1.7884358171464578E-2</c:v>
                </c:pt>
                <c:pt idx="805">
                  <c:v>3.719816033727915E-2</c:v>
                </c:pt>
                <c:pt idx="806">
                  <c:v>-3.8919718808453973E-4</c:v>
                </c:pt>
                <c:pt idx="807">
                  <c:v>9.0912085493182089E-3</c:v>
                </c:pt>
                <c:pt idx="808">
                  <c:v>1.1576251391341417E-2</c:v>
                </c:pt>
                <c:pt idx="809">
                  <c:v>4.8137750908554414E-3</c:v>
                </c:pt>
                <c:pt idx="810">
                  <c:v>1.9348826118030613E-2</c:v>
                </c:pt>
                <c:pt idx="811">
                  <c:v>5.4643281108568138E-4</c:v>
                </c:pt>
                <c:pt idx="812">
                  <c:v>1.9302978533243684E-2</c:v>
                </c:pt>
                <c:pt idx="813">
                  <c:v>2.2188135330349579E-2</c:v>
                </c:pt>
                <c:pt idx="814">
                  <c:v>3.7200430103366371E-3</c:v>
                </c:pt>
                <c:pt idx="815">
                  <c:v>3.4342557364422946E-2</c:v>
                </c:pt>
                <c:pt idx="816">
                  <c:v>5.6178704444133053E-2</c:v>
                </c:pt>
                <c:pt idx="817">
                  <c:v>-3.8947372061896871E-2</c:v>
                </c:pt>
                <c:pt idx="818">
                  <c:v>-2.6884498624825112E-2</c:v>
                </c:pt>
                <c:pt idx="819">
                  <c:v>2.7187751316434801E-3</c:v>
                </c:pt>
                <c:pt idx="820">
                  <c:v>2.1608341965291905E-2</c:v>
                </c:pt>
                <c:pt idx="821">
                  <c:v>4.8424360241866009E-3</c:v>
                </c:pt>
                <c:pt idx="822">
                  <c:v>3.6021556221367206E-2</c:v>
                </c:pt>
                <c:pt idx="823">
                  <c:v>3.0263211466054526E-2</c:v>
                </c:pt>
                <c:pt idx="824">
                  <c:v>4.2942871026614999E-3</c:v>
                </c:pt>
                <c:pt idx="825">
                  <c:v>-6.9403356024429527E-2</c:v>
                </c:pt>
                <c:pt idx="826">
                  <c:v>1.7859356788849069E-2</c:v>
                </c:pt>
                <c:pt idx="827">
                  <c:v>-9.1776894596563949E-2</c:v>
                </c:pt>
                <c:pt idx="828">
                  <c:v>7.8684401655036665E-2</c:v>
                </c:pt>
                <c:pt idx="829">
                  <c:v>2.9728889126352211E-2</c:v>
                </c:pt>
                <c:pt idx="830">
                  <c:v>1.7924256211817115E-2</c:v>
                </c:pt>
                <c:pt idx="831">
                  <c:v>2.5635111315354467E-2</c:v>
                </c:pt>
              </c:numCache>
            </c:numRef>
          </c:val>
          <c:smooth val="0"/>
          <c:extLst>
            <c:ext xmlns:c16="http://schemas.microsoft.com/office/drawing/2014/chart" uri="{C3380CC4-5D6E-409C-BE32-E72D297353CC}">
              <c16:uniqueId val="{00000000-F869-8349-A853-B547B00325EB}"/>
            </c:ext>
          </c:extLst>
        </c:ser>
        <c:dLbls>
          <c:showLegendKey val="0"/>
          <c:showVal val="0"/>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538188879"/>
        <c:axId val="538087375"/>
      </c:lineChart>
      <c:lineChart>
        <c:grouping val="standard"/>
        <c:varyColors val="0"/>
        <c:ser>
          <c:idx val="1"/>
          <c:order val="1"/>
          <c:tx>
            <c:strRef>
              <c:f>'PMI Analysis'!$AA$1</c:f>
              <c:strCache>
                <c:ptCount val="1"/>
                <c:pt idx="0">
                  <c:v>PMI INDEX</c:v>
                </c:pt>
              </c:strCache>
            </c:strRef>
          </c:tx>
          <c:spPr>
            <a:ln w="3175" cap="rnd">
              <a:solidFill>
                <a:srgbClr val="FC3200"/>
              </a:solidFill>
              <a:round/>
            </a:ln>
            <a:effectLst/>
          </c:spPr>
          <c:marker>
            <c:symbol val="none"/>
          </c:marker>
          <c:val>
            <c:numRef>
              <c:f>'PMI Analysis'!$AA$3:$AA$833</c:f>
              <c:numCache>
                <c:formatCode>General</c:formatCode>
                <c:ptCount val="831"/>
                <c:pt idx="0">
                  <c:v>59.1</c:v>
                </c:pt>
                <c:pt idx="1">
                  <c:v>60.5</c:v>
                </c:pt>
                <c:pt idx="2">
                  <c:v>62.1</c:v>
                </c:pt>
                <c:pt idx="3">
                  <c:v>68.099999999999994</c:v>
                </c:pt>
                <c:pt idx="4">
                  <c:v>74.7</c:v>
                </c:pt>
                <c:pt idx="5">
                  <c:v>76.599999999999994</c:v>
                </c:pt>
                <c:pt idx="6">
                  <c:v>77.5</c:v>
                </c:pt>
                <c:pt idx="7">
                  <c:v>75.8</c:v>
                </c:pt>
                <c:pt idx="8">
                  <c:v>68.099999999999994</c:v>
                </c:pt>
                <c:pt idx="9">
                  <c:v>59.2</c:v>
                </c:pt>
                <c:pt idx="10">
                  <c:v>63.1</c:v>
                </c:pt>
                <c:pt idx="11">
                  <c:v>67.099999999999994</c:v>
                </c:pt>
                <c:pt idx="12">
                  <c:v>67.8</c:v>
                </c:pt>
                <c:pt idx="13">
                  <c:v>69.3</c:v>
                </c:pt>
                <c:pt idx="14">
                  <c:v>65.5</c:v>
                </c:pt>
                <c:pt idx="15">
                  <c:v>53.5</c:v>
                </c:pt>
                <c:pt idx="16">
                  <c:v>50.7</c:v>
                </c:pt>
                <c:pt idx="17">
                  <c:v>45.5</c:v>
                </c:pt>
                <c:pt idx="18">
                  <c:v>42.1</c:v>
                </c:pt>
                <c:pt idx="19">
                  <c:v>43.6</c:v>
                </c:pt>
                <c:pt idx="20">
                  <c:v>48.1</c:v>
                </c:pt>
                <c:pt idx="21">
                  <c:v>49.6</c:v>
                </c:pt>
                <c:pt idx="22">
                  <c:v>47.2</c:v>
                </c:pt>
                <c:pt idx="23">
                  <c:v>46.5</c:v>
                </c:pt>
                <c:pt idx="24">
                  <c:v>44.7</c:v>
                </c:pt>
                <c:pt idx="25">
                  <c:v>41.8</c:v>
                </c:pt>
                <c:pt idx="26">
                  <c:v>40</c:v>
                </c:pt>
                <c:pt idx="27">
                  <c:v>36.700000000000003</c:v>
                </c:pt>
                <c:pt idx="28">
                  <c:v>39.5</c:v>
                </c:pt>
                <c:pt idx="29">
                  <c:v>43.3</c:v>
                </c:pt>
                <c:pt idx="30">
                  <c:v>48.3</c:v>
                </c:pt>
                <c:pt idx="31">
                  <c:v>60.4</c:v>
                </c:pt>
                <c:pt idx="32">
                  <c:v>56.1</c:v>
                </c:pt>
                <c:pt idx="33">
                  <c:v>56.2</c:v>
                </c:pt>
                <c:pt idx="34">
                  <c:v>56.8</c:v>
                </c:pt>
                <c:pt idx="35">
                  <c:v>55.8</c:v>
                </c:pt>
                <c:pt idx="36">
                  <c:v>59.4</c:v>
                </c:pt>
                <c:pt idx="37">
                  <c:v>55.4</c:v>
                </c:pt>
                <c:pt idx="38">
                  <c:v>50.5</c:v>
                </c:pt>
                <c:pt idx="39">
                  <c:v>51.1</c:v>
                </c:pt>
                <c:pt idx="40">
                  <c:v>48.9</c:v>
                </c:pt>
                <c:pt idx="41">
                  <c:v>48.5</c:v>
                </c:pt>
                <c:pt idx="42">
                  <c:v>46.3</c:v>
                </c:pt>
                <c:pt idx="43">
                  <c:v>43.5</c:v>
                </c:pt>
                <c:pt idx="44">
                  <c:v>40.200000000000003</c:v>
                </c:pt>
                <c:pt idx="45">
                  <c:v>37.4</c:v>
                </c:pt>
                <c:pt idx="46">
                  <c:v>36.9</c:v>
                </c:pt>
                <c:pt idx="47">
                  <c:v>35.6</c:v>
                </c:pt>
                <c:pt idx="48">
                  <c:v>37.4</c:v>
                </c:pt>
                <c:pt idx="49">
                  <c:v>40.700000000000003</c:v>
                </c:pt>
                <c:pt idx="50">
                  <c:v>44.7</c:v>
                </c:pt>
                <c:pt idx="51">
                  <c:v>47.7</c:v>
                </c:pt>
                <c:pt idx="52">
                  <c:v>50.1</c:v>
                </c:pt>
                <c:pt idx="53">
                  <c:v>52.1</c:v>
                </c:pt>
                <c:pt idx="54">
                  <c:v>51.7</c:v>
                </c:pt>
                <c:pt idx="55">
                  <c:v>54.4</c:v>
                </c:pt>
                <c:pt idx="56">
                  <c:v>53.5</c:v>
                </c:pt>
                <c:pt idx="57">
                  <c:v>58.2</c:v>
                </c:pt>
                <c:pt idx="58">
                  <c:v>58.8</c:v>
                </c:pt>
                <c:pt idx="59">
                  <c:v>63.8</c:v>
                </c:pt>
                <c:pt idx="60">
                  <c:v>63</c:v>
                </c:pt>
                <c:pt idx="61">
                  <c:v>67.8</c:v>
                </c:pt>
                <c:pt idx="62">
                  <c:v>67.5</c:v>
                </c:pt>
                <c:pt idx="63">
                  <c:v>68.7</c:v>
                </c:pt>
                <c:pt idx="64">
                  <c:v>69.5</c:v>
                </c:pt>
                <c:pt idx="65">
                  <c:v>63.3</c:v>
                </c:pt>
                <c:pt idx="66">
                  <c:v>66.2</c:v>
                </c:pt>
                <c:pt idx="67">
                  <c:v>64.8</c:v>
                </c:pt>
                <c:pt idx="68">
                  <c:v>62.4</c:v>
                </c:pt>
                <c:pt idx="69">
                  <c:v>63.7</c:v>
                </c:pt>
                <c:pt idx="70">
                  <c:v>62</c:v>
                </c:pt>
                <c:pt idx="71">
                  <c:v>65.599999999999994</c:v>
                </c:pt>
                <c:pt idx="72">
                  <c:v>60.2</c:v>
                </c:pt>
                <c:pt idx="73">
                  <c:v>58.2</c:v>
                </c:pt>
                <c:pt idx="74">
                  <c:v>57.2</c:v>
                </c:pt>
                <c:pt idx="75">
                  <c:v>55.9</c:v>
                </c:pt>
                <c:pt idx="76">
                  <c:v>51.2</c:v>
                </c:pt>
                <c:pt idx="77">
                  <c:v>47.7</c:v>
                </c:pt>
                <c:pt idx="78">
                  <c:v>44.2</c:v>
                </c:pt>
                <c:pt idx="79">
                  <c:v>51.5</c:v>
                </c:pt>
                <c:pt idx="80">
                  <c:v>55.5</c:v>
                </c:pt>
                <c:pt idx="81">
                  <c:v>52.7</c:v>
                </c:pt>
                <c:pt idx="82">
                  <c:v>55</c:v>
                </c:pt>
                <c:pt idx="83">
                  <c:v>52.7</c:v>
                </c:pt>
                <c:pt idx="84">
                  <c:v>53.6</c:v>
                </c:pt>
                <c:pt idx="85">
                  <c:v>51</c:v>
                </c:pt>
                <c:pt idx="86">
                  <c:v>47.5</c:v>
                </c:pt>
                <c:pt idx="87">
                  <c:v>43.1</c:v>
                </c:pt>
                <c:pt idx="88">
                  <c:v>43.4</c:v>
                </c:pt>
                <c:pt idx="89">
                  <c:v>45.9</c:v>
                </c:pt>
                <c:pt idx="90">
                  <c:v>45.7</c:v>
                </c:pt>
                <c:pt idx="91">
                  <c:v>45.3</c:v>
                </c:pt>
                <c:pt idx="92">
                  <c:v>45.8</c:v>
                </c:pt>
                <c:pt idx="93">
                  <c:v>41.1</c:v>
                </c:pt>
                <c:pt idx="94">
                  <c:v>40.4</c:v>
                </c:pt>
                <c:pt idx="95">
                  <c:v>36.799999999999997</c:v>
                </c:pt>
                <c:pt idx="96">
                  <c:v>33.4</c:v>
                </c:pt>
                <c:pt idx="97">
                  <c:v>37.200000000000003</c:v>
                </c:pt>
                <c:pt idx="98">
                  <c:v>39.799999999999997</c:v>
                </c:pt>
                <c:pt idx="99">
                  <c:v>39.1</c:v>
                </c:pt>
                <c:pt idx="100">
                  <c:v>46.6</c:v>
                </c:pt>
                <c:pt idx="101">
                  <c:v>51.4</c:v>
                </c:pt>
                <c:pt idx="102">
                  <c:v>54.7</c:v>
                </c:pt>
                <c:pt idx="103">
                  <c:v>57.3</c:v>
                </c:pt>
                <c:pt idx="104">
                  <c:v>59.8</c:v>
                </c:pt>
                <c:pt idx="105">
                  <c:v>62.3</c:v>
                </c:pt>
                <c:pt idx="106">
                  <c:v>62.7</c:v>
                </c:pt>
                <c:pt idx="107">
                  <c:v>60.5</c:v>
                </c:pt>
                <c:pt idx="108">
                  <c:v>64.400000000000006</c:v>
                </c:pt>
                <c:pt idx="109">
                  <c:v>66.900000000000006</c:v>
                </c:pt>
                <c:pt idx="110">
                  <c:v>67.099999999999994</c:v>
                </c:pt>
                <c:pt idx="111">
                  <c:v>66.900000000000006</c:v>
                </c:pt>
                <c:pt idx="112">
                  <c:v>68.2</c:v>
                </c:pt>
                <c:pt idx="113">
                  <c:v>64.400000000000006</c:v>
                </c:pt>
                <c:pt idx="114">
                  <c:v>61.5</c:v>
                </c:pt>
                <c:pt idx="115">
                  <c:v>55.1</c:v>
                </c:pt>
                <c:pt idx="116">
                  <c:v>48.3</c:v>
                </c:pt>
                <c:pt idx="117">
                  <c:v>49.7</c:v>
                </c:pt>
                <c:pt idx="118">
                  <c:v>50.6</c:v>
                </c:pt>
                <c:pt idx="119">
                  <c:v>58.2</c:v>
                </c:pt>
                <c:pt idx="120">
                  <c:v>61.5</c:v>
                </c:pt>
                <c:pt idx="121">
                  <c:v>52.3</c:v>
                </c:pt>
                <c:pt idx="122">
                  <c:v>47.8</c:v>
                </c:pt>
                <c:pt idx="123">
                  <c:v>45.3</c:v>
                </c:pt>
                <c:pt idx="124">
                  <c:v>42.6</c:v>
                </c:pt>
                <c:pt idx="125">
                  <c:v>44.4</c:v>
                </c:pt>
                <c:pt idx="126">
                  <c:v>43.7</c:v>
                </c:pt>
                <c:pt idx="127">
                  <c:v>47.6</c:v>
                </c:pt>
                <c:pt idx="128">
                  <c:v>45.4</c:v>
                </c:pt>
                <c:pt idx="129">
                  <c:v>46</c:v>
                </c:pt>
                <c:pt idx="130">
                  <c:v>44.3</c:v>
                </c:pt>
                <c:pt idx="131">
                  <c:v>44.3</c:v>
                </c:pt>
                <c:pt idx="132">
                  <c:v>43.9</c:v>
                </c:pt>
                <c:pt idx="133">
                  <c:v>43.6</c:v>
                </c:pt>
                <c:pt idx="134">
                  <c:v>49.1</c:v>
                </c:pt>
                <c:pt idx="135">
                  <c:v>57.6</c:v>
                </c:pt>
                <c:pt idx="136">
                  <c:v>58.9</c:v>
                </c:pt>
                <c:pt idx="137">
                  <c:v>58.1</c:v>
                </c:pt>
                <c:pt idx="138">
                  <c:v>58.2</c:v>
                </c:pt>
                <c:pt idx="139">
                  <c:v>60.7</c:v>
                </c:pt>
                <c:pt idx="140">
                  <c:v>63</c:v>
                </c:pt>
                <c:pt idx="141">
                  <c:v>62.2</c:v>
                </c:pt>
                <c:pt idx="142">
                  <c:v>59</c:v>
                </c:pt>
                <c:pt idx="143">
                  <c:v>64.2</c:v>
                </c:pt>
                <c:pt idx="144">
                  <c:v>60.9</c:v>
                </c:pt>
                <c:pt idx="145">
                  <c:v>61.1</c:v>
                </c:pt>
                <c:pt idx="146">
                  <c:v>60.6</c:v>
                </c:pt>
                <c:pt idx="147">
                  <c:v>55.1</c:v>
                </c:pt>
                <c:pt idx="148">
                  <c:v>52.2</c:v>
                </c:pt>
                <c:pt idx="149">
                  <c:v>50.8</c:v>
                </c:pt>
                <c:pt idx="150">
                  <c:v>51</c:v>
                </c:pt>
                <c:pt idx="151">
                  <c:v>49.5</c:v>
                </c:pt>
                <c:pt idx="152">
                  <c:v>50</c:v>
                </c:pt>
                <c:pt idx="153">
                  <c:v>51.2</c:v>
                </c:pt>
                <c:pt idx="154">
                  <c:v>53.8</c:v>
                </c:pt>
                <c:pt idx="155">
                  <c:v>57.2</c:v>
                </c:pt>
                <c:pt idx="156">
                  <c:v>55.2</c:v>
                </c:pt>
                <c:pt idx="157">
                  <c:v>55.1</c:v>
                </c:pt>
                <c:pt idx="158">
                  <c:v>54.7</c:v>
                </c:pt>
                <c:pt idx="159">
                  <c:v>57.6</c:v>
                </c:pt>
                <c:pt idx="160">
                  <c:v>59.8</c:v>
                </c:pt>
                <c:pt idx="161">
                  <c:v>58.2</c:v>
                </c:pt>
                <c:pt idx="162">
                  <c:v>55.5</c:v>
                </c:pt>
                <c:pt idx="163">
                  <c:v>55.1</c:v>
                </c:pt>
                <c:pt idx="164">
                  <c:v>56.9</c:v>
                </c:pt>
                <c:pt idx="165">
                  <c:v>57.7</c:v>
                </c:pt>
                <c:pt idx="166">
                  <c:v>57.5</c:v>
                </c:pt>
                <c:pt idx="167">
                  <c:v>54</c:v>
                </c:pt>
                <c:pt idx="168">
                  <c:v>57.1</c:v>
                </c:pt>
                <c:pt idx="169">
                  <c:v>57.9</c:v>
                </c:pt>
                <c:pt idx="170">
                  <c:v>60.2</c:v>
                </c:pt>
                <c:pt idx="171">
                  <c:v>59.2</c:v>
                </c:pt>
                <c:pt idx="172">
                  <c:v>58.7</c:v>
                </c:pt>
                <c:pt idx="173">
                  <c:v>60.1</c:v>
                </c:pt>
                <c:pt idx="174">
                  <c:v>62.9</c:v>
                </c:pt>
                <c:pt idx="175">
                  <c:v>63.3</c:v>
                </c:pt>
                <c:pt idx="176">
                  <c:v>63.3</c:v>
                </c:pt>
                <c:pt idx="177">
                  <c:v>60.7</c:v>
                </c:pt>
                <c:pt idx="178">
                  <c:v>61.8</c:v>
                </c:pt>
                <c:pt idx="179">
                  <c:v>62.4</c:v>
                </c:pt>
                <c:pt idx="180">
                  <c:v>61</c:v>
                </c:pt>
                <c:pt idx="181">
                  <c:v>62.1</c:v>
                </c:pt>
                <c:pt idx="182">
                  <c:v>64.900000000000006</c:v>
                </c:pt>
                <c:pt idx="183">
                  <c:v>62</c:v>
                </c:pt>
                <c:pt idx="184">
                  <c:v>61.3</c:v>
                </c:pt>
                <c:pt idx="185">
                  <c:v>58.7</c:v>
                </c:pt>
                <c:pt idx="186">
                  <c:v>58.1</c:v>
                </c:pt>
                <c:pt idx="187">
                  <c:v>58.1</c:v>
                </c:pt>
                <c:pt idx="188">
                  <c:v>61</c:v>
                </c:pt>
                <c:pt idx="189">
                  <c:v>58.6</c:v>
                </c:pt>
                <c:pt idx="190">
                  <c:v>59.4</c:v>
                </c:pt>
                <c:pt idx="191">
                  <c:v>62.8</c:v>
                </c:pt>
                <c:pt idx="192">
                  <c:v>65.8</c:v>
                </c:pt>
                <c:pt idx="193">
                  <c:v>65.5</c:v>
                </c:pt>
                <c:pt idx="194">
                  <c:v>65.7</c:v>
                </c:pt>
                <c:pt idx="195">
                  <c:v>64.2</c:v>
                </c:pt>
                <c:pt idx="196">
                  <c:v>57.7</c:v>
                </c:pt>
                <c:pt idx="197">
                  <c:v>59</c:v>
                </c:pt>
                <c:pt idx="198">
                  <c:v>60.3</c:v>
                </c:pt>
                <c:pt idx="199">
                  <c:v>58.5</c:v>
                </c:pt>
                <c:pt idx="200">
                  <c:v>58.7</c:v>
                </c:pt>
                <c:pt idx="201">
                  <c:v>57.2</c:v>
                </c:pt>
                <c:pt idx="202">
                  <c:v>53.7</c:v>
                </c:pt>
                <c:pt idx="203">
                  <c:v>52.4</c:v>
                </c:pt>
                <c:pt idx="204">
                  <c:v>49.1</c:v>
                </c:pt>
                <c:pt idx="205">
                  <c:v>47.6</c:v>
                </c:pt>
                <c:pt idx="206">
                  <c:v>45.3</c:v>
                </c:pt>
                <c:pt idx="207">
                  <c:v>42.8</c:v>
                </c:pt>
                <c:pt idx="208">
                  <c:v>44.5</c:v>
                </c:pt>
                <c:pt idx="209">
                  <c:v>46.8</c:v>
                </c:pt>
                <c:pt idx="210">
                  <c:v>49.5</c:v>
                </c:pt>
                <c:pt idx="211">
                  <c:v>52.2</c:v>
                </c:pt>
                <c:pt idx="212">
                  <c:v>54.9</c:v>
                </c:pt>
                <c:pt idx="213">
                  <c:v>54.1</c:v>
                </c:pt>
                <c:pt idx="214">
                  <c:v>54.2</c:v>
                </c:pt>
                <c:pt idx="215">
                  <c:v>55.6</c:v>
                </c:pt>
                <c:pt idx="216">
                  <c:v>56.6</c:v>
                </c:pt>
                <c:pt idx="217">
                  <c:v>55</c:v>
                </c:pt>
                <c:pt idx="218">
                  <c:v>53.8</c:v>
                </c:pt>
                <c:pt idx="219">
                  <c:v>58</c:v>
                </c:pt>
                <c:pt idx="220">
                  <c:v>55.3</c:v>
                </c:pt>
                <c:pt idx="221">
                  <c:v>53.5</c:v>
                </c:pt>
                <c:pt idx="222">
                  <c:v>54.1</c:v>
                </c:pt>
                <c:pt idx="223">
                  <c:v>52.7</c:v>
                </c:pt>
                <c:pt idx="224">
                  <c:v>51.8</c:v>
                </c:pt>
                <c:pt idx="225">
                  <c:v>55.8</c:v>
                </c:pt>
                <c:pt idx="226">
                  <c:v>58.1</c:v>
                </c:pt>
                <c:pt idx="227">
                  <c:v>56.1</c:v>
                </c:pt>
                <c:pt idx="228">
                  <c:v>54.9</c:v>
                </c:pt>
                <c:pt idx="229">
                  <c:v>57</c:v>
                </c:pt>
                <c:pt idx="230">
                  <c:v>57.1</c:v>
                </c:pt>
                <c:pt idx="231">
                  <c:v>55.2</c:v>
                </c:pt>
                <c:pt idx="232">
                  <c:v>56.7</c:v>
                </c:pt>
                <c:pt idx="233">
                  <c:v>55.5</c:v>
                </c:pt>
                <c:pt idx="234">
                  <c:v>53.1</c:v>
                </c:pt>
                <c:pt idx="235">
                  <c:v>54.8</c:v>
                </c:pt>
                <c:pt idx="236">
                  <c:v>54.1</c:v>
                </c:pt>
                <c:pt idx="237">
                  <c:v>54.6</c:v>
                </c:pt>
                <c:pt idx="238">
                  <c:v>53.2</c:v>
                </c:pt>
                <c:pt idx="239">
                  <c:v>52</c:v>
                </c:pt>
                <c:pt idx="240">
                  <c:v>48.7</c:v>
                </c:pt>
                <c:pt idx="241">
                  <c:v>47.4</c:v>
                </c:pt>
                <c:pt idx="242">
                  <c:v>46.9</c:v>
                </c:pt>
                <c:pt idx="243">
                  <c:v>45</c:v>
                </c:pt>
                <c:pt idx="244">
                  <c:v>47.2</c:v>
                </c:pt>
                <c:pt idx="245">
                  <c:v>51.1</c:v>
                </c:pt>
                <c:pt idx="246">
                  <c:v>49.5</c:v>
                </c:pt>
                <c:pt idx="247">
                  <c:v>47.3</c:v>
                </c:pt>
                <c:pt idx="248">
                  <c:v>44.1</c:v>
                </c:pt>
                <c:pt idx="249">
                  <c:v>42.4</c:v>
                </c:pt>
                <c:pt idx="250">
                  <c:v>39.700000000000003</c:v>
                </c:pt>
                <c:pt idx="251">
                  <c:v>45.4</c:v>
                </c:pt>
                <c:pt idx="252">
                  <c:v>47.9</c:v>
                </c:pt>
                <c:pt idx="253">
                  <c:v>54.8</c:v>
                </c:pt>
                <c:pt idx="254">
                  <c:v>51.2</c:v>
                </c:pt>
                <c:pt idx="255">
                  <c:v>54.5</c:v>
                </c:pt>
                <c:pt idx="256">
                  <c:v>54.2</c:v>
                </c:pt>
                <c:pt idx="257">
                  <c:v>53.8</c:v>
                </c:pt>
                <c:pt idx="258">
                  <c:v>54.4</c:v>
                </c:pt>
                <c:pt idx="259">
                  <c:v>53.6</c:v>
                </c:pt>
                <c:pt idx="260">
                  <c:v>55.1</c:v>
                </c:pt>
                <c:pt idx="261">
                  <c:v>55</c:v>
                </c:pt>
                <c:pt idx="262">
                  <c:v>52.3</c:v>
                </c:pt>
                <c:pt idx="263">
                  <c:v>57.6</c:v>
                </c:pt>
                <c:pt idx="264">
                  <c:v>59.6</c:v>
                </c:pt>
                <c:pt idx="265">
                  <c:v>60.6</c:v>
                </c:pt>
                <c:pt idx="266">
                  <c:v>59.8</c:v>
                </c:pt>
                <c:pt idx="267">
                  <c:v>59.3</c:v>
                </c:pt>
                <c:pt idx="268">
                  <c:v>61.4</c:v>
                </c:pt>
                <c:pt idx="269">
                  <c:v>58.6</c:v>
                </c:pt>
                <c:pt idx="270">
                  <c:v>60.1</c:v>
                </c:pt>
                <c:pt idx="271">
                  <c:v>61.7</c:v>
                </c:pt>
                <c:pt idx="272">
                  <c:v>65.099999999999994</c:v>
                </c:pt>
                <c:pt idx="273">
                  <c:v>67</c:v>
                </c:pt>
                <c:pt idx="274">
                  <c:v>69.900000000000006</c:v>
                </c:pt>
                <c:pt idx="275">
                  <c:v>70.5</c:v>
                </c:pt>
                <c:pt idx="276">
                  <c:v>72.099999999999994</c:v>
                </c:pt>
                <c:pt idx="277">
                  <c:v>69.599999999999994</c:v>
                </c:pt>
                <c:pt idx="278">
                  <c:v>69.599999999999994</c:v>
                </c:pt>
                <c:pt idx="279">
                  <c:v>67.7</c:v>
                </c:pt>
                <c:pt idx="280">
                  <c:v>64.8</c:v>
                </c:pt>
                <c:pt idx="281">
                  <c:v>65</c:v>
                </c:pt>
                <c:pt idx="282">
                  <c:v>57.8</c:v>
                </c:pt>
                <c:pt idx="283">
                  <c:v>62.7</c:v>
                </c:pt>
                <c:pt idx="284">
                  <c:v>63.5</c:v>
                </c:pt>
                <c:pt idx="285">
                  <c:v>66.2</c:v>
                </c:pt>
                <c:pt idx="286">
                  <c:v>68.099999999999994</c:v>
                </c:pt>
                <c:pt idx="287">
                  <c:v>63.6</c:v>
                </c:pt>
                <c:pt idx="288">
                  <c:v>62.1</c:v>
                </c:pt>
                <c:pt idx="289">
                  <c:v>58.6</c:v>
                </c:pt>
                <c:pt idx="290">
                  <c:v>61.8</c:v>
                </c:pt>
                <c:pt idx="291">
                  <c:v>59.9</c:v>
                </c:pt>
                <c:pt idx="292">
                  <c:v>55.7</c:v>
                </c:pt>
                <c:pt idx="293">
                  <c:v>54.7</c:v>
                </c:pt>
                <c:pt idx="294">
                  <c:v>54.8</c:v>
                </c:pt>
                <c:pt idx="295">
                  <c:v>52.9</c:v>
                </c:pt>
                <c:pt idx="296">
                  <c:v>46.2</c:v>
                </c:pt>
                <c:pt idx="297">
                  <c:v>42.7</c:v>
                </c:pt>
                <c:pt idx="298">
                  <c:v>37.9</c:v>
                </c:pt>
                <c:pt idx="299">
                  <c:v>30.9</c:v>
                </c:pt>
                <c:pt idx="300">
                  <c:v>30.7</c:v>
                </c:pt>
                <c:pt idx="301">
                  <c:v>34.4</c:v>
                </c:pt>
                <c:pt idx="302">
                  <c:v>31.6</c:v>
                </c:pt>
                <c:pt idx="303">
                  <c:v>37.5</c:v>
                </c:pt>
                <c:pt idx="304">
                  <c:v>41.2</c:v>
                </c:pt>
                <c:pt idx="305">
                  <c:v>45.1</c:v>
                </c:pt>
                <c:pt idx="306">
                  <c:v>47.2</c:v>
                </c:pt>
                <c:pt idx="307">
                  <c:v>51.4</c:v>
                </c:pt>
                <c:pt idx="308">
                  <c:v>54.4</c:v>
                </c:pt>
                <c:pt idx="309">
                  <c:v>55.5</c:v>
                </c:pt>
                <c:pt idx="310">
                  <c:v>54.5</c:v>
                </c:pt>
                <c:pt idx="311">
                  <c:v>54.9</c:v>
                </c:pt>
                <c:pt idx="312">
                  <c:v>58.8</c:v>
                </c:pt>
                <c:pt idx="313">
                  <c:v>61.5</c:v>
                </c:pt>
                <c:pt idx="314">
                  <c:v>58.4</c:v>
                </c:pt>
                <c:pt idx="315">
                  <c:v>60.6</c:v>
                </c:pt>
                <c:pt idx="316">
                  <c:v>58.8</c:v>
                </c:pt>
                <c:pt idx="317">
                  <c:v>58.2</c:v>
                </c:pt>
                <c:pt idx="318">
                  <c:v>55.9</c:v>
                </c:pt>
                <c:pt idx="319">
                  <c:v>54.5</c:v>
                </c:pt>
                <c:pt idx="320">
                  <c:v>53.6</c:v>
                </c:pt>
                <c:pt idx="321">
                  <c:v>53.5</c:v>
                </c:pt>
                <c:pt idx="322">
                  <c:v>51.7</c:v>
                </c:pt>
                <c:pt idx="323">
                  <c:v>56.6</c:v>
                </c:pt>
                <c:pt idx="324">
                  <c:v>54.8</c:v>
                </c:pt>
                <c:pt idx="325">
                  <c:v>55</c:v>
                </c:pt>
                <c:pt idx="326">
                  <c:v>58.4</c:v>
                </c:pt>
                <c:pt idx="327">
                  <c:v>56.9</c:v>
                </c:pt>
                <c:pt idx="328">
                  <c:v>59.7</c:v>
                </c:pt>
                <c:pt idx="329">
                  <c:v>56.8</c:v>
                </c:pt>
                <c:pt idx="330">
                  <c:v>57.7</c:v>
                </c:pt>
                <c:pt idx="331">
                  <c:v>54.9</c:v>
                </c:pt>
                <c:pt idx="332">
                  <c:v>53.9</c:v>
                </c:pt>
                <c:pt idx="333">
                  <c:v>55.4</c:v>
                </c:pt>
                <c:pt idx="334">
                  <c:v>56.1</c:v>
                </c:pt>
                <c:pt idx="335">
                  <c:v>59.8</c:v>
                </c:pt>
                <c:pt idx="336">
                  <c:v>57.4</c:v>
                </c:pt>
                <c:pt idx="337">
                  <c:v>55.9</c:v>
                </c:pt>
                <c:pt idx="338">
                  <c:v>55</c:v>
                </c:pt>
                <c:pt idx="339">
                  <c:v>57.7</c:v>
                </c:pt>
                <c:pt idx="340">
                  <c:v>60.2</c:v>
                </c:pt>
                <c:pt idx="341">
                  <c:v>60.5</c:v>
                </c:pt>
                <c:pt idx="342">
                  <c:v>62.2</c:v>
                </c:pt>
                <c:pt idx="343">
                  <c:v>60.3</c:v>
                </c:pt>
                <c:pt idx="344">
                  <c:v>60.5</c:v>
                </c:pt>
                <c:pt idx="345">
                  <c:v>60.1</c:v>
                </c:pt>
                <c:pt idx="346">
                  <c:v>61.3</c:v>
                </c:pt>
                <c:pt idx="347">
                  <c:v>59.4</c:v>
                </c:pt>
                <c:pt idx="348">
                  <c:v>58.5</c:v>
                </c:pt>
                <c:pt idx="349">
                  <c:v>58.2</c:v>
                </c:pt>
                <c:pt idx="350">
                  <c:v>57.7</c:v>
                </c:pt>
                <c:pt idx="351">
                  <c:v>56.2</c:v>
                </c:pt>
                <c:pt idx="352">
                  <c:v>54.4</c:v>
                </c:pt>
                <c:pt idx="353">
                  <c:v>52.7</c:v>
                </c:pt>
                <c:pt idx="354">
                  <c:v>51.3</c:v>
                </c:pt>
                <c:pt idx="355">
                  <c:v>49.5</c:v>
                </c:pt>
                <c:pt idx="356">
                  <c:v>49.6</c:v>
                </c:pt>
                <c:pt idx="357">
                  <c:v>49</c:v>
                </c:pt>
                <c:pt idx="358">
                  <c:v>48</c:v>
                </c:pt>
                <c:pt idx="359">
                  <c:v>44.8</c:v>
                </c:pt>
                <c:pt idx="360">
                  <c:v>46.2</c:v>
                </c:pt>
                <c:pt idx="361">
                  <c:v>50.2</c:v>
                </c:pt>
                <c:pt idx="362">
                  <c:v>43.6</c:v>
                </c:pt>
                <c:pt idx="363">
                  <c:v>37.4</c:v>
                </c:pt>
                <c:pt idx="364">
                  <c:v>29.4</c:v>
                </c:pt>
                <c:pt idx="365">
                  <c:v>30.3</c:v>
                </c:pt>
                <c:pt idx="366">
                  <c:v>35</c:v>
                </c:pt>
                <c:pt idx="367">
                  <c:v>45.5</c:v>
                </c:pt>
                <c:pt idx="368">
                  <c:v>50.1</c:v>
                </c:pt>
                <c:pt idx="369">
                  <c:v>55.5</c:v>
                </c:pt>
                <c:pt idx="370">
                  <c:v>58.2</c:v>
                </c:pt>
                <c:pt idx="371">
                  <c:v>53</c:v>
                </c:pt>
                <c:pt idx="372">
                  <c:v>49.2</c:v>
                </c:pt>
                <c:pt idx="373">
                  <c:v>48.8</c:v>
                </c:pt>
                <c:pt idx="374">
                  <c:v>49.6</c:v>
                </c:pt>
                <c:pt idx="375">
                  <c:v>51.6</c:v>
                </c:pt>
                <c:pt idx="376">
                  <c:v>53.5</c:v>
                </c:pt>
                <c:pt idx="377">
                  <c:v>50.7</c:v>
                </c:pt>
                <c:pt idx="378">
                  <c:v>46.7</c:v>
                </c:pt>
                <c:pt idx="379">
                  <c:v>48.3</c:v>
                </c:pt>
                <c:pt idx="380">
                  <c:v>42.5</c:v>
                </c:pt>
                <c:pt idx="381">
                  <c:v>40</c:v>
                </c:pt>
                <c:pt idx="382">
                  <c:v>36.1</c:v>
                </c:pt>
                <c:pt idx="383">
                  <c:v>37.799999999999997</c:v>
                </c:pt>
                <c:pt idx="384">
                  <c:v>38.200000000000003</c:v>
                </c:pt>
                <c:pt idx="385">
                  <c:v>38.299999999999997</c:v>
                </c:pt>
                <c:pt idx="386">
                  <c:v>36.799999999999997</c:v>
                </c:pt>
                <c:pt idx="387">
                  <c:v>37.799999999999997</c:v>
                </c:pt>
                <c:pt idx="388">
                  <c:v>35.5</c:v>
                </c:pt>
                <c:pt idx="389">
                  <c:v>38.299999999999997</c:v>
                </c:pt>
                <c:pt idx="390">
                  <c:v>38.4</c:v>
                </c:pt>
                <c:pt idx="391">
                  <c:v>38.299999999999997</c:v>
                </c:pt>
                <c:pt idx="392">
                  <c:v>38.799999999999997</c:v>
                </c:pt>
                <c:pt idx="393">
                  <c:v>39.4</c:v>
                </c:pt>
                <c:pt idx="394">
                  <c:v>39.200000000000003</c:v>
                </c:pt>
                <c:pt idx="395">
                  <c:v>42.8</c:v>
                </c:pt>
                <c:pt idx="396">
                  <c:v>46</c:v>
                </c:pt>
                <c:pt idx="397">
                  <c:v>54.4</c:v>
                </c:pt>
                <c:pt idx="398">
                  <c:v>53.9</c:v>
                </c:pt>
                <c:pt idx="399">
                  <c:v>54.2</c:v>
                </c:pt>
                <c:pt idx="400">
                  <c:v>56.1</c:v>
                </c:pt>
                <c:pt idx="401">
                  <c:v>57.5</c:v>
                </c:pt>
                <c:pt idx="402">
                  <c:v>63.6</c:v>
                </c:pt>
                <c:pt idx="403">
                  <c:v>63.1</c:v>
                </c:pt>
                <c:pt idx="404">
                  <c:v>62.5</c:v>
                </c:pt>
                <c:pt idx="405">
                  <c:v>64.400000000000006</c:v>
                </c:pt>
                <c:pt idx="406">
                  <c:v>66</c:v>
                </c:pt>
                <c:pt idx="407">
                  <c:v>69.900000000000006</c:v>
                </c:pt>
                <c:pt idx="408">
                  <c:v>60.5</c:v>
                </c:pt>
                <c:pt idx="409">
                  <c:v>61.3</c:v>
                </c:pt>
                <c:pt idx="410">
                  <c:v>58.9</c:v>
                </c:pt>
                <c:pt idx="411">
                  <c:v>61</c:v>
                </c:pt>
                <c:pt idx="412">
                  <c:v>58.6</c:v>
                </c:pt>
                <c:pt idx="413">
                  <c:v>58.1</c:v>
                </c:pt>
                <c:pt idx="414">
                  <c:v>56.1</c:v>
                </c:pt>
                <c:pt idx="415">
                  <c:v>53</c:v>
                </c:pt>
                <c:pt idx="416">
                  <c:v>50</c:v>
                </c:pt>
                <c:pt idx="417">
                  <c:v>50.8</c:v>
                </c:pt>
                <c:pt idx="418">
                  <c:v>50.3</c:v>
                </c:pt>
                <c:pt idx="419">
                  <c:v>50.6</c:v>
                </c:pt>
                <c:pt idx="420">
                  <c:v>50.3</c:v>
                </c:pt>
                <c:pt idx="421">
                  <c:v>49.9</c:v>
                </c:pt>
                <c:pt idx="422">
                  <c:v>47.8</c:v>
                </c:pt>
                <c:pt idx="423">
                  <c:v>48.2</c:v>
                </c:pt>
                <c:pt idx="424">
                  <c:v>47.1</c:v>
                </c:pt>
                <c:pt idx="425">
                  <c:v>47.8</c:v>
                </c:pt>
                <c:pt idx="426">
                  <c:v>47.9</c:v>
                </c:pt>
                <c:pt idx="427">
                  <c:v>47.7</c:v>
                </c:pt>
                <c:pt idx="428">
                  <c:v>49.9</c:v>
                </c:pt>
                <c:pt idx="429">
                  <c:v>50.9</c:v>
                </c:pt>
                <c:pt idx="430">
                  <c:v>52</c:v>
                </c:pt>
                <c:pt idx="431">
                  <c:v>50.7</c:v>
                </c:pt>
                <c:pt idx="432">
                  <c:v>51.2</c:v>
                </c:pt>
                <c:pt idx="433">
                  <c:v>51</c:v>
                </c:pt>
                <c:pt idx="434">
                  <c:v>51</c:v>
                </c:pt>
                <c:pt idx="435">
                  <c:v>49.7</c:v>
                </c:pt>
                <c:pt idx="436">
                  <c:v>53.4</c:v>
                </c:pt>
                <c:pt idx="437">
                  <c:v>50.5</c:v>
                </c:pt>
                <c:pt idx="438">
                  <c:v>48</c:v>
                </c:pt>
                <c:pt idx="439">
                  <c:v>52.6</c:v>
                </c:pt>
                <c:pt idx="440">
                  <c:v>52.4</c:v>
                </c:pt>
                <c:pt idx="441">
                  <c:v>51.2</c:v>
                </c:pt>
                <c:pt idx="442">
                  <c:v>51.2</c:v>
                </c:pt>
                <c:pt idx="443">
                  <c:v>50.5</c:v>
                </c:pt>
                <c:pt idx="444">
                  <c:v>54.9</c:v>
                </c:pt>
                <c:pt idx="445">
                  <c:v>52.6</c:v>
                </c:pt>
                <c:pt idx="446">
                  <c:v>55</c:v>
                </c:pt>
                <c:pt idx="447">
                  <c:v>55.5</c:v>
                </c:pt>
                <c:pt idx="448">
                  <c:v>57.2</c:v>
                </c:pt>
                <c:pt idx="449">
                  <c:v>57.4</c:v>
                </c:pt>
                <c:pt idx="450">
                  <c:v>57.5</c:v>
                </c:pt>
                <c:pt idx="451">
                  <c:v>59.3</c:v>
                </c:pt>
                <c:pt idx="452">
                  <c:v>60</c:v>
                </c:pt>
                <c:pt idx="453">
                  <c:v>60.7</c:v>
                </c:pt>
                <c:pt idx="454">
                  <c:v>58.8</c:v>
                </c:pt>
                <c:pt idx="455">
                  <c:v>61</c:v>
                </c:pt>
                <c:pt idx="456">
                  <c:v>57.5</c:v>
                </c:pt>
                <c:pt idx="457">
                  <c:v>56.2</c:v>
                </c:pt>
                <c:pt idx="458">
                  <c:v>54.6</c:v>
                </c:pt>
                <c:pt idx="459">
                  <c:v>55.8</c:v>
                </c:pt>
                <c:pt idx="460">
                  <c:v>55.5</c:v>
                </c:pt>
                <c:pt idx="461">
                  <c:v>59.3</c:v>
                </c:pt>
                <c:pt idx="462">
                  <c:v>58.2</c:v>
                </c:pt>
                <c:pt idx="463">
                  <c:v>56</c:v>
                </c:pt>
                <c:pt idx="464">
                  <c:v>54.5</c:v>
                </c:pt>
                <c:pt idx="465">
                  <c:v>55.4</c:v>
                </c:pt>
                <c:pt idx="466">
                  <c:v>55.6</c:v>
                </c:pt>
                <c:pt idx="467">
                  <c:v>56</c:v>
                </c:pt>
                <c:pt idx="468">
                  <c:v>54.7</c:v>
                </c:pt>
                <c:pt idx="469">
                  <c:v>54.1</c:v>
                </c:pt>
                <c:pt idx="470">
                  <c:v>51.5</c:v>
                </c:pt>
                <c:pt idx="471">
                  <c:v>52.2</c:v>
                </c:pt>
                <c:pt idx="472">
                  <c:v>49.3</c:v>
                </c:pt>
                <c:pt idx="473">
                  <c:v>47.3</c:v>
                </c:pt>
                <c:pt idx="474">
                  <c:v>45.9</c:v>
                </c:pt>
                <c:pt idx="475">
                  <c:v>45.1</c:v>
                </c:pt>
                <c:pt idx="476">
                  <c:v>46</c:v>
                </c:pt>
                <c:pt idx="477">
                  <c:v>46.8</c:v>
                </c:pt>
                <c:pt idx="478">
                  <c:v>46.8</c:v>
                </c:pt>
                <c:pt idx="479">
                  <c:v>47.4</c:v>
                </c:pt>
                <c:pt idx="480">
                  <c:v>47.2</c:v>
                </c:pt>
                <c:pt idx="481">
                  <c:v>49.1</c:v>
                </c:pt>
                <c:pt idx="482">
                  <c:v>49.9</c:v>
                </c:pt>
                <c:pt idx="483">
                  <c:v>50</c:v>
                </c:pt>
                <c:pt idx="484">
                  <c:v>49.5</c:v>
                </c:pt>
                <c:pt idx="485">
                  <c:v>49.2</c:v>
                </c:pt>
                <c:pt idx="486">
                  <c:v>46.6</c:v>
                </c:pt>
                <c:pt idx="487">
                  <c:v>46.1</c:v>
                </c:pt>
                <c:pt idx="488">
                  <c:v>44.5</c:v>
                </c:pt>
                <c:pt idx="489">
                  <c:v>43.2</c:v>
                </c:pt>
                <c:pt idx="490">
                  <c:v>41.3</c:v>
                </c:pt>
                <c:pt idx="491">
                  <c:v>40.799999999999997</c:v>
                </c:pt>
                <c:pt idx="492">
                  <c:v>39.200000000000003</c:v>
                </c:pt>
                <c:pt idx="493">
                  <c:v>39.4</c:v>
                </c:pt>
                <c:pt idx="494">
                  <c:v>40.700000000000003</c:v>
                </c:pt>
                <c:pt idx="495">
                  <c:v>42.8</c:v>
                </c:pt>
                <c:pt idx="496">
                  <c:v>44.5</c:v>
                </c:pt>
                <c:pt idx="497">
                  <c:v>50.3</c:v>
                </c:pt>
                <c:pt idx="498">
                  <c:v>50.6</c:v>
                </c:pt>
                <c:pt idx="499">
                  <c:v>52.9</c:v>
                </c:pt>
                <c:pt idx="500">
                  <c:v>54.9</c:v>
                </c:pt>
                <c:pt idx="501">
                  <c:v>53.1</c:v>
                </c:pt>
                <c:pt idx="502">
                  <c:v>49.5</c:v>
                </c:pt>
                <c:pt idx="503">
                  <c:v>46.8</c:v>
                </c:pt>
                <c:pt idx="504">
                  <c:v>47.3</c:v>
                </c:pt>
                <c:pt idx="505">
                  <c:v>52.7</c:v>
                </c:pt>
                <c:pt idx="506">
                  <c:v>54.6</c:v>
                </c:pt>
                <c:pt idx="507">
                  <c:v>52.6</c:v>
                </c:pt>
                <c:pt idx="508">
                  <c:v>55.7</c:v>
                </c:pt>
                <c:pt idx="509">
                  <c:v>53.6</c:v>
                </c:pt>
                <c:pt idx="510">
                  <c:v>53.9</c:v>
                </c:pt>
                <c:pt idx="511">
                  <c:v>53.4</c:v>
                </c:pt>
                <c:pt idx="512">
                  <c:v>49.7</c:v>
                </c:pt>
                <c:pt idx="513">
                  <c:v>50.3</c:v>
                </c:pt>
                <c:pt idx="514">
                  <c:v>53.6</c:v>
                </c:pt>
                <c:pt idx="515">
                  <c:v>54.2</c:v>
                </c:pt>
                <c:pt idx="516">
                  <c:v>55.8</c:v>
                </c:pt>
                <c:pt idx="517">
                  <c:v>55.2</c:v>
                </c:pt>
                <c:pt idx="518">
                  <c:v>53.5</c:v>
                </c:pt>
                <c:pt idx="519">
                  <c:v>50.2</c:v>
                </c:pt>
                <c:pt idx="520">
                  <c:v>51.2</c:v>
                </c:pt>
                <c:pt idx="521">
                  <c:v>49.6</c:v>
                </c:pt>
                <c:pt idx="522">
                  <c:v>50.2</c:v>
                </c:pt>
                <c:pt idx="523">
                  <c:v>50.7</c:v>
                </c:pt>
                <c:pt idx="524">
                  <c:v>50.8</c:v>
                </c:pt>
                <c:pt idx="525">
                  <c:v>53.4</c:v>
                </c:pt>
                <c:pt idx="526">
                  <c:v>53.8</c:v>
                </c:pt>
                <c:pt idx="527">
                  <c:v>55.6</c:v>
                </c:pt>
                <c:pt idx="528">
                  <c:v>56</c:v>
                </c:pt>
                <c:pt idx="529">
                  <c:v>56.5</c:v>
                </c:pt>
                <c:pt idx="530">
                  <c:v>56.9</c:v>
                </c:pt>
                <c:pt idx="531">
                  <c:v>57.4</c:v>
                </c:pt>
                <c:pt idx="532">
                  <c:v>58.2</c:v>
                </c:pt>
                <c:pt idx="533">
                  <c:v>58.8</c:v>
                </c:pt>
                <c:pt idx="534">
                  <c:v>58.5</c:v>
                </c:pt>
                <c:pt idx="535">
                  <c:v>58</c:v>
                </c:pt>
                <c:pt idx="536">
                  <c:v>59</c:v>
                </c:pt>
                <c:pt idx="537">
                  <c:v>59.4</c:v>
                </c:pt>
                <c:pt idx="538">
                  <c:v>59.2</c:v>
                </c:pt>
                <c:pt idx="539">
                  <c:v>56.1</c:v>
                </c:pt>
                <c:pt idx="540">
                  <c:v>57.4</c:v>
                </c:pt>
                <c:pt idx="541">
                  <c:v>55.1</c:v>
                </c:pt>
                <c:pt idx="542">
                  <c:v>52.1</c:v>
                </c:pt>
                <c:pt idx="543">
                  <c:v>51.5</c:v>
                </c:pt>
                <c:pt idx="544">
                  <c:v>46.7</c:v>
                </c:pt>
                <c:pt idx="545">
                  <c:v>45.9</c:v>
                </c:pt>
                <c:pt idx="546">
                  <c:v>50.7</c:v>
                </c:pt>
                <c:pt idx="547">
                  <c:v>47.1</c:v>
                </c:pt>
                <c:pt idx="548">
                  <c:v>48.1</c:v>
                </c:pt>
                <c:pt idx="549">
                  <c:v>46.7</c:v>
                </c:pt>
                <c:pt idx="550">
                  <c:v>45.9</c:v>
                </c:pt>
                <c:pt idx="551">
                  <c:v>46.2</c:v>
                </c:pt>
                <c:pt idx="552">
                  <c:v>45.5</c:v>
                </c:pt>
                <c:pt idx="553">
                  <c:v>45.9</c:v>
                </c:pt>
                <c:pt idx="554">
                  <c:v>46.9</c:v>
                </c:pt>
                <c:pt idx="555">
                  <c:v>49.3</c:v>
                </c:pt>
                <c:pt idx="556">
                  <c:v>49.1</c:v>
                </c:pt>
                <c:pt idx="557">
                  <c:v>53.6</c:v>
                </c:pt>
                <c:pt idx="558">
                  <c:v>49.7</c:v>
                </c:pt>
                <c:pt idx="559">
                  <c:v>51.6</c:v>
                </c:pt>
                <c:pt idx="560">
                  <c:v>51.1</c:v>
                </c:pt>
                <c:pt idx="561">
                  <c:v>50.5</c:v>
                </c:pt>
                <c:pt idx="562">
                  <c:v>53</c:v>
                </c:pt>
                <c:pt idx="563">
                  <c:v>55.2</c:v>
                </c:pt>
                <c:pt idx="564">
                  <c:v>53.8</c:v>
                </c:pt>
                <c:pt idx="565">
                  <c:v>53.1</c:v>
                </c:pt>
                <c:pt idx="566">
                  <c:v>53.8</c:v>
                </c:pt>
                <c:pt idx="567">
                  <c:v>53.7</c:v>
                </c:pt>
                <c:pt idx="568">
                  <c:v>56.1</c:v>
                </c:pt>
                <c:pt idx="569">
                  <c:v>54.9</c:v>
                </c:pt>
                <c:pt idx="570">
                  <c:v>57.7</c:v>
                </c:pt>
                <c:pt idx="571">
                  <c:v>56.3</c:v>
                </c:pt>
                <c:pt idx="572">
                  <c:v>53.9</c:v>
                </c:pt>
                <c:pt idx="573">
                  <c:v>56.4</c:v>
                </c:pt>
                <c:pt idx="574">
                  <c:v>55.7</c:v>
                </c:pt>
                <c:pt idx="575">
                  <c:v>54.5</c:v>
                </c:pt>
                <c:pt idx="576">
                  <c:v>53.8</c:v>
                </c:pt>
                <c:pt idx="577">
                  <c:v>52.9</c:v>
                </c:pt>
                <c:pt idx="578">
                  <c:v>52.9</c:v>
                </c:pt>
                <c:pt idx="579">
                  <c:v>52.2</c:v>
                </c:pt>
                <c:pt idx="580">
                  <c:v>50.9</c:v>
                </c:pt>
                <c:pt idx="581">
                  <c:v>48.9</c:v>
                </c:pt>
                <c:pt idx="582">
                  <c:v>49.2</c:v>
                </c:pt>
                <c:pt idx="583">
                  <c:v>49.3</c:v>
                </c:pt>
                <c:pt idx="584">
                  <c:v>48.7</c:v>
                </c:pt>
                <c:pt idx="585">
                  <c:v>48.7</c:v>
                </c:pt>
                <c:pt idx="586">
                  <c:v>48.2</c:v>
                </c:pt>
                <c:pt idx="587">
                  <c:v>46.8</c:v>
                </c:pt>
                <c:pt idx="588">
                  <c:v>50.6</c:v>
                </c:pt>
                <c:pt idx="589">
                  <c:v>51.7</c:v>
                </c:pt>
                <c:pt idx="590">
                  <c:v>52.4</c:v>
                </c:pt>
                <c:pt idx="591">
                  <c:v>52.3</c:v>
                </c:pt>
                <c:pt idx="592">
                  <c:v>54.3</c:v>
                </c:pt>
                <c:pt idx="593">
                  <c:v>55.8</c:v>
                </c:pt>
                <c:pt idx="594">
                  <c:v>53.6</c:v>
                </c:pt>
                <c:pt idx="595">
                  <c:v>54.8</c:v>
                </c:pt>
                <c:pt idx="596">
                  <c:v>57</c:v>
                </c:pt>
                <c:pt idx="597">
                  <c:v>57.2</c:v>
                </c:pt>
                <c:pt idx="598">
                  <c:v>58.1</c:v>
                </c:pt>
                <c:pt idx="599">
                  <c:v>57.8</c:v>
                </c:pt>
                <c:pt idx="600">
                  <c:v>56.7</c:v>
                </c:pt>
                <c:pt idx="601">
                  <c:v>55.8</c:v>
                </c:pt>
                <c:pt idx="602">
                  <c:v>54.9</c:v>
                </c:pt>
                <c:pt idx="603">
                  <c:v>54.7</c:v>
                </c:pt>
                <c:pt idx="604">
                  <c:v>53.2</c:v>
                </c:pt>
                <c:pt idx="605">
                  <c:v>51.4</c:v>
                </c:pt>
                <c:pt idx="606">
                  <c:v>52.5</c:v>
                </c:pt>
                <c:pt idx="607">
                  <c:v>49.9</c:v>
                </c:pt>
                <c:pt idx="608">
                  <c:v>49.7</c:v>
                </c:pt>
                <c:pt idx="609">
                  <c:v>48.7</c:v>
                </c:pt>
                <c:pt idx="610">
                  <c:v>48.5</c:v>
                </c:pt>
                <c:pt idx="611">
                  <c:v>43.9</c:v>
                </c:pt>
                <c:pt idx="612">
                  <c:v>42.3</c:v>
                </c:pt>
                <c:pt idx="613">
                  <c:v>42.1</c:v>
                </c:pt>
                <c:pt idx="614">
                  <c:v>43.1</c:v>
                </c:pt>
                <c:pt idx="615">
                  <c:v>42.7</c:v>
                </c:pt>
                <c:pt idx="616">
                  <c:v>41.3</c:v>
                </c:pt>
                <c:pt idx="617">
                  <c:v>43.2</c:v>
                </c:pt>
                <c:pt idx="618">
                  <c:v>43.5</c:v>
                </c:pt>
                <c:pt idx="619">
                  <c:v>46.3</c:v>
                </c:pt>
                <c:pt idx="620">
                  <c:v>46.2</c:v>
                </c:pt>
                <c:pt idx="621">
                  <c:v>40.799999999999997</c:v>
                </c:pt>
                <c:pt idx="622">
                  <c:v>44.1</c:v>
                </c:pt>
                <c:pt idx="623">
                  <c:v>45.3</c:v>
                </c:pt>
                <c:pt idx="624">
                  <c:v>47.5</c:v>
                </c:pt>
                <c:pt idx="625">
                  <c:v>50.7</c:v>
                </c:pt>
                <c:pt idx="626">
                  <c:v>52.4</c:v>
                </c:pt>
                <c:pt idx="627">
                  <c:v>52.4</c:v>
                </c:pt>
                <c:pt idx="628">
                  <c:v>53.1</c:v>
                </c:pt>
                <c:pt idx="629">
                  <c:v>53.6</c:v>
                </c:pt>
                <c:pt idx="630">
                  <c:v>50.2</c:v>
                </c:pt>
                <c:pt idx="631">
                  <c:v>50.3</c:v>
                </c:pt>
                <c:pt idx="632">
                  <c:v>50.5</c:v>
                </c:pt>
                <c:pt idx="633">
                  <c:v>49</c:v>
                </c:pt>
                <c:pt idx="634">
                  <c:v>48.5</c:v>
                </c:pt>
                <c:pt idx="635">
                  <c:v>51.6</c:v>
                </c:pt>
                <c:pt idx="636">
                  <c:v>51.3</c:v>
                </c:pt>
                <c:pt idx="637">
                  <c:v>48.8</c:v>
                </c:pt>
                <c:pt idx="638">
                  <c:v>46.3</c:v>
                </c:pt>
                <c:pt idx="639">
                  <c:v>46.1</c:v>
                </c:pt>
                <c:pt idx="640">
                  <c:v>49</c:v>
                </c:pt>
                <c:pt idx="641">
                  <c:v>49</c:v>
                </c:pt>
                <c:pt idx="642">
                  <c:v>51</c:v>
                </c:pt>
                <c:pt idx="643">
                  <c:v>53.2</c:v>
                </c:pt>
                <c:pt idx="644">
                  <c:v>52.4</c:v>
                </c:pt>
                <c:pt idx="645">
                  <c:v>55.2</c:v>
                </c:pt>
                <c:pt idx="646">
                  <c:v>58.4</c:v>
                </c:pt>
                <c:pt idx="647">
                  <c:v>60.1</c:v>
                </c:pt>
                <c:pt idx="648">
                  <c:v>60.8</c:v>
                </c:pt>
                <c:pt idx="649">
                  <c:v>59.9</c:v>
                </c:pt>
                <c:pt idx="650">
                  <c:v>60.6</c:v>
                </c:pt>
                <c:pt idx="651">
                  <c:v>60.6</c:v>
                </c:pt>
                <c:pt idx="652">
                  <c:v>61.4</c:v>
                </c:pt>
                <c:pt idx="653">
                  <c:v>60.5</c:v>
                </c:pt>
                <c:pt idx="654">
                  <c:v>59.9</c:v>
                </c:pt>
                <c:pt idx="655">
                  <c:v>58.5</c:v>
                </c:pt>
                <c:pt idx="656">
                  <c:v>57.4</c:v>
                </c:pt>
                <c:pt idx="657">
                  <c:v>56.3</c:v>
                </c:pt>
                <c:pt idx="658">
                  <c:v>56.2</c:v>
                </c:pt>
                <c:pt idx="659">
                  <c:v>57.2</c:v>
                </c:pt>
                <c:pt idx="660">
                  <c:v>56.8</c:v>
                </c:pt>
                <c:pt idx="661">
                  <c:v>55.5</c:v>
                </c:pt>
                <c:pt idx="662">
                  <c:v>55.2</c:v>
                </c:pt>
                <c:pt idx="663">
                  <c:v>52.2</c:v>
                </c:pt>
                <c:pt idx="664">
                  <c:v>50.8</c:v>
                </c:pt>
                <c:pt idx="665">
                  <c:v>52.4</c:v>
                </c:pt>
                <c:pt idx="666">
                  <c:v>52.8</c:v>
                </c:pt>
                <c:pt idx="667">
                  <c:v>52.4</c:v>
                </c:pt>
                <c:pt idx="668">
                  <c:v>56.8</c:v>
                </c:pt>
                <c:pt idx="669">
                  <c:v>57.2</c:v>
                </c:pt>
                <c:pt idx="670">
                  <c:v>56.7</c:v>
                </c:pt>
                <c:pt idx="671">
                  <c:v>55.1</c:v>
                </c:pt>
                <c:pt idx="672">
                  <c:v>55</c:v>
                </c:pt>
                <c:pt idx="673">
                  <c:v>55.8</c:v>
                </c:pt>
                <c:pt idx="674">
                  <c:v>54.3</c:v>
                </c:pt>
                <c:pt idx="675">
                  <c:v>55.2</c:v>
                </c:pt>
                <c:pt idx="676">
                  <c:v>53.7</c:v>
                </c:pt>
                <c:pt idx="677">
                  <c:v>52</c:v>
                </c:pt>
                <c:pt idx="678">
                  <c:v>53</c:v>
                </c:pt>
                <c:pt idx="679">
                  <c:v>53.7</c:v>
                </c:pt>
                <c:pt idx="680">
                  <c:v>52.2</c:v>
                </c:pt>
                <c:pt idx="681">
                  <c:v>51.4</c:v>
                </c:pt>
                <c:pt idx="682">
                  <c:v>50.3</c:v>
                </c:pt>
                <c:pt idx="683">
                  <c:v>51.4</c:v>
                </c:pt>
                <c:pt idx="684">
                  <c:v>49.5</c:v>
                </c:pt>
                <c:pt idx="685">
                  <c:v>51.9</c:v>
                </c:pt>
                <c:pt idx="686">
                  <c:v>50.7</c:v>
                </c:pt>
                <c:pt idx="687">
                  <c:v>52.6</c:v>
                </c:pt>
                <c:pt idx="688">
                  <c:v>52.5</c:v>
                </c:pt>
                <c:pt idx="689">
                  <c:v>52.6</c:v>
                </c:pt>
                <c:pt idx="690">
                  <c:v>52.4</c:v>
                </c:pt>
                <c:pt idx="691">
                  <c:v>50.9</c:v>
                </c:pt>
                <c:pt idx="692">
                  <c:v>51</c:v>
                </c:pt>
                <c:pt idx="693">
                  <c:v>51.1</c:v>
                </c:pt>
                <c:pt idx="694">
                  <c:v>50.5</c:v>
                </c:pt>
                <c:pt idx="695">
                  <c:v>49</c:v>
                </c:pt>
                <c:pt idx="696">
                  <c:v>50.3</c:v>
                </c:pt>
                <c:pt idx="697">
                  <c:v>47.6</c:v>
                </c:pt>
                <c:pt idx="698">
                  <c:v>48.3</c:v>
                </c:pt>
                <c:pt idx="699">
                  <c:v>48.8</c:v>
                </c:pt>
                <c:pt idx="700">
                  <c:v>48.8</c:v>
                </c:pt>
                <c:pt idx="701">
                  <c:v>49.8</c:v>
                </c:pt>
                <c:pt idx="702">
                  <c:v>50</c:v>
                </c:pt>
                <c:pt idx="703">
                  <c:v>49.2</c:v>
                </c:pt>
                <c:pt idx="704">
                  <c:v>44.8</c:v>
                </c:pt>
                <c:pt idx="705">
                  <c:v>38.9</c:v>
                </c:pt>
                <c:pt idx="706">
                  <c:v>36.5</c:v>
                </c:pt>
                <c:pt idx="707">
                  <c:v>33.1</c:v>
                </c:pt>
                <c:pt idx="708">
                  <c:v>34.9</c:v>
                </c:pt>
                <c:pt idx="709">
                  <c:v>35.5</c:v>
                </c:pt>
                <c:pt idx="710">
                  <c:v>36</c:v>
                </c:pt>
                <c:pt idx="711">
                  <c:v>39.5</c:v>
                </c:pt>
                <c:pt idx="712">
                  <c:v>41.7</c:v>
                </c:pt>
                <c:pt idx="713">
                  <c:v>45.8</c:v>
                </c:pt>
                <c:pt idx="714">
                  <c:v>49.9</c:v>
                </c:pt>
                <c:pt idx="715">
                  <c:v>53.5</c:v>
                </c:pt>
                <c:pt idx="716">
                  <c:v>54.4</c:v>
                </c:pt>
                <c:pt idx="717">
                  <c:v>56</c:v>
                </c:pt>
                <c:pt idx="718">
                  <c:v>54.4</c:v>
                </c:pt>
                <c:pt idx="719">
                  <c:v>55.3</c:v>
                </c:pt>
                <c:pt idx="720">
                  <c:v>57.2</c:v>
                </c:pt>
                <c:pt idx="721">
                  <c:v>55.8</c:v>
                </c:pt>
                <c:pt idx="722">
                  <c:v>58.8</c:v>
                </c:pt>
                <c:pt idx="723">
                  <c:v>58.1</c:v>
                </c:pt>
                <c:pt idx="724">
                  <c:v>58.3</c:v>
                </c:pt>
                <c:pt idx="725">
                  <c:v>56.4</c:v>
                </c:pt>
                <c:pt idx="726">
                  <c:v>56.4</c:v>
                </c:pt>
                <c:pt idx="727">
                  <c:v>58</c:v>
                </c:pt>
                <c:pt idx="728">
                  <c:v>56.3</c:v>
                </c:pt>
                <c:pt idx="729">
                  <c:v>57.7</c:v>
                </c:pt>
                <c:pt idx="730">
                  <c:v>57.6</c:v>
                </c:pt>
                <c:pt idx="731">
                  <c:v>57.5</c:v>
                </c:pt>
                <c:pt idx="732">
                  <c:v>59</c:v>
                </c:pt>
                <c:pt idx="733">
                  <c:v>59.3</c:v>
                </c:pt>
                <c:pt idx="734">
                  <c:v>59.1</c:v>
                </c:pt>
                <c:pt idx="735">
                  <c:v>58.9</c:v>
                </c:pt>
                <c:pt idx="736">
                  <c:v>53.7</c:v>
                </c:pt>
                <c:pt idx="737">
                  <c:v>56.6</c:v>
                </c:pt>
                <c:pt idx="738">
                  <c:v>52.9</c:v>
                </c:pt>
                <c:pt idx="739">
                  <c:v>53</c:v>
                </c:pt>
                <c:pt idx="740">
                  <c:v>52.8</c:v>
                </c:pt>
                <c:pt idx="741">
                  <c:v>51.8</c:v>
                </c:pt>
                <c:pt idx="742">
                  <c:v>52.1</c:v>
                </c:pt>
                <c:pt idx="743">
                  <c:v>53.1</c:v>
                </c:pt>
                <c:pt idx="744">
                  <c:v>52.8</c:v>
                </c:pt>
                <c:pt idx="745">
                  <c:v>52.4</c:v>
                </c:pt>
                <c:pt idx="746">
                  <c:v>53</c:v>
                </c:pt>
                <c:pt idx="747">
                  <c:v>53.7</c:v>
                </c:pt>
                <c:pt idx="748">
                  <c:v>53.2</c:v>
                </c:pt>
                <c:pt idx="749">
                  <c:v>51</c:v>
                </c:pt>
                <c:pt idx="750">
                  <c:v>50.6</c:v>
                </c:pt>
                <c:pt idx="751">
                  <c:v>51.1</c:v>
                </c:pt>
                <c:pt idx="752">
                  <c:v>52.2</c:v>
                </c:pt>
                <c:pt idx="753">
                  <c:v>51.2</c:v>
                </c:pt>
                <c:pt idx="754">
                  <c:v>49.5</c:v>
                </c:pt>
                <c:pt idx="755">
                  <c:v>50.4</c:v>
                </c:pt>
                <c:pt idx="756">
                  <c:v>52.3</c:v>
                </c:pt>
                <c:pt idx="757">
                  <c:v>53.1</c:v>
                </c:pt>
                <c:pt idx="758">
                  <c:v>51.5</c:v>
                </c:pt>
                <c:pt idx="759">
                  <c:v>50</c:v>
                </c:pt>
                <c:pt idx="760">
                  <c:v>50</c:v>
                </c:pt>
                <c:pt idx="761">
                  <c:v>52.5</c:v>
                </c:pt>
                <c:pt idx="762">
                  <c:v>54.9</c:v>
                </c:pt>
                <c:pt idx="763">
                  <c:v>56.3</c:v>
                </c:pt>
                <c:pt idx="764">
                  <c:v>56</c:v>
                </c:pt>
                <c:pt idx="765">
                  <c:v>56.6</c:v>
                </c:pt>
                <c:pt idx="766">
                  <c:v>57</c:v>
                </c:pt>
                <c:pt idx="767">
                  <c:v>56.5</c:v>
                </c:pt>
                <c:pt idx="768">
                  <c:v>51.3</c:v>
                </c:pt>
                <c:pt idx="769">
                  <c:v>54.3</c:v>
                </c:pt>
                <c:pt idx="770">
                  <c:v>54.4</c:v>
                </c:pt>
                <c:pt idx="771">
                  <c:v>55.3</c:v>
                </c:pt>
                <c:pt idx="772">
                  <c:v>55.6</c:v>
                </c:pt>
                <c:pt idx="773">
                  <c:v>55.7</c:v>
                </c:pt>
                <c:pt idx="774">
                  <c:v>56.4</c:v>
                </c:pt>
                <c:pt idx="775">
                  <c:v>58.1</c:v>
                </c:pt>
                <c:pt idx="776">
                  <c:v>56.1</c:v>
                </c:pt>
                <c:pt idx="777">
                  <c:v>57.9</c:v>
                </c:pt>
                <c:pt idx="778">
                  <c:v>57.6</c:v>
                </c:pt>
                <c:pt idx="779">
                  <c:v>55.1</c:v>
                </c:pt>
                <c:pt idx="780">
                  <c:v>53.5</c:v>
                </c:pt>
                <c:pt idx="781">
                  <c:v>52.9</c:v>
                </c:pt>
                <c:pt idx="782">
                  <c:v>51.5</c:v>
                </c:pt>
                <c:pt idx="783">
                  <c:v>51.5</c:v>
                </c:pt>
                <c:pt idx="784">
                  <c:v>52.8</c:v>
                </c:pt>
                <c:pt idx="785">
                  <c:v>53.5</c:v>
                </c:pt>
                <c:pt idx="786">
                  <c:v>52.7</c:v>
                </c:pt>
                <c:pt idx="787">
                  <c:v>51.1</c:v>
                </c:pt>
                <c:pt idx="788">
                  <c:v>50.2</c:v>
                </c:pt>
                <c:pt idx="789">
                  <c:v>49.4</c:v>
                </c:pt>
                <c:pt idx="790">
                  <c:v>48.4</c:v>
                </c:pt>
                <c:pt idx="791">
                  <c:v>48</c:v>
                </c:pt>
                <c:pt idx="792">
                  <c:v>48.2</c:v>
                </c:pt>
                <c:pt idx="793">
                  <c:v>49.7</c:v>
                </c:pt>
                <c:pt idx="794">
                  <c:v>51.7</c:v>
                </c:pt>
                <c:pt idx="795">
                  <c:v>50.7</c:v>
                </c:pt>
                <c:pt idx="796">
                  <c:v>51</c:v>
                </c:pt>
                <c:pt idx="797">
                  <c:v>52.8</c:v>
                </c:pt>
                <c:pt idx="798">
                  <c:v>52.3</c:v>
                </c:pt>
                <c:pt idx="799">
                  <c:v>49.4</c:v>
                </c:pt>
                <c:pt idx="800">
                  <c:v>51.7</c:v>
                </c:pt>
                <c:pt idx="801">
                  <c:v>52</c:v>
                </c:pt>
                <c:pt idx="802">
                  <c:v>53.5</c:v>
                </c:pt>
                <c:pt idx="803">
                  <c:v>54.5</c:v>
                </c:pt>
                <c:pt idx="804">
                  <c:v>56</c:v>
                </c:pt>
                <c:pt idx="805">
                  <c:v>57.6</c:v>
                </c:pt>
                <c:pt idx="806">
                  <c:v>56.6</c:v>
                </c:pt>
                <c:pt idx="807">
                  <c:v>55.3</c:v>
                </c:pt>
                <c:pt idx="808">
                  <c:v>55.5</c:v>
                </c:pt>
                <c:pt idx="809">
                  <c:v>56.7</c:v>
                </c:pt>
                <c:pt idx="810">
                  <c:v>56.5</c:v>
                </c:pt>
                <c:pt idx="811">
                  <c:v>59.3</c:v>
                </c:pt>
                <c:pt idx="812">
                  <c:v>60.2</c:v>
                </c:pt>
                <c:pt idx="813">
                  <c:v>58.5</c:v>
                </c:pt>
                <c:pt idx="814">
                  <c:v>58.2</c:v>
                </c:pt>
                <c:pt idx="815">
                  <c:v>59.3</c:v>
                </c:pt>
                <c:pt idx="816">
                  <c:v>59.1</c:v>
                </c:pt>
                <c:pt idx="817">
                  <c:v>60.7</c:v>
                </c:pt>
                <c:pt idx="818">
                  <c:v>59.3</c:v>
                </c:pt>
                <c:pt idx="819">
                  <c:v>57.9</c:v>
                </c:pt>
                <c:pt idx="820">
                  <c:v>58.7</c:v>
                </c:pt>
                <c:pt idx="821">
                  <c:v>60</c:v>
                </c:pt>
                <c:pt idx="822">
                  <c:v>58.4</c:v>
                </c:pt>
                <c:pt idx="823">
                  <c:v>60.8</c:v>
                </c:pt>
                <c:pt idx="824">
                  <c:v>59.5</c:v>
                </c:pt>
                <c:pt idx="825">
                  <c:v>57.5</c:v>
                </c:pt>
                <c:pt idx="826">
                  <c:v>58.8</c:v>
                </c:pt>
                <c:pt idx="827">
                  <c:v>54.3</c:v>
                </c:pt>
                <c:pt idx="828">
                  <c:v>56.6</c:v>
                </c:pt>
                <c:pt idx="829">
                  <c:v>54.2</c:v>
                </c:pt>
                <c:pt idx="830">
                  <c:v>55.3</c:v>
                </c:pt>
              </c:numCache>
            </c:numRef>
          </c:val>
          <c:smooth val="0"/>
          <c:extLst>
            <c:ext xmlns:c16="http://schemas.microsoft.com/office/drawing/2014/chart" uri="{C3380CC4-5D6E-409C-BE32-E72D297353CC}">
              <c16:uniqueId val="{00000001-F869-8349-A853-B547B00325EB}"/>
            </c:ext>
          </c:extLst>
        </c:ser>
        <c:dLbls>
          <c:showLegendKey val="0"/>
          <c:showVal val="0"/>
          <c:showCatName val="0"/>
          <c:showSerName val="0"/>
          <c:showPercent val="0"/>
          <c:showBubbleSize val="0"/>
        </c:dLbls>
        <c:marker val="1"/>
        <c:smooth val="0"/>
        <c:axId val="407238079"/>
        <c:axId val="386060623"/>
      </c:lineChart>
      <c:dateAx>
        <c:axId val="538188879"/>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087375"/>
        <c:crosses val="autoZero"/>
        <c:auto val="1"/>
        <c:lblOffset val="100"/>
        <c:baseTimeUnit val="months"/>
      </c:dateAx>
      <c:valAx>
        <c:axId val="538087375"/>
        <c:scaling>
          <c:orientation val="minMax"/>
        </c:scaling>
        <c:delete val="0"/>
        <c:axPos val="l"/>
        <c:majorGridlines>
          <c:spPr>
            <a:ln w="317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M/M% Change</a:t>
                </a:r>
                <a:r>
                  <a:rPr lang="en-US" baseline="0"/>
                  <a:t> of SPX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188879"/>
        <c:crosses val="autoZero"/>
        <c:crossBetween val="between"/>
      </c:valAx>
      <c:valAx>
        <c:axId val="386060623"/>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PMI Index Total</a:t>
                </a:r>
                <a:r>
                  <a:rPr lang="en-US" baseline="0"/>
                  <a:t> Score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238079"/>
        <c:crosses val="max"/>
        <c:crossBetween val="between"/>
      </c:valAx>
      <c:catAx>
        <c:axId val="407238079"/>
        <c:scaling>
          <c:orientation val="minMax"/>
        </c:scaling>
        <c:delete val="1"/>
        <c:axPos val="b"/>
        <c:majorTickMark val="out"/>
        <c:minorTickMark val="none"/>
        <c:tickLblPos val="nextTo"/>
        <c:crossAx val="3860606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SPX% y/y vs PMI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'PMI Analysis'!$Z$1</c:f>
              <c:strCache>
                <c:ptCount val="1"/>
                <c:pt idx="0">
                  <c:v>SPX% y/y</c:v>
                </c:pt>
              </c:strCache>
            </c:strRef>
          </c:tx>
          <c:spPr>
            <a:ln w="9525" cap="rnd">
              <a:solidFill>
                <a:schemeClr val="bg1">
                  <a:lumMod val="95000"/>
                </a:schemeClr>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Analysis'!$Z$2:$Z$833</c:f>
              <c:numCache>
                <c:formatCode>0.00%</c:formatCode>
                <c:ptCount val="832"/>
                <c:pt idx="12">
                  <c:v>0.27038130618072181</c:v>
                </c:pt>
                <c:pt idx="13">
                  <c:v>0.26596981800057001</c:v>
                </c:pt>
                <c:pt idx="14">
                  <c:v>0.23770958717700469</c:v>
                </c:pt>
                <c:pt idx="15">
                  <c:v>0.24128389596015493</c:v>
                </c:pt>
                <c:pt idx="16">
                  <c:v>0.14589983248669694</c:v>
                </c:pt>
                <c:pt idx="17">
                  <c:v>0.18485007434425815</c:v>
                </c:pt>
                <c:pt idx="18">
                  <c:v>0.25560538116591919</c:v>
                </c:pt>
                <c:pt idx="19">
                  <c:v>0.26384370249728539</c:v>
                </c:pt>
                <c:pt idx="20">
                  <c:v>0.19588682797497034</c:v>
                </c:pt>
                <c:pt idx="21">
                  <c:v>0.17460316566292036</c:v>
                </c:pt>
                <c:pt idx="22">
                  <c:v>0.17273188108662224</c:v>
                </c:pt>
                <c:pt idx="23">
                  <c:v>0.16462518373346396</c:v>
                </c:pt>
                <c:pt idx="24">
                  <c:v>0.11449672206832869</c:v>
                </c:pt>
                <c:pt idx="25">
                  <c:v>6.6972526007914118E-2</c:v>
                </c:pt>
                <c:pt idx="26">
                  <c:v>0.13878509345794393</c:v>
                </c:pt>
                <c:pt idx="27">
                  <c:v>3.9679001337494454E-2</c:v>
                </c:pt>
                <c:pt idx="28">
                  <c:v>0.10873610594795544</c:v>
                </c:pt>
                <c:pt idx="29">
                  <c:v>0.19083970376143625</c:v>
                </c:pt>
                <c:pt idx="30">
                  <c:v>0.13392857142857142</c:v>
                </c:pt>
                <c:pt idx="31">
                  <c:v>7.5171818076811947E-2</c:v>
                </c:pt>
                <c:pt idx="32">
                  <c:v>5.5030137575236393E-2</c:v>
                </c:pt>
                <c:pt idx="33">
                  <c:v>6.8875280345454259E-2</c:v>
                </c:pt>
                <c:pt idx="34">
                  <c:v>0.12150354552025978</c:v>
                </c:pt>
                <c:pt idx="35">
                  <c:v>0.1177955405973917</c:v>
                </c:pt>
                <c:pt idx="36">
                  <c:v>9.2792050239935892E-2</c:v>
                </c:pt>
                <c:pt idx="37">
                  <c:v>0.11349957007738594</c:v>
                </c:pt>
                <c:pt idx="38">
                  <c:v>3.7751332057803434E-2</c:v>
                </c:pt>
                <c:pt idx="39">
                  <c:v>5.5746183533447603E-2</c:v>
                </c:pt>
                <c:pt idx="40">
                  <c:v>2.8499579694066218E-2</c:v>
                </c:pt>
                <c:pt idx="41">
                  <c:v>-3.2852565418772663E-2</c:v>
                </c:pt>
                <c:pt idx="42">
                  <c:v>-2.5590551181102306E-2</c:v>
                </c:pt>
                <c:pt idx="43">
                  <c:v>-6.8318055600557051E-2</c:v>
                </c:pt>
                <c:pt idx="44">
                  <c:v>-4.8492296312457314E-2</c:v>
                </c:pt>
                <c:pt idx="45">
                  <c:v>8.1570146818925782E-4</c:v>
                </c:pt>
                <c:pt idx="46">
                  <c:v>-3.5074045206547097E-2</c:v>
                </c:pt>
                <c:pt idx="47">
                  <c:v>-6.6240158073014643E-2</c:v>
                </c:pt>
                <c:pt idx="48">
                  <c:v>-1.1372214229424468E-2</c:v>
                </c:pt>
                <c:pt idx="49">
                  <c:v>9.6525096525096523E-3</c:v>
                </c:pt>
                <c:pt idx="50">
                  <c:v>6.5243176542381265E-2</c:v>
                </c:pt>
                <c:pt idx="51">
                  <c:v>0.14784723201270394</c:v>
                </c:pt>
                <c:pt idx="52">
                  <c:v>0.18948654484569902</c:v>
                </c:pt>
                <c:pt idx="53">
                  <c:v>0.21002486371271184</c:v>
                </c:pt>
                <c:pt idx="54">
                  <c:v>0.24767672727272733</c:v>
                </c:pt>
                <c:pt idx="55">
                  <c:v>0.27915951972555736</c:v>
                </c:pt>
                <c:pt idx="56">
                  <c:v>0.3837259528907922</c:v>
                </c:pt>
                <c:pt idx="57">
                  <c:v>0.29095349262618203</c:v>
                </c:pt>
                <c:pt idx="58">
                  <c:v>0.38287568659127602</c:v>
                </c:pt>
                <c:pt idx="59">
                  <c:v>0.45022174325762748</c:v>
                </c:pt>
                <c:pt idx="60">
                  <c:v>0.40452457822085897</c:v>
                </c:pt>
                <c:pt idx="61">
                  <c:v>0.40573606118546862</c:v>
                </c:pt>
                <c:pt idx="62">
                  <c:v>0.35783224358454929</c:v>
                </c:pt>
                <c:pt idx="63">
                  <c:v>0.34324129511677287</c:v>
                </c:pt>
                <c:pt idx="64">
                  <c:v>0.29873239812496061</c:v>
                </c:pt>
                <c:pt idx="65">
                  <c:v>0.40465595359999829</c:v>
                </c:pt>
                <c:pt idx="66">
                  <c:v>0.40932647050927695</c:v>
                </c:pt>
                <c:pt idx="67">
                  <c:v>0.44753603754609461</c:v>
                </c:pt>
                <c:pt idx="68">
                  <c:v>0.35159383003423617</c:v>
                </c:pt>
                <c:pt idx="69">
                  <c:v>0.33648989898989912</c:v>
                </c:pt>
                <c:pt idx="70">
                  <c:v>0.32914706021337287</c:v>
                </c:pt>
                <c:pt idx="71">
                  <c:v>0.26403557531962202</c:v>
                </c:pt>
                <c:pt idx="72">
                  <c:v>0.19628716362852408</c:v>
                </c:pt>
                <c:pt idx="73">
                  <c:v>0.23340594305799472</c:v>
                </c:pt>
                <c:pt idx="74">
                  <c:v>0.32531430698117503</c:v>
                </c:pt>
                <c:pt idx="75">
                  <c:v>0.27449953304793279</c:v>
                </c:pt>
                <c:pt idx="76">
                  <c:v>0.19229757319968357</c:v>
                </c:pt>
                <c:pt idx="77">
                  <c:v>0.14477217023573427</c:v>
                </c:pt>
                <c:pt idx="78">
                  <c:v>0.13488049172794117</c:v>
                </c:pt>
                <c:pt idx="79">
                  <c:v>0.10027786012042621</c:v>
                </c:pt>
                <c:pt idx="80">
                  <c:v>3.8470347536997823E-2</c:v>
                </c:pt>
                <c:pt idx="81">
                  <c:v>7.6523429381199728E-2</c:v>
                </c:pt>
                <c:pt idx="82">
                  <c:v>-9.4483853855586337E-3</c:v>
                </c:pt>
                <c:pt idx="83">
                  <c:v>2.616530343007922E-2</c:v>
                </c:pt>
                <c:pt idx="84">
                  <c:v>2.0538589685075381E-2</c:v>
                </c:pt>
                <c:pt idx="85">
                  <c:v>-4.5875650639611826E-2</c:v>
                </c:pt>
                <c:pt idx="86">
                  <c:v>-9.0140243399339945E-2</c:v>
                </c:pt>
                <c:pt idx="87">
                  <c:v>-5.4567981509549848E-2</c:v>
                </c:pt>
                <c:pt idx="88">
                  <c:v>4.9336259970436711E-2</c:v>
                </c:pt>
                <c:pt idx="89">
                  <c:v>8.5160313281661734E-3</c:v>
                </c:pt>
                <c:pt idx="90">
                  <c:v>-2.9965560436638325E-2</c:v>
                </c:pt>
                <c:pt idx="91">
                  <c:v>-4.8200317752065562E-2</c:v>
                </c:pt>
                <c:pt idx="92">
                  <c:v>-6.4608602628824813E-2</c:v>
                </c:pt>
                <c:pt idx="93">
                  <c:v>-9.9166318597353295E-2</c:v>
                </c:pt>
                <c:pt idx="94">
                  <c:v>-7.4534180366717745E-2</c:v>
                </c:pt>
                <c:pt idx="95">
                  <c:v>-0.1431325538089803</c:v>
                </c:pt>
                <c:pt idx="96">
                  <c:v>-6.7531304393307207E-2</c:v>
                </c:pt>
                <c:pt idx="97">
                  <c:v>-5.5940779285287984E-2</c:v>
                </c:pt>
                <c:pt idx="98">
                  <c:v>-4.5567965414464569E-2</c:v>
                </c:pt>
                <c:pt idx="99">
                  <c:v>-5.0284278518396147E-2</c:v>
                </c:pt>
                <c:pt idx="100">
                  <c:v>-7.0419565675732584E-2</c:v>
                </c:pt>
                <c:pt idx="101">
                  <c:v>-4.4965105445748541E-2</c:v>
                </c:pt>
                <c:pt idx="102">
                  <c:v>-1.5028198705906834E-2</c:v>
                </c:pt>
                <c:pt idx="103">
                  <c:v>5.5948671916216816E-2</c:v>
                </c:pt>
                <c:pt idx="104">
                  <c:v>0.18010380387099501</c:v>
                </c:pt>
                <c:pt idx="105">
                  <c:v>0.25012179127808598</c:v>
                </c:pt>
                <c:pt idx="106">
                  <c:v>0.25790984520829691</c:v>
                </c:pt>
                <c:pt idx="107">
                  <c:v>0.38059505473393096</c:v>
                </c:pt>
                <c:pt idx="108">
                  <c:v>0.32973620312383206</c:v>
                </c:pt>
                <c:pt idx="109">
                  <c:v>0.35675808031341805</c:v>
                </c:pt>
                <c:pt idx="110">
                  <c:v>0.316864646881931</c:v>
                </c:pt>
                <c:pt idx="111">
                  <c:v>0.32573667876926066</c:v>
                </c:pt>
                <c:pt idx="112">
                  <c:v>0.33091403946473114</c:v>
                </c:pt>
                <c:pt idx="113">
                  <c:v>0.29244028326966048</c:v>
                </c:pt>
                <c:pt idx="114">
                  <c:v>0.28226317614458951</c:v>
                </c:pt>
                <c:pt idx="115">
                  <c:v>0.24816749738219893</c:v>
                </c:pt>
                <c:pt idx="116">
                  <c:v>0.1362365134591188</c:v>
                </c:pt>
                <c:pt idx="117">
                  <c:v>0.12059220258748485</c:v>
                </c:pt>
                <c:pt idx="118">
                  <c:v>0.11051827362804878</c:v>
                </c:pt>
                <c:pt idx="119">
                  <c:v>8.4767253844724749E-2</c:v>
                </c:pt>
                <c:pt idx="120">
                  <c:v>2.8854823645539083E-3</c:v>
                </c:pt>
                <c:pt idx="121">
                  <c:v>1.2813553510196777E-2</c:v>
                </c:pt>
                <c:pt idx="122">
                  <c:v>-1.8037337987685902E-3</c:v>
                </c:pt>
                <c:pt idx="123">
                  <c:v>-5.5912502170515771E-2</c:v>
                </c:pt>
                <c:pt idx="124">
                  <c:v>-4.8568473074301281E-2</c:v>
                </c:pt>
                <c:pt idx="125">
                  <c:v>-2.6509371874305316E-2</c:v>
                </c:pt>
                <c:pt idx="126">
                  <c:v>-8.2630972818739795E-2</c:v>
                </c:pt>
                <c:pt idx="127">
                  <c:v>-4.4295286721318279E-2</c:v>
                </c:pt>
                <c:pt idx="128">
                  <c:v>-5.9071746500145052E-2</c:v>
                </c:pt>
                <c:pt idx="129">
                  <c:v>-7.1801130041724615E-2</c:v>
                </c:pt>
                <c:pt idx="130">
                  <c:v>-4.7014379667370966E-2</c:v>
                </c:pt>
                <c:pt idx="131">
                  <c:v>-2.972112255336665E-2</c:v>
                </c:pt>
                <c:pt idx="132">
                  <c:v>0.11095122979767615</c:v>
                </c:pt>
                <c:pt idx="133">
                  <c:v>0.1304347849329078</c:v>
                </c:pt>
                <c:pt idx="134">
                  <c:v>0.17564145283700738</c:v>
                </c:pt>
                <c:pt idx="135">
                  <c:v>0.2012138900352011</c:v>
                </c:pt>
                <c:pt idx="136">
                  <c:v>0.19219050001108709</c:v>
                </c:pt>
                <c:pt idx="137">
                  <c:v>0.13562897525049111</c:v>
                </c:pt>
                <c:pt idx="138">
                  <c:v>0.20266626563380521</c:v>
                </c:pt>
                <c:pt idx="139">
                  <c:v>0.19504917828386881</c:v>
                </c:pt>
                <c:pt idx="140">
                  <c:v>0.24682367339312392</c:v>
                </c:pt>
                <c:pt idx="141">
                  <c:v>0.2852594921382185</c:v>
                </c:pt>
                <c:pt idx="142">
                  <c:v>0.28411953035434762</c:v>
                </c:pt>
                <c:pt idx="143">
                  <c:v>0.23128552346781078</c:v>
                </c:pt>
                <c:pt idx="144">
                  <c:v>0.11427641816569151</c:v>
                </c:pt>
                <c:pt idx="145">
                  <c:v>0.10277427652544566</c:v>
                </c:pt>
                <c:pt idx="146">
                  <c:v>6.9013297541140578E-2</c:v>
                </c:pt>
                <c:pt idx="147">
                  <c:v>-1.0718113940225995E-3</c:v>
                </c:pt>
                <c:pt idx="148">
                  <c:v>-0.104116544594848</c:v>
                </c:pt>
                <c:pt idx="149">
                  <c:v>-0.15300122452043977</c:v>
                </c:pt>
                <c:pt idx="150">
                  <c:v>-0.12777114656167929</c:v>
                </c:pt>
                <c:pt idx="151">
                  <c:v>-0.13148231232554713</c:v>
                </c:pt>
                <c:pt idx="152">
                  <c:v>-0.15675112437804017</c:v>
                </c:pt>
                <c:pt idx="153">
                  <c:v>-0.1763334664966423</c:v>
                </c:pt>
                <c:pt idx="154">
                  <c:v>-0.12703311833987649</c:v>
                </c:pt>
                <c:pt idx="155">
                  <c:v>-0.11809929623622803</c:v>
                </c:pt>
                <c:pt idx="156">
                  <c:v>-3.8349784331771358E-2</c:v>
                </c:pt>
                <c:pt idx="157">
                  <c:v>-8.1046284749089162E-2</c:v>
                </c:pt>
                <c:pt idx="158">
                  <c:v>-4.284691403967316E-2</c:v>
                </c:pt>
                <c:pt idx="159">
                  <c:v>6.9895848249412945E-2</c:v>
                </c:pt>
                <c:pt idx="160">
                  <c:v>0.18732184827566922</c:v>
                </c:pt>
                <c:pt idx="161">
                  <c:v>0.26703201826484013</c:v>
                </c:pt>
                <c:pt idx="162">
                  <c:v>0.18718868280954845</c:v>
                </c:pt>
                <c:pt idx="163">
                  <c:v>0.22631937121649817</c:v>
                </c:pt>
                <c:pt idx="164">
                  <c:v>0.27421355962324495</c:v>
                </c:pt>
                <c:pt idx="165">
                  <c:v>0.30944801840056613</c:v>
                </c:pt>
                <c:pt idx="166">
                  <c:v>0.17619668089292251</c:v>
                </c:pt>
                <c:pt idx="167">
                  <c:v>0.18890648776248781</c:v>
                </c:pt>
                <c:pt idx="168">
                  <c:v>0.16374629140844232</c:v>
                </c:pt>
                <c:pt idx="169">
                  <c:v>0.21014157395953376</c:v>
                </c:pt>
                <c:pt idx="170">
                  <c:v>0.18642035451404543</c:v>
                </c:pt>
                <c:pt idx="171">
                  <c:v>0.1383953522179647</c:v>
                </c:pt>
                <c:pt idx="172">
                  <c:v>0.13516948579790303</c:v>
                </c:pt>
                <c:pt idx="173">
                  <c:v>0.17759836337328702</c:v>
                </c:pt>
                <c:pt idx="174">
                  <c:v>0.2032403241678139</c:v>
                </c:pt>
                <c:pt idx="175">
                  <c:v>0.12868968275862058</c:v>
                </c:pt>
                <c:pt idx="176">
                  <c:v>0.17405862652964979</c:v>
                </c:pt>
                <c:pt idx="177">
                  <c:v>0.14660179309277679</c:v>
                </c:pt>
                <c:pt idx="178">
                  <c:v>0.15280615241815587</c:v>
                </c:pt>
                <c:pt idx="179">
                  <c:v>0.12969879217670452</c:v>
                </c:pt>
                <c:pt idx="180">
                  <c:v>0.13655239957746093</c:v>
                </c:pt>
                <c:pt idx="181">
                  <c:v>0.1237788769751076</c:v>
                </c:pt>
                <c:pt idx="182">
                  <c:v>9.0909100117405731E-2</c:v>
                </c:pt>
                <c:pt idx="183">
                  <c:v>0.12144477877478958</c:v>
                </c:pt>
                <c:pt idx="184">
                  <c:v>0.10016168594643464</c:v>
                </c:pt>
                <c:pt idx="185">
                  <c:v>2.9746614524504354E-2</c:v>
                </c:pt>
                <c:pt idx="186">
                  <c:v>2.4885789853330044E-2</c:v>
                </c:pt>
                <c:pt idx="187">
                  <c:v>6.5257190144025826E-2</c:v>
                </c:pt>
                <c:pt idx="188">
                  <c:v>6.8662378237110827E-2</c:v>
                </c:pt>
                <c:pt idx="189">
                  <c:v>8.9087873095830036E-2</c:v>
                </c:pt>
                <c:pt idx="190">
                  <c:v>8.5169428693897736E-2</c:v>
                </c:pt>
                <c:pt idx="191">
                  <c:v>9.0619469026548757E-2</c:v>
                </c:pt>
                <c:pt idx="192">
                  <c:v>6.0758327107316865E-2</c:v>
                </c:pt>
                <c:pt idx="193">
                  <c:v>4.3348976323916155E-2</c:v>
                </c:pt>
                <c:pt idx="194">
                  <c:v>3.5631370212099757E-2</c:v>
                </c:pt>
                <c:pt idx="195">
                  <c:v>2.1883031961810843E-2</c:v>
                </c:pt>
                <c:pt idx="196">
                  <c:v>-2.5899129742120143E-2</c:v>
                </c:pt>
                <c:pt idx="197">
                  <c:v>7.370363503196772E-3</c:v>
                </c:pt>
                <c:pt idx="198">
                  <c:v>-1.9354862170087982E-2</c:v>
                </c:pt>
                <c:pt idx="199">
                  <c:v>-0.11552139762582084</c:v>
                </c:pt>
                <c:pt idx="200">
                  <c:v>-0.14895510392346717</c:v>
                </c:pt>
                <c:pt idx="201">
                  <c:v>-0.13222247635192558</c:v>
                </c:pt>
                <c:pt idx="202">
                  <c:v>-0.12182080425913325</c:v>
                </c:pt>
                <c:pt idx="203">
                  <c:v>-0.13090985610732461</c:v>
                </c:pt>
                <c:pt idx="204">
                  <c:v>-6.7506419062438233E-2</c:v>
                </c:pt>
                <c:pt idx="205">
                  <c:v>-4.8673557896584466E-2</c:v>
                </c:pt>
                <c:pt idx="206">
                  <c:v>1.087071576137905E-2</c:v>
                </c:pt>
                <c:pt idx="207">
                  <c:v>3.2396266909647933E-2</c:v>
                </c:pt>
                <c:pt idx="208">
                  <c:v>3.4250610736698273E-2</c:v>
                </c:pt>
                <c:pt idx="209">
                  <c:v>6.9624747926003053E-2</c:v>
                </c:pt>
                <c:pt idx="210">
                  <c:v>0.13337323285581898</c:v>
                </c:pt>
                <c:pt idx="211">
                  <c:v>0.21452660738071619</c:v>
                </c:pt>
                <c:pt idx="212">
                  <c:v>0.26319228743971501</c:v>
                </c:pt>
                <c:pt idx="213">
                  <c:v>0.16334172680829412</c:v>
                </c:pt>
                <c:pt idx="214">
                  <c:v>0.16842763835031596</c:v>
                </c:pt>
                <c:pt idx="215">
                  <c:v>0.20092118259875064</c:v>
                </c:pt>
                <c:pt idx="216">
                  <c:v>6.5004005715229157E-2</c:v>
                </c:pt>
                <c:pt idx="217">
                  <c:v>2.9730376005189782E-2</c:v>
                </c:pt>
                <c:pt idx="218">
                  <c:v>0</c:v>
                </c:pt>
                <c:pt idx="219">
                  <c:v>3.6698190901006428E-2</c:v>
                </c:pt>
                <c:pt idx="220">
                  <c:v>0.10776827328764557</c:v>
                </c:pt>
                <c:pt idx="221">
                  <c:v>9.8631984759840849E-2</c:v>
                </c:pt>
                <c:pt idx="222">
                  <c:v>3.1556707124010555E-2</c:v>
                </c:pt>
                <c:pt idx="223">
                  <c:v>5.5745429899032715E-2</c:v>
                </c:pt>
                <c:pt idx="224">
                  <c:v>6.162753656940903E-2</c:v>
                </c:pt>
                <c:pt idx="225">
                  <c:v>0.10836013585122818</c:v>
                </c:pt>
                <c:pt idx="226">
                  <c:v>0.1528723723404255</c:v>
                </c:pt>
                <c:pt idx="227">
                  <c:v>7.6604124840840421E-2</c:v>
                </c:pt>
                <c:pt idx="228">
                  <c:v>0.11676067035474133</c:v>
                </c:pt>
                <c:pt idx="229">
                  <c:v>9.8142299707449712E-2</c:v>
                </c:pt>
                <c:pt idx="230">
                  <c:v>0.12538808621024683</c:v>
                </c:pt>
                <c:pt idx="231">
                  <c:v>6.3923692426879786E-2</c:v>
                </c:pt>
                <c:pt idx="232">
                  <c:v>4.8439389947304311E-2</c:v>
                </c:pt>
                <c:pt idx="233">
                  <c:v>-1.8778901008658314E-2</c:v>
                </c:pt>
                <c:pt idx="234">
                  <c:v>-6.0466504204348424E-2</c:v>
                </c:pt>
                <c:pt idx="235">
                  <c:v>-3.3886293405965037E-2</c:v>
                </c:pt>
                <c:pt idx="236">
                  <c:v>-9.3016413616760843E-2</c:v>
                </c:pt>
                <c:pt idx="237">
                  <c:v>-6.0825846211165449E-2</c:v>
                </c:pt>
                <c:pt idx="238">
                  <c:v>-0.13435456857927747</c:v>
                </c:pt>
                <c:pt idx="239">
                  <c:v>-0.11361450882327648</c:v>
                </c:pt>
                <c:pt idx="240">
                  <c:v>-0.17464328366870624</c:v>
                </c:pt>
                <c:pt idx="241">
                  <c:v>-8.7944535451274938E-2</c:v>
                </c:pt>
                <c:pt idx="242">
                  <c:v>-0.11703285160018022</c:v>
                </c:pt>
                <c:pt idx="243">
                  <c:v>-0.21381044047043227</c:v>
                </c:pt>
                <c:pt idx="244">
                  <c:v>-0.26010048579258149</c:v>
                </c:pt>
                <c:pt idx="245">
                  <c:v>-0.25575681358875052</c:v>
                </c:pt>
                <c:pt idx="246">
                  <c:v>-0.1500598791231649</c:v>
                </c:pt>
                <c:pt idx="247">
                  <c:v>-0.1464768579944119</c:v>
                </c:pt>
                <c:pt idx="248">
                  <c:v>-9.4716491793927382E-2</c:v>
                </c:pt>
                <c:pt idx="249">
                  <c:v>-0.14281304130519845</c:v>
                </c:pt>
                <c:pt idx="250">
                  <c:v>-7.0461583423122948E-2</c:v>
                </c:pt>
                <c:pt idx="251">
                  <c:v>9.7766676032306154E-4</c:v>
                </c:pt>
                <c:pt idx="252">
                  <c:v>0.1277346551776519</c:v>
                </c:pt>
                <c:pt idx="253">
                  <c:v>8.1005586592178769E-2</c:v>
                </c:pt>
                <c:pt idx="254">
                  <c:v>0.11915654755628285</c:v>
                </c:pt>
                <c:pt idx="255">
                  <c:v>0.27514721326596703</c:v>
                </c:pt>
                <c:pt idx="256">
                  <c:v>0.30150219589148808</c:v>
                </c:pt>
                <c:pt idx="257">
                  <c:v>0.35726066615428126</c:v>
                </c:pt>
                <c:pt idx="258">
                  <c:v>0.22459959418579381</c:v>
                </c:pt>
                <c:pt idx="259">
                  <c:v>0.21479394804197552</c:v>
                </c:pt>
                <c:pt idx="260">
                  <c:v>0.16654795374087941</c:v>
                </c:pt>
                <c:pt idx="261">
                  <c:v>0.13189192792792789</c:v>
                </c:pt>
                <c:pt idx="262">
                  <c:v>7.7866986623864265E-2</c:v>
                </c:pt>
                <c:pt idx="263">
                  <c:v>0.10786753970987432</c:v>
                </c:pt>
                <c:pt idx="264">
                  <c:v>8.4063467377872403E-2</c:v>
                </c:pt>
                <c:pt idx="265">
                  <c:v>0.10149870801033585</c:v>
                </c:pt>
                <c:pt idx="266">
                  <c:v>6.8687061483143519E-2</c:v>
                </c:pt>
                <c:pt idx="267">
                  <c:v>3.5786446439243384E-2</c:v>
                </c:pt>
                <c:pt idx="268">
                  <c:v>9.936768340964619E-2</c:v>
                </c:pt>
                <c:pt idx="269">
                  <c:v>8.5511674331661902E-2</c:v>
                </c:pt>
                <c:pt idx="270">
                  <c:v>0.12356138054904006</c:v>
                </c:pt>
                <c:pt idx="271">
                  <c:v>0.12178124933637528</c:v>
                </c:pt>
                <c:pt idx="272">
                  <c:v>0.12416115005739888</c:v>
                </c:pt>
                <c:pt idx="273">
                  <c:v>0.18412393555797718</c:v>
                </c:pt>
                <c:pt idx="274">
                  <c:v>0.24130227133316895</c:v>
                </c:pt>
                <c:pt idx="275">
                  <c:v>0.15633272235606713</c:v>
                </c:pt>
                <c:pt idx="276">
                  <c:v>0.11631707492174183</c:v>
                </c:pt>
                <c:pt idx="277">
                  <c:v>4.7949704419630423E-2</c:v>
                </c:pt>
                <c:pt idx="278">
                  <c:v>4.0298508590443406E-2</c:v>
                </c:pt>
                <c:pt idx="279">
                  <c:v>-6.5013189653817059E-3</c:v>
                </c:pt>
                <c:pt idx="280">
                  <c:v>-4.18150464878577E-2</c:v>
                </c:pt>
                <c:pt idx="281">
                  <c:v>-2.6880689069261637E-2</c:v>
                </c:pt>
                <c:pt idx="282">
                  <c:v>7.7288575074853406E-3</c:v>
                </c:pt>
                <c:pt idx="283">
                  <c:v>-6.1571664832898179E-2</c:v>
                </c:pt>
                <c:pt idx="284">
                  <c:v>-1.9176869674078587E-2</c:v>
                </c:pt>
                <c:pt idx="285">
                  <c:v>-2.9485579324510049E-2</c:v>
                </c:pt>
                <c:pt idx="286">
                  <c:v>-0.17750920849420096</c:v>
                </c:pt>
                <c:pt idx="287">
                  <c:v>-0.17365522642129877</c:v>
                </c:pt>
                <c:pt idx="288">
                  <c:v>-0.16771523888404075</c:v>
                </c:pt>
                <c:pt idx="289">
                  <c:v>-0.13843122313753589</c:v>
                </c:pt>
                <c:pt idx="290">
                  <c:v>-0.15728115559400532</c:v>
                </c:pt>
                <c:pt idx="291">
                  <c:v>-0.15574462787936222</c:v>
                </c:pt>
                <c:pt idx="292">
                  <c:v>-0.16836587427439367</c:v>
                </c:pt>
                <c:pt idx="293">
                  <c:v>-0.17513909121160384</c:v>
                </c:pt>
                <c:pt idx="294">
                  <c:v>-0.26714103430843622</c:v>
                </c:pt>
                <c:pt idx="295">
                  <c:v>-0.3079136498800959</c:v>
                </c:pt>
                <c:pt idx="296">
                  <c:v>-0.41399980632666245</c:v>
                </c:pt>
                <c:pt idx="297">
                  <c:v>-0.3175731709523209</c:v>
                </c:pt>
                <c:pt idx="298">
                  <c:v>-0.27084199948772408</c:v>
                </c:pt>
                <c:pt idx="299">
                  <c:v>-0.29718097497136942</c:v>
                </c:pt>
                <c:pt idx="300">
                  <c:v>-0.20285799937868901</c:v>
                </c:pt>
                <c:pt idx="301">
                  <c:v>-0.15204744177876278</c:v>
                </c:pt>
                <c:pt idx="302">
                  <c:v>-0.11300278421995794</c:v>
                </c:pt>
                <c:pt idx="303">
                  <c:v>-3.3329587716301241E-2</c:v>
                </c:pt>
                <c:pt idx="304">
                  <c:v>4.4340089875573863E-2</c:v>
                </c:pt>
                <c:pt idx="305">
                  <c:v>0.10686048837209311</c:v>
                </c:pt>
                <c:pt idx="306">
                  <c:v>0.11902663268255294</c:v>
                </c:pt>
                <c:pt idx="307">
                  <c:v>0.20415792919867143</c:v>
                </c:pt>
                <c:pt idx="308">
                  <c:v>0.31995595971111179</c:v>
                </c:pt>
                <c:pt idx="309">
                  <c:v>0.20487142882621306</c:v>
                </c:pt>
                <c:pt idx="310">
                  <c:v>0.30398737596130671</c:v>
                </c:pt>
                <c:pt idx="311">
                  <c:v>0.31549014922666735</c:v>
                </c:pt>
                <c:pt idx="312">
                  <c:v>0.31021040620120527</c:v>
                </c:pt>
                <c:pt idx="313">
                  <c:v>0.22208608761299606</c:v>
                </c:pt>
                <c:pt idx="314">
                  <c:v>0.23284543866548188</c:v>
                </c:pt>
                <c:pt idx="315">
                  <c:v>0.16426111692115289</c:v>
                </c:pt>
                <c:pt idx="316">
                  <c:v>9.906744708573903E-2</c:v>
                </c:pt>
                <c:pt idx="317">
                  <c:v>9.5493190555873672E-2</c:v>
                </c:pt>
                <c:pt idx="318">
                  <c:v>0.16552114929577472</c:v>
                </c:pt>
                <c:pt idx="319">
                  <c:v>0.18450745342452068</c:v>
                </c:pt>
                <c:pt idx="320">
                  <c:v>0.25479902510555535</c:v>
                </c:pt>
                <c:pt idx="321">
                  <c:v>0.15566038684119057</c:v>
                </c:pt>
                <c:pt idx="322">
                  <c:v>0.1190267452658208</c:v>
                </c:pt>
                <c:pt idx="323">
                  <c:v>0.19148460602096437</c:v>
                </c:pt>
                <c:pt idx="324">
                  <c:v>1.1600218009119461E-2</c:v>
                </c:pt>
                <c:pt idx="325">
                  <c:v>1.10320931805442E-3</c:v>
                </c:pt>
                <c:pt idx="326">
                  <c:v>-4.2327518993700047E-2</c:v>
                </c:pt>
                <c:pt idx="327">
                  <c:v>-3.1483638641121948E-2</c:v>
                </c:pt>
                <c:pt idx="328">
                  <c:v>-4.0527021361549308E-2</c:v>
                </c:pt>
                <c:pt idx="329">
                  <c:v>-3.6440314887229784E-2</c:v>
                </c:pt>
                <c:pt idx="330">
                  <c:v>-4.437358769579304E-2</c:v>
                </c:pt>
                <c:pt idx="331">
                  <c:v>-5.966384959036633E-2</c:v>
                </c:pt>
                <c:pt idx="332">
                  <c:v>-8.2763199976495588E-2</c:v>
                </c:pt>
                <c:pt idx="333">
                  <c:v>-0.10262396301994242</c:v>
                </c:pt>
                <c:pt idx="334">
                  <c:v>-7.1204663490786815E-2</c:v>
                </c:pt>
                <c:pt idx="335">
                  <c:v>-0.11501955253135632</c:v>
                </c:pt>
                <c:pt idx="336">
                  <c:v>-0.12525726869800324</c:v>
                </c:pt>
                <c:pt idx="337">
                  <c:v>-0.12803044480064105</c:v>
                </c:pt>
                <c:pt idx="338">
                  <c:v>-9.357853268804181E-2</c:v>
                </c:pt>
                <c:pt idx="339">
                  <c:v>-1.6355139854629559E-2</c:v>
                </c:pt>
                <c:pt idx="340">
                  <c:v>1.1652049157759629E-2</c:v>
                </c:pt>
                <c:pt idx="341">
                  <c:v>-4.9263573369917123E-2</c:v>
                </c:pt>
                <c:pt idx="342">
                  <c:v>1.8512918938045981E-2</c:v>
                </c:pt>
                <c:pt idx="343">
                  <c:v>6.73762963948423E-2</c:v>
                </c:pt>
                <c:pt idx="344">
                  <c:v>6.2260458533724833E-2</c:v>
                </c:pt>
                <c:pt idx="345">
                  <c:v>8.7719951818061737E-3</c:v>
                </c:pt>
                <c:pt idx="346">
                  <c:v>-1.3709268929467811E-3</c:v>
                </c:pt>
                <c:pt idx="347">
                  <c:v>1.0620431348484335E-2</c:v>
                </c:pt>
                <c:pt idx="348">
                  <c:v>0.11966386554621856</c:v>
                </c:pt>
                <c:pt idx="349">
                  <c:v>0.10615806403770606</c:v>
                </c:pt>
                <c:pt idx="350">
                  <c:v>0.1387736480077755</c:v>
                </c:pt>
                <c:pt idx="351">
                  <c:v>5.0913971890654379E-2</c:v>
                </c:pt>
                <c:pt idx="352">
                  <c:v>1.8922295740894539E-2</c:v>
                </c:pt>
                <c:pt idx="353">
                  <c:v>7.7253272032380083E-2</c:v>
                </c:pt>
                <c:pt idx="354">
                  <c:v>3.1088577671831406E-2</c:v>
                </c:pt>
                <c:pt idx="355">
                  <c:v>5.8379310113473512E-2</c:v>
                </c:pt>
                <c:pt idx="356">
                  <c:v>6.6120527929388148E-2</c:v>
                </c:pt>
                <c:pt idx="357">
                  <c:v>9.3075660910882138E-2</c:v>
                </c:pt>
                <c:pt idx="358">
                  <c:v>0.12101380531194743</c:v>
                </c:pt>
                <c:pt idx="359">
                  <c:v>0.12308813731049707</c:v>
                </c:pt>
                <c:pt idx="360">
                  <c:v>0.14239971980386262</c:v>
                </c:pt>
                <c:pt idx="361">
                  <c:v>0.18051521791145839</c:v>
                </c:pt>
                <c:pt idx="362">
                  <c:v>4.9217444599564709E-3</c:v>
                </c:pt>
                <c:pt idx="363">
                  <c:v>4.4516498731987091E-2</c:v>
                </c:pt>
                <c:pt idx="364">
                  <c:v>0.1227290649428934</c:v>
                </c:pt>
                <c:pt idx="365">
                  <c:v>0.11009613798090999</c:v>
                </c:pt>
                <c:pt idx="366">
                  <c:v>0.17204508567662255</c:v>
                </c:pt>
                <c:pt idx="367">
                  <c:v>0.11946576106842308</c:v>
                </c:pt>
                <c:pt idx="368">
                  <c:v>0.14763994694474938</c:v>
                </c:pt>
                <c:pt idx="369">
                  <c:v>0.25191515419367516</c:v>
                </c:pt>
                <c:pt idx="370">
                  <c:v>0.32366238418755144</c:v>
                </c:pt>
                <c:pt idx="371">
                  <c:v>0.25773570951017766</c:v>
                </c:pt>
                <c:pt idx="372">
                  <c:v>0.13481077838784941</c:v>
                </c:pt>
                <c:pt idx="373">
                  <c:v>0.1549357679065364</c:v>
                </c:pt>
                <c:pt idx="374">
                  <c:v>0.33215795208768545</c:v>
                </c:pt>
                <c:pt idx="375">
                  <c:v>0.24950603773162069</c:v>
                </c:pt>
                <c:pt idx="376">
                  <c:v>0.19192734972900677</c:v>
                </c:pt>
                <c:pt idx="377">
                  <c:v>0.14854700014963226</c:v>
                </c:pt>
                <c:pt idx="378">
                  <c:v>7.6025315624645484E-2</c:v>
                </c:pt>
                <c:pt idx="379">
                  <c:v>3.350253391491754E-3</c:v>
                </c:pt>
                <c:pt idx="380">
                  <c:v>-7.396779112041911E-2</c:v>
                </c:pt>
                <c:pt idx="381">
                  <c:v>-4.3775021230289264E-2</c:v>
                </c:pt>
                <c:pt idx="382">
                  <c:v>-0.10083977794364424</c:v>
                </c:pt>
                <c:pt idx="383">
                  <c:v>-9.7304010654979761E-2</c:v>
                </c:pt>
                <c:pt idx="384">
                  <c:v>-7.0629106816770995E-2</c:v>
                </c:pt>
                <c:pt idx="385">
                  <c:v>-0.13834084289355247</c:v>
                </c:pt>
                <c:pt idx="386">
                  <c:v>-0.17676471323529414</c:v>
                </c:pt>
                <c:pt idx="387">
                  <c:v>-0.12325876249166121</c:v>
                </c:pt>
                <c:pt idx="388">
                  <c:v>-0.15619578870792039</c:v>
                </c:pt>
                <c:pt idx="389">
                  <c:v>-0.16462163590921838</c:v>
                </c:pt>
                <c:pt idx="390">
                  <c:v>-0.18201957198318927</c:v>
                </c:pt>
                <c:pt idx="391">
                  <c:v>-2.6712264624869607E-2</c:v>
                </c:pt>
                <c:pt idx="392">
                  <c:v>3.6495076605267684E-2</c:v>
                </c:pt>
                <c:pt idx="393">
                  <c:v>9.7054738674663479E-2</c:v>
                </c:pt>
                <c:pt idx="394">
                  <c:v>9.6398901407184864E-2</c:v>
                </c:pt>
                <c:pt idx="395">
                  <c:v>0.14761318284096642</c:v>
                </c:pt>
                <c:pt idx="396">
                  <c:v>0.20681063609949113</c:v>
                </c:pt>
                <c:pt idx="397">
                  <c:v>0.30899121820359643</c:v>
                </c:pt>
                <c:pt idx="398">
                  <c:v>0.3662022898017353</c:v>
                </c:pt>
                <c:pt idx="399">
                  <c:v>0.4121435088948211</c:v>
                </c:pt>
                <c:pt idx="400">
                  <c:v>0.45146588625668255</c:v>
                </c:pt>
                <c:pt idx="401">
                  <c:v>0.52942247487070082</c:v>
                </c:pt>
                <c:pt idx="402">
                  <c:v>0.5179755726202474</c:v>
                </c:pt>
                <c:pt idx="403">
                  <c:v>0.3756170299453262</c:v>
                </c:pt>
                <c:pt idx="404">
                  <c:v>0.37908993321856721</c:v>
                </c:pt>
                <c:pt idx="405">
                  <c:v>0.22307808687497699</c:v>
                </c:pt>
                <c:pt idx="406">
                  <c:v>0.20118382445090457</c:v>
                </c:pt>
                <c:pt idx="407">
                  <c:v>0.17271042500505143</c:v>
                </c:pt>
                <c:pt idx="408">
                  <c:v>0.12463868290491352</c:v>
                </c:pt>
                <c:pt idx="409">
                  <c:v>6.0786168590924873E-2</c:v>
                </c:pt>
                <c:pt idx="410">
                  <c:v>4.0664132553288955E-2</c:v>
                </c:pt>
                <c:pt idx="411">
                  <c:v>-2.6637415231173744E-2</c:v>
                </c:pt>
                <c:pt idx="412">
                  <c:v>-7.2910869344854093E-2</c:v>
                </c:pt>
                <c:pt idx="413">
                  <c:v>-8.6256299727131308E-2</c:v>
                </c:pt>
                <c:pt idx="414">
                  <c:v>-7.3203704148667739E-2</c:v>
                </c:pt>
                <c:pt idx="415">
                  <c:v>1.3868607562114655E-2</c:v>
                </c:pt>
                <c:pt idx="416">
                  <c:v>1.8064068606924103E-4</c:v>
                </c:pt>
                <c:pt idx="417">
                  <c:v>1.5530375746920712E-2</c:v>
                </c:pt>
                <c:pt idx="418">
                  <c:v>-1.694706791876438E-2</c:v>
                </c:pt>
                <c:pt idx="419">
                  <c:v>1.400601526733831E-2</c:v>
                </c:pt>
                <c:pt idx="420">
                  <c:v>9.9259534930309562E-2</c:v>
                </c:pt>
                <c:pt idx="421">
                  <c:v>0.15357185347729335</c:v>
                </c:pt>
                <c:pt idx="422">
                  <c:v>0.13494165061308924</c:v>
                </c:pt>
                <c:pt idx="423">
                  <c:v>0.12358637069191435</c:v>
                </c:pt>
                <c:pt idx="424">
                  <c:v>0.259050144289934</c:v>
                </c:pt>
                <c:pt idx="425">
                  <c:v>0.25244819667800883</c:v>
                </c:pt>
                <c:pt idx="426">
                  <c:v>0.26722416654124082</c:v>
                </c:pt>
                <c:pt idx="427">
                  <c:v>0.13168954236757147</c:v>
                </c:pt>
                <c:pt idx="428">
                  <c:v>9.6207076596974958E-2</c:v>
                </c:pt>
                <c:pt idx="429">
                  <c:v>0.14287441490455566</c:v>
                </c:pt>
                <c:pt idx="430">
                  <c:v>0.23590900799719994</c:v>
                </c:pt>
                <c:pt idx="431">
                  <c:v>0.26333408684124354</c:v>
                </c:pt>
                <c:pt idx="432">
                  <c:v>0.17897897403053567</c:v>
                </c:pt>
                <c:pt idx="433">
                  <c:v>0.25245615833531904</c:v>
                </c:pt>
                <c:pt idx="434">
                  <c:v>0.32237345682777696</c:v>
                </c:pt>
                <c:pt idx="435">
                  <c:v>0.30968137341176244</c:v>
                </c:pt>
                <c:pt idx="436">
                  <c:v>0.30493274642680962</c:v>
                </c:pt>
                <c:pt idx="437">
                  <c:v>0.30747974018828023</c:v>
                </c:pt>
                <c:pt idx="438">
                  <c:v>0.23674836304995142</c:v>
                </c:pt>
                <c:pt idx="439">
                  <c:v>0.34087889675876315</c:v>
                </c:pt>
                <c:pt idx="440">
                  <c:v>0.27043060445484834</c:v>
                </c:pt>
                <c:pt idx="441">
                  <c:v>0.28532286904825577</c:v>
                </c:pt>
                <c:pt idx="442">
                  <c:v>0.23272495160236389</c:v>
                </c:pt>
                <c:pt idx="443">
                  <c:v>0.14620408531902723</c:v>
                </c:pt>
                <c:pt idx="444">
                  <c:v>0.29417314332879951</c:v>
                </c:pt>
                <c:pt idx="445">
                  <c:v>0.25242382559865889</c:v>
                </c:pt>
                <c:pt idx="446">
                  <c:v>0.22101305703674495</c:v>
                </c:pt>
                <c:pt idx="447">
                  <c:v>0.22435453508229389</c:v>
                </c:pt>
                <c:pt idx="448">
                  <c:v>0.17283201521329253</c:v>
                </c:pt>
                <c:pt idx="449">
                  <c:v>0.2119279415073822</c:v>
                </c:pt>
                <c:pt idx="450">
                  <c:v>0.34956806178146849</c:v>
                </c:pt>
                <c:pt idx="451">
                  <c:v>0.30391806874402588</c:v>
                </c:pt>
                <c:pt idx="452">
                  <c:v>0.39127605594443898</c:v>
                </c:pt>
                <c:pt idx="453">
                  <c:v>3.2010808787782792E-2</c:v>
                </c:pt>
                <c:pt idx="454">
                  <c:v>-7.5916852275431906E-2</c:v>
                </c:pt>
                <c:pt idx="455">
                  <c:v>2.0275030105091775E-2</c:v>
                </c:pt>
                <c:pt idx="456">
                  <c:v>-6.2062101601019271E-2</c:v>
                </c:pt>
                <c:pt idx="457">
                  <c:v>-5.7635483139951586E-2</c:v>
                </c:pt>
                <c:pt idx="458">
                  <c:v>-0.11247855896557182</c:v>
                </c:pt>
                <c:pt idx="459">
                  <c:v>-9.3736993362653898E-2</c:v>
                </c:pt>
                <c:pt idx="460">
                  <c:v>-9.6311621586109147E-2</c:v>
                </c:pt>
                <c:pt idx="461">
                  <c:v>-0.10032894736842106</c:v>
                </c:pt>
                <c:pt idx="462">
                  <c:v>-0.14636293985611074</c:v>
                </c:pt>
                <c:pt idx="463">
                  <c:v>-0.20703457090483574</c:v>
                </c:pt>
                <c:pt idx="464">
                  <c:v>-0.15511290127231059</c:v>
                </c:pt>
                <c:pt idx="465">
                  <c:v>0.10794713354632808</c:v>
                </c:pt>
                <c:pt idx="466">
                  <c:v>0.18844988464893772</c:v>
                </c:pt>
                <c:pt idx="467">
                  <c:v>0.12400841327498457</c:v>
                </c:pt>
                <c:pt idx="468">
                  <c:v>0.1571556109227478</c:v>
                </c:pt>
                <c:pt idx="469">
                  <c:v>7.8560142820099405E-2</c:v>
                </c:pt>
                <c:pt idx="470">
                  <c:v>0.13897785899545029</c:v>
                </c:pt>
                <c:pt idx="471">
                  <c:v>0.18486216815217607</c:v>
                </c:pt>
                <c:pt idx="472">
                  <c:v>0.22261208464125593</c:v>
                </c:pt>
                <c:pt idx="473">
                  <c:v>0.16263258135283359</c:v>
                </c:pt>
                <c:pt idx="474">
                  <c:v>0.27225939634899404</c:v>
                </c:pt>
                <c:pt idx="475">
                  <c:v>0.34387437588948505</c:v>
                </c:pt>
                <c:pt idx="476">
                  <c:v>0.2840645392362981</c:v>
                </c:pt>
                <c:pt idx="477">
                  <c:v>0.22005944646356423</c:v>
                </c:pt>
                <c:pt idx="478">
                  <c:v>0.26412120873418143</c:v>
                </c:pt>
                <c:pt idx="479">
                  <c:v>0.27250465478717883</c:v>
                </c:pt>
                <c:pt idx="480">
                  <c:v>0.10626276899767109</c:v>
                </c:pt>
                <c:pt idx="481">
                  <c:v>0.14896500808168361</c:v>
                </c:pt>
                <c:pt idx="482">
                  <c:v>0.15284704366071553</c:v>
                </c:pt>
                <c:pt idx="483">
                  <c:v>6.8337333596886624E-2</c:v>
                </c:pt>
                <c:pt idx="484">
                  <c:v>0.12701242792068104</c:v>
                </c:pt>
                <c:pt idx="485">
                  <c:v>0.12591979563143049</c:v>
                </c:pt>
                <c:pt idx="486">
                  <c:v>2.9097339858603192E-2</c:v>
                </c:pt>
                <c:pt idx="487">
                  <c:v>-8.2202341765747353E-2</c:v>
                </c:pt>
                <c:pt idx="488">
                  <c:v>-0.12344266573294001</c:v>
                </c:pt>
                <c:pt idx="489">
                  <c:v>-0.10682802503942992</c:v>
                </c:pt>
                <c:pt idx="490">
                  <c:v>-6.8701377747951473E-2</c:v>
                </c:pt>
                <c:pt idx="491">
                  <c:v>-6.5591379155484561E-2</c:v>
                </c:pt>
                <c:pt idx="492">
                  <c:v>4.5125825290615457E-2</c:v>
                </c:pt>
                <c:pt idx="493">
                  <c:v>0.10599894666912461</c:v>
                </c:pt>
                <c:pt idx="494">
                  <c:v>0.10378301698074366</c:v>
                </c:pt>
                <c:pt idx="495">
                  <c:v>0.13464331806444926</c:v>
                </c:pt>
                <c:pt idx="496">
                  <c:v>7.9173864654340773E-2</c:v>
                </c:pt>
                <c:pt idx="497">
                  <c:v>3.6701903256021844E-2</c:v>
                </c:pt>
                <c:pt idx="498">
                  <c:v>8.889514118593532E-2</c:v>
                </c:pt>
                <c:pt idx="499">
                  <c:v>0.22591144423308193</c:v>
                </c:pt>
                <c:pt idx="500">
                  <c:v>0.26730926387097265</c:v>
                </c:pt>
                <c:pt idx="501">
                  <c:v>0.29095398684210533</c:v>
                </c:pt>
                <c:pt idx="502">
                  <c:v>0.16448389248189468</c:v>
                </c:pt>
                <c:pt idx="503">
                  <c:v>0.26306703027355377</c:v>
                </c:pt>
                <c:pt idx="504">
                  <c:v>0.1885558320585316</c:v>
                </c:pt>
                <c:pt idx="505">
                  <c:v>0.12430872620982091</c:v>
                </c:pt>
                <c:pt idx="506">
                  <c:v>7.5875488844209998E-2</c:v>
                </c:pt>
                <c:pt idx="507">
                  <c:v>0.105531028992711</c:v>
                </c:pt>
                <c:pt idx="508">
                  <c:v>6.5464484136773166E-2</c:v>
                </c:pt>
                <c:pt idx="509">
                  <c:v>9.9633609767931758E-2</c:v>
                </c:pt>
                <c:pt idx="510">
                  <c:v>9.3860377988501456E-2</c:v>
                </c:pt>
                <c:pt idx="511">
                  <c:v>4.7037418327546918E-2</c:v>
                </c:pt>
                <c:pt idx="512">
                  <c:v>7.7192812246408948E-2</c:v>
                </c:pt>
                <c:pt idx="513">
                  <c:v>6.6836489229104692E-2</c:v>
                </c:pt>
                <c:pt idx="514">
                  <c:v>0.14959225214649466</c:v>
                </c:pt>
                <c:pt idx="515">
                  <c:v>4.4642631514950119E-2</c:v>
                </c:pt>
                <c:pt idx="516">
                  <c:v>7.338910923574811E-2</c:v>
                </c:pt>
                <c:pt idx="517">
                  <c:v>7.4339694954988197E-2</c:v>
                </c:pt>
                <c:pt idx="518">
                  <c:v>0.11885360242337632</c:v>
                </c:pt>
                <c:pt idx="519">
                  <c:v>6.0826579756792433E-2</c:v>
                </c:pt>
                <c:pt idx="520">
                  <c:v>8.3881053320605914E-2</c:v>
                </c:pt>
                <c:pt idx="521">
                  <c:v>0.10386137708158796</c:v>
                </c:pt>
                <c:pt idx="522">
                  <c:v>5.63872009322854E-2</c:v>
                </c:pt>
                <c:pt idx="523">
                  <c:v>0.11962901026406068</c:v>
                </c:pt>
                <c:pt idx="524">
                  <c:v>9.844424648475586E-2</c:v>
                </c:pt>
                <c:pt idx="525">
                  <c:v>0.11739274582437473</c:v>
                </c:pt>
                <c:pt idx="526">
                  <c:v>7.056914936034564E-2</c:v>
                </c:pt>
                <c:pt idx="527">
                  <c:v>7.0551563275949788E-2</c:v>
                </c:pt>
                <c:pt idx="528">
                  <c:v>9.7611527639390017E-2</c:v>
                </c:pt>
                <c:pt idx="529">
                  <c:v>5.3588366033781844E-2</c:v>
                </c:pt>
                <c:pt idx="530">
                  <c:v>-1.3062686984269585E-2</c:v>
                </c:pt>
                <c:pt idx="531">
                  <c:v>2.4353124676375595E-2</c:v>
                </c:pt>
                <c:pt idx="532">
                  <c:v>1.401629972226706E-2</c:v>
                </c:pt>
                <c:pt idx="533">
                  <c:v>-1.3894768414744267E-2</c:v>
                </c:pt>
                <c:pt idx="534">
                  <c:v>2.2605058547686491E-2</c:v>
                </c:pt>
                <c:pt idx="535">
                  <c:v>2.5735594208885923E-2</c:v>
                </c:pt>
                <c:pt idx="536">
                  <c:v>8.236546004087332E-3</c:v>
                </c:pt>
                <c:pt idx="537">
                  <c:v>9.6616701058113031E-3</c:v>
                </c:pt>
                <c:pt idx="538">
                  <c:v>-1.7540455276502106E-2</c:v>
                </c:pt>
                <c:pt idx="539">
                  <c:v>-1.5392909883771223E-2</c:v>
                </c:pt>
                <c:pt idx="540">
                  <c:v>-2.3234509973874422E-2</c:v>
                </c:pt>
                <c:pt idx="541">
                  <c:v>4.334888759208521E-2</c:v>
                </c:pt>
                <c:pt idx="542">
                  <c:v>0.12324742211391891</c:v>
                </c:pt>
                <c:pt idx="543">
                  <c:v>0.14149168888255573</c:v>
                </c:pt>
                <c:pt idx="544">
                  <c:v>0.16845569331872953</c:v>
                </c:pt>
                <c:pt idx="545">
                  <c:v>0.22616880160230671</c:v>
                </c:pt>
                <c:pt idx="546">
                  <c:v>0.22650893757890836</c:v>
                </c:pt>
                <c:pt idx="547">
                  <c:v>0.18168629585661733</c:v>
                </c:pt>
                <c:pt idx="548">
                  <c:v>0.26301567799948378</c:v>
                </c:pt>
                <c:pt idx="549">
                  <c:v>0.23107863366894926</c:v>
                </c:pt>
                <c:pt idx="550">
                  <c:v>0.33432518312360787</c:v>
                </c:pt>
                <c:pt idx="551">
                  <c:v>0.34110655551673758</c:v>
                </c:pt>
                <c:pt idx="552">
                  <c:v>0.35202585439323147</c:v>
                </c:pt>
                <c:pt idx="553">
                  <c:v>0.31399900139521725</c:v>
                </c:pt>
                <c:pt idx="554">
                  <c:v>0.28916940265328156</c:v>
                </c:pt>
                <c:pt idx="555">
                  <c:v>0.27094860220149364</c:v>
                </c:pt>
                <c:pt idx="556">
                  <c:v>0.25444312878396119</c:v>
                </c:pt>
                <c:pt idx="557">
                  <c:v>0.2310784855438274</c:v>
                </c:pt>
                <c:pt idx="558">
                  <c:v>0.13857953648571175</c:v>
                </c:pt>
                <c:pt idx="559">
                  <c:v>0.16037229336893746</c:v>
                </c:pt>
                <c:pt idx="560">
                  <c:v>0.17610932180310337</c:v>
                </c:pt>
                <c:pt idx="561">
                  <c:v>0.21284612209802242</c:v>
                </c:pt>
                <c:pt idx="562">
                  <c:v>0.25050799717947703</c:v>
                </c:pt>
                <c:pt idx="563">
                  <c:v>0.2026366606894561</c:v>
                </c:pt>
                <c:pt idx="564">
                  <c:v>0.2360616777440433</c:v>
                </c:pt>
                <c:pt idx="565">
                  <c:v>0.23482662530453985</c:v>
                </c:pt>
                <c:pt idx="566">
                  <c:v>0.17292020914020143</c:v>
                </c:pt>
                <c:pt idx="567">
                  <c:v>0.22497217516016776</c:v>
                </c:pt>
                <c:pt idx="568">
                  <c:v>0.26775471565455161</c:v>
                </c:pt>
                <c:pt idx="569">
                  <c:v>0.31986342454212136</c:v>
                </c:pt>
                <c:pt idx="570">
                  <c:v>0.49122584593372887</c:v>
                </c:pt>
                <c:pt idx="571">
                  <c:v>0.37957635055102601</c:v>
                </c:pt>
                <c:pt idx="572">
                  <c:v>0.37820261820458223</c:v>
                </c:pt>
                <c:pt idx="573">
                  <c:v>0.29683662861495225</c:v>
                </c:pt>
                <c:pt idx="574">
                  <c:v>0.26205384105957985</c:v>
                </c:pt>
                <c:pt idx="575">
                  <c:v>0.31008181831792275</c:v>
                </c:pt>
                <c:pt idx="576">
                  <c:v>0.24692182592206327</c:v>
                </c:pt>
                <c:pt idx="577">
                  <c:v>0.32690113643015101</c:v>
                </c:pt>
                <c:pt idx="578">
                  <c:v>0.45518544917044484</c:v>
                </c:pt>
                <c:pt idx="579">
                  <c:v>0.38736361911446121</c:v>
                </c:pt>
                <c:pt idx="580">
                  <c:v>0.2859196358611904</c:v>
                </c:pt>
                <c:pt idx="581">
                  <c:v>0.28097244140521666</c:v>
                </c:pt>
                <c:pt idx="582">
                  <c:v>0.17432495347282323</c:v>
                </c:pt>
                <c:pt idx="583">
                  <c:v>6.4271248472840936E-2</c:v>
                </c:pt>
                <c:pt idx="584">
                  <c:v>7.3610736915472277E-2</c:v>
                </c:pt>
                <c:pt idx="585">
                  <c:v>0.20123116704878066</c:v>
                </c:pt>
                <c:pt idx="586">
                  <c:v>0.21795057124679321</c:v>
                </c:pt>
                <c:pt idx="587">
                  <c:v>0.26668589065342307</c:v>
                </c:pt>
                <c:pt idx="588">
                  <c:v>0.30538211240045565</c:v>
                </c:pt>
                <c:pt idx="589">
                  <c:v>0.18010368052635484</c:v>
                </c:pt>
                <c:pt idx="590">
                  <c:v>0.16756977081915136</c:v>
                </c:pt>
                <c:pt idx="591">
                  <c:v>0.20097148999325382</c:v>
                </c:pt>
                <c:pt idx="592">
                  <c:v>0.1934508263933046</c:v>
                </c:pt>
                <c:pt idx="593">
                  <c:v>0.21067346553561159</c:v>
                </c:pt>
                <c:pt idx="594">
                  <c:v>0.18564779893411698</c:v>
                </c:pt>
                <c:pt idx="595">
                  <c:v>0.37933519346406419</c:v>
                </c:pt>
                <c:pt idx="596">
                  <c:v>0.26125598409793438</c:v>
                </c:pt>
                <c:pt idx="597">
                  <c:v>0.24052718233573681</c:v>
                </c:pt>
                <c:pt idx="598">
                  <c:v>0.19360108284591718</c:v>
                </c:pt>
                <c:pt idx="599">
                  <c:v>0.19526046704458014</c:v>
                </c:pt>
                <c:pt idx="600">
                  <c:v>8.9728317850391759E-2</c:v>
                </c:pt>
                <c:pt idx="601">
                  <c:v>0.10343776905288717</c:v>
                </c:pt>
                <c:pt idx="602">
                  <c:v>0.16496805882043294</c:v>
                </c:pt>
                <c:pt idx="603">
                  <c:v>8.781587146148305E-2</c:v>
                </c:pt>
                <c:pt idx="604">
                  <c:v>9.1224738141124154E-2</c:v>
                </c:pt>
                <c:pt idx="605">
                  <c:v>5.9655730144439409E-2</c:v>
                </c:pt>
                <c:pt idx="606">
                  <c:v>7.6848385836446542E-2</c:v>
                </c:pt>
                <c:pt idx="607">
                  <c:v>0.14940057627583883</c:v>
                </c:pt>
                <c:pt idx="608">
                  <c:v>0.1199024359958174</c:v>
                </c:pt>
                <c:pt idx="609">
                  <c:v>4.8769905546451546E-2</c:v>
                </c:pt>
                <c:pt idx="610">
                  <c:v>-5.325044904960341E-2</c:v>
                </c:pt>
                <c:pt idx="611">
                  <c:v>-0.10139184686064318</c:v>
                </c:pt>
                <c:pt idx="612">
                  <c:v>-2.0402128275951305E-2</c:v>
                </c:pt>
                <c:pt idx="613">
                  <c:v>-9.2563120363594348E-2</c:v>
                </c:pt>
                <c:pt idx="614">
                  <c:v>-0.22571368224012198</c:v>
                </c:pt>
                <c:pt idx="615">
                  <c:v>-0.13974517563928068</c:v>
                </c:pt>
                <c:pt idx="616">
                  <c:v>-0.1159932653694483</c:v>
                </c:pt>
                <c:pt idx="617">
                  <c:v>-0.15827029753780222</c:v>
                </c:pt>
                <c:pt idx="618">
                  <c:v>-0.15347734025216339</c:v>
                </c:pt>
                <c:pt idx="619">
                  <c:v>-0.25308370956557352</c:v>
                </c:pt>
                <c:pt idx="620">
                  <c:v>-0.27536882182951156</c:v>
                </c:pt>
                <c:pt idx="621">
                  <c:v>-0.25858401342800036</c:v>
                </c:pt>
                <c:pt idx="622">
                  <c:v>-0.13346515573960427</c:v>
                </c:pt>
                <c:pt idx="623">
                  <c:v>-0.130426931573317</c:v>
                </c:pt>
                <c:pt idx="624">
                  <c:v>-0.1726268894618129</c:v>
                </c:pt>
                <c:pt idx="625">
                  <c:v>-0.10743259136613297</c:v>
                </c:pt>
                <c:pt idx="626">
                  <c:v>-1.1151949437389246E-2</c:v>
                </c:pt>
                <c:pt idx="627">
                  <c:v>-0.13809159347683975</c:v>
                </c:pt>
                <c:pt idx="628">
                  <c:v>-0.1502444133022236</c:v>
                </c:pt>
                <c:pt idx="629">
                  <c:v>-0.19157450876535667</c:v>
                </c:pt>
                <c:pt idx="630">
                  <c:v>-0.24736011322969403</c:v>
                </c:pt>
                <c:pt idx="631">
                  <c:v>-0.19187878883066631</c:v>
                </c:pt>
                <c:pt idx="632">
                  <c:v>-0.21678475684506379</c:v>
                </c:pt>
                <c:pt idx="633">
                  <c:v>-0.16420390480862707</c:v>
                </c:pt>
                <c:pt idx="634">
                  <c:v>-0.17827896067020857</c:v>
                </c:pt>
                <c:pt idx="635">
                  <c:v>-0.23365963981693275</c:v>
                </c:pt>
                <c:pt idx="636">
                  <c:v>-0.24287732339496448</c:v>
                </c:pt>
                <c:pt idx="637">
                  <c:v>-0.23996815917103828</c:v>
                </c:pt>
                <c:pt idx="638">
                  <c:v>-0.26077446908930962</c:v>
                </c:pt>
                <c:pt idx="639">
                  <c:v>-0.14857190363521544</c:v>
                </c:pt>
                <c:pt idx="640">
                  <c:v>-9.7035053080640019E-2</c:v>
                </c:pt>
                <c:pt idx="641">
                  <c:v>-1.5477568539388023E-2</c:v>
                </c:pt>
                <c:pt idx="642">
                  <c:v>8.6318864693177261E-2</c:v>
                </c:pt>
                <c:pt idx="643">
                  <c:v>0.10036351184675335</c:v>
                </c:pt>
                <c:pt idx="644">
                  <c:v>0.22162929983901269</c:v>
                </c:pt>
                <c:pt idx="645">
                  <c:v>0.18622420197091541</c:v>
                </c:pt>
                <c:pt idx="646">
                  <c:v>0.1301811934726346</c:v>
                </c:pt>
                <c:pt idx="647">
                  <c:v>0.263803999856075</c:v>
                </c:pt>
                <c:pt idx="648">
                  <c:v>0.32187681329610635</c:v>
                </c:pt>
                <c:pt idx="649">
                  <c:v>0.36116020725453851</c:v>
                </c:pt>
                <c:pt idx="650">
                  <c:v>0.32779595167838399</c:v>
                </c:pt>
                <c:pt idx="651">
                  <c:v>0.20762996720510993</c:v>
                </c:pt>
                <c:pt idx="652">
                  <c:v>0.16302579167312198</c:v>
                </c:pt>
                <c:pt idx="653">
                  <c:v>0.17069262801436635</c:v>
                </c:pt>
                <c:pt idx="654">
                  <c:v>0.11250009918611369</c:v>
                </c:pt>
                <c:pt idx="655">
                  <c:v>9.5465301976515163E-2</c:v>
                </c:pt>
                <c:pt idx="656">
                  <c:v>0.11908992083457108</c:v>
                </c:pt>
                <c:pt idx="657">
                  <c:v>7.5653598947845166E-2</c:v>
                </c:pt>
                <c:pt idx="658">
                  <c:v>0.10926100959534066</c:v>
                </c:pt>
                <c:pt idx="659">
                  <c:v>8.9934524105044378E-2</c:v>
                </c:pt>
                <c:pt idx="660">
                  <c:v>4.4327367126999646E-2</c:v>
                </c:pt>
                <c:pt idx="661">
                  <c:v>5.1234159015158223E-2</c:v>
                </c:pt>
                <c:pt idx="662">
                  <c:v>4.8285849782143758E-2</c:v>
                </c:pt>
                <c:pt idx="663">
                  <c:v>4.4748419405154408E-2</c:v>
                </c:pt>
                <c:pt idx="664">
                  <c:v>6.3193723977887514E-2</c:v>
                </c:pt>
                <c:pt idx="665">
                  <c:v>4.4256855917335594E-2</c:v>
                </c:pt>
                <c:pt idx="666">
                  <c:v>0.12023026402958792</c:v>
                </c:pt>
                <c:pt idx="667">
                  <c:v>0.10513110107522913</c:v>
                </c:pt>
                <c:pt idx="668">
                  <c:v>0.10248713193259675</c:v>
                </c:pt>
                <c:pt idx="669">
                  <c:v>6.7961477906664597E-2</c:v>
                </c:pt>
                <c:pt idx="670">
                  <c:v>6.4456251793833463E-2</c:v>
                </c:pt>
                <c:pt idx="671">
                  <c:v>3.001022648322501E-2</c:v>
                </c:pt>
                <c:pt idx="672">
                  <c:v>8.3647205403553804E-2</c:v>
                </c:pt>
                <c:pt idx="673">
                  <c:v>6.4024642353432568E-2</c:v>
                </c:pt>
                <c:pt idx="674">
                  <c:v>9.6799085449791142E-2</c:v>
                </c:pt>
                <c:pt idx="675">
                  <c:v>0.13291266126974452</c:v>
                </c:pt>
                <c:pt idx="676">
                  <c:v>6.5958846831724718E-2</c:v>
                </c:pt>
                <c:pt idx="677">
                  <c:v>6.6203317227758865E-2</c:v>
                </c:pt>
                <c:pt idx="678">
                  <c:v>3.441959693184287E-2</c:v>
                </c:pt>
                <c:pt idx="679">
                  <c:v>6.8415914556144874E-2</c:v>
                </c:pt>
                <c:pt idx="680">
                  <c:v>8.7108594380411131E-2</c:v>
                </c:pt>
                <c:pt idx="681">
                  <c:v>0.14161434419255572</c:v>
                </c:pt>
                <c:pt idx="682">
                  <c:v>0.12097034559929476</c:v>
                </c:pt>
                <c:pt idx="683">
                  <c:v>0.13619431757718287</c:v>
                </c:pt>
                <c:pt idx="684">
                  <c:v>0.12355480863415691</c:v>
                </c:pt>
                <c:pt idx="685">
                  <c:v>9.8511633572224117E-2</c:v>
                </c:pt>
                <c:pt idx="686">
                  <c:v>9.7299335444096094E-2</c:v>
                </c:pt>
                <c:pt idx="687">
                  <c:v>0.13105348804434749</c:v>
                </c:pt>
                <c:pt idx="688">
                  <c:v>0.20512722403477363</c:v>
                </c:pt>
                <c:pt idx="689">
                  <c:v>0.18355379782249726</c:v>
                </c:pt>
                <c:pt idx="690">
                  <c:v>0.1399041101336771</c:v>
                </c:pt>
                <c:pt idx="691">
                  <c:v>0.13051652148907986</c:v>
                </c:pt>
                <c:pt idx="692">
                  <c:v>0.1429052868433783</c:v>
                </c:pt>
                <c:pt idx="693">
                  <c:v>0.12441766066783885</c:v>
                </c:pt>
                <c:pt idx="694">
                  <c:v>5.7481283217261911E-2</c:v>
                </c:pt>
                <c:pt idx="695">
                  <c:v>3.529573029014265E-2</c:v>
                </c:pt>
                <c:pt idx="696">
                  <c:v>-4.1502072960716445E-2</c:v>
                </c:pt>
                <c:pt idx="697">
                  <c:v>-5.4157563813784657E-2</c:v>
                </c:pt>
                <c:pt idx="698">
                  <c:v>-6.908494505881943E-2</c:v>
                </c:pt>
                <c:pt idx="699">
                  <c:v>-6.52873636989664E-2</c:v>
                </c:pt>
                <c:pt idx="700">
                  <c:v>-8.5089695956833508E-2</c:v>
                </c:pt>
                <c:pt idx="701">
                  <c:v>-0.14856818409926922</c:v>
                </c:pt>
                <c:pt idx="702">
                  <c:v>-0.12911007058332719</c:v>
                </c:pt>
                <c:pt idx="703">
                  <c:v>-0.12968882780540456</c:v>
                </c:pt>
                <c:pt idx="704">
                  <c:v>-0.23605044375307022</c:v>
                </c:pt>
                <c:pt idx="705">
                  <c:v>-0.3747499019777269</c:v>
                </c:pt>
                <c:pt idx="706">
                  <c:v>-0.39489853698942834</c:v>
                </c:pt>
                <c:pt idx="707">
                  <c:v>-0.38485793046178662</c:v>
                </c:pt>
                <c:pt idx="708">
                  <c:v>-0.40090676751337884</c:v>
                </c:pt>
                <c:pt idx="709">
                  <c:v>-0.44756241461727747</c:v>
                </c:pt>
                <c:pt idx="710">
                  <c:v>-0.39678685676461478</c:v>
                </c:pt>
                <c:pt idx="711">
                  <c:v>-0.37008060146417088</c:v>
                </c:pt>
                <c:pt idx="712">
                  <c:v>-0.34364957246015521</c:v>
                </c:pt>
                <c:pt idx="713">
                  <c:v>-0.28178124453124997</c:v>
                </c:pt>
                <c:pt idx="714">
                  <c:v>-0.22084933003184001</c:v>
                </c:pt>
                <c:pt idx="715">
                  <c:v>-0.20439962426321764</c:v>
                </c:pt>
                <c:pt idx="716">
                  <c:v>-9.3693225423881463E-2</c:v>
                </c:pt>
                <c:pt idx="717">
                  <c:v>6.9615422967742022E-2</c:v>
                </c:pt>
                <c:pt idx="718">
                  <c:v>0.22247391014096563</c:v>
                </c:pt>
                <c:pt idx="719">
                  <c:v>0.23454190534182118</c:v>
                </c:pt>
                <c:pt idx="720">
                  <c:v>0.3002736335770716</c:v>
                </c:pt>
                <c:pt idx="721">
                  <c:v>0.50252343173198855</c:v>
                </c:pt>
                <c:pt idx="722">
                  <c:v>0.465689976222254</c:v>
                </c:pt>
                <c:pt idx="723">
                  <c:v>0.35962001319787834</c:v>
                </c:pt>
                <c:pt idx="724">
                  <c:v>0.18524927238642749</c:v>
                </c:pt>
                <c:pt idx="725">
                  <c:v>0.12116559321220123</c:v>
                </c:pt>
                <c:pt idx="726">
                  <c:v>0.11556689584734672</c:v>
                </c:pt>
                <c:pt idx="727">
                  <c:v>2.8129922145999128E-2</c:v>
                </c:pt>
                <c:pt idx="728">
                  <c:v>7.9577703202613759E-2</c:v>
                </c:pt>
                <c:pt idx="729">
                  <c:v>0.14193350386905548</c:v>
                </c:pt>
                <c:pt idx="730">
                  <c:v>7.7507957624800505E-2</c:v>
                </c:pt>
                <c:pt idx="731">
                  <c:v>0.1278271384340878</c:v>
                </c:pt>
                <c:pt idx="732">
                  <c:v>0.19764962331403998</c:v>
                </c:pt>
                <c:pt idx="733">
                  <c:v>0.20165866872184143</c:v>
                </c:pt>
                <c:pt idx="734">
                  <c:v>0.13374027926256812</c:v>
                </c:pt>
                <c:pt idx="735">
                  <c:v>0.14908700064560498</c:v>
                </c:pt>
                <c:pt idx="736">
                  <c:v>0.23479673310958329</c:v>
                </c:pt>
                <c:pt idx="737">
                  <c:v>0.28129159993632769</c:v>
                </c:pt>
                <c:pt idx="738">
                  <c:v>0.17309373380015403</c:v>
                </c:pt>
                <c:pt idx="739">
                  <c:v>0.16158888634644097</c:v>
                </c:pt>
                <c:pt idx="740">
                  <c:v>-8.5698452680709001E-3</c:v>
                </c:pt>
                <c:pt idx="741">
                  <c:v>5.9192433115355582E-2</c:v>
                </c:pt>
                <c:pt idx="742">
                  <c:v>5.6253364316280738E-2</c:v>
                </c:pt>
                <c:pt idx="743">
                  <c:v>-3.183661423175919E-5</c:v>
                </c:pt>
                <c:pt idx="744">
                  <c:v>2.0441357806586298E-2</c:v>
                </c:pt>
                <c:pt idx="745">
                  <c:v>2.8977926674070474E-2</c:v>
                </c:pt>
                <c:pt idx="746">
                  <c:v>6.2330779770071773E-2</c:v>
                </c:pt>
                <c:pt idx="747">
                  <c:v>2.5153855851238829E-2</c:v>
                </c:pt>
                <c:pt idx="748">
                  <c:v>-2.5921793242765303E-2</c:v>
                </c:pt>
                <c:pt idx="749">
                  <c:v>3.1439316186402277E-2</c:v>
                </c:pt>
                <c:pt idx="750">
                  <c:v>6.7353758509565306E-2</c:v>
                </c:pt>
                <c:pt idx="751">
                  <c:v>0.15398431252224187</c:v>
                </c:pt>
                <c:pt idx="752">
                  <c:v>0.27332908024740632</c:v>
                </c:pt>
                <c:pt idx="753">
                  <c:v>0.12675335417624328</c:v>
                </c:pt>
                <c:pt idx="754">
                  <c:v>0.13570611590791878</c:v>
                </c:pt>
                <c:pt idx="755">
                  <c:v>0.13405690856978844</c:v>
                </c:pt>
                <c:pt idx="756">
                  <c:v>0.1414953758270337</c:v>
                </c:pt>
                <c:pt idx="757">
                  <c:v>0.10910315308742147</c:v>
                </c:pt>
                <c:pt idx="758">
                  <c:v>0.11410961774775395</c:v>
                </c:pt>
                <c:pt idx="759">
                  <c:v>0.14282744035300349</c:v>
                </c:pt>
                <c:pt idx="760">
                  <c:v>0.24452622221818454</c:v>
                </c:pt>
                <c:pt idx="761">
                  <c:v>0.17921535568999084</c:v>
                </c:pt>
                <c:pt idx="762">
                  <c:v>0.22214572832690696</c:v>
                </c:pt>
                <c:pt idx="763">
                  <c:v>0.16095069038506898</c:v>
                </c:pt>
                <c:pt idx="764">
                  <c:v>0.16719998170517938</c:v>
                </c:pt>
                <c:pt idx="765">
                  <c:v>0.24386754808839178</c:v>
                </c:pt>
                <c:pt idx="766">
                  <c:v>0.27512744858924554</c:v>
                </c:pt>
                <c:pt idx="767">
                  <c:v>0.29601249585590783</c:v>
                </c:pt>
                <c:pt idx="768">
                  <c:v>0.18989258722549662</c:v>
                </c:pt>
                <c:pt idx="769">
                  <c:v>0.22761895892767869</c:v>
                </c:pt>
                <c:pt idx="770">
                  <c:v>0.19318886584680184</c:v>
                </c:pt>
                <c:pt idx="771">
                  <c:v>0.17925975993541879</c:v>
                </c:pt>
                <c:pt idx="772">
                  <c:v>0.179568758843033</c:v>
                </c:pt>
                <c:pt idx="773">
                  <c:v>0.22035382661163624</c:v>
                </c:pt>
                <c:pt idx="774">
                  <c:v>0.1453020750096643</c:v>
                </c:pt>
                <c:pt idx="775">
                  <c:v>0.22682598613443825</c:v>
                </c:pt>
                <c:pt idx="776">
                  <c:v>0.17289999198828487</c:v>
                </c:pt>
                <c:pt idx="777">
                  <c:v>0.14887791009243256</c:v>
                </c:pt>
                <c:pt idx="778">
                  <c:v>0.14494879940194197</c:v>
                </c:pt>
                <c:pt idx="779">
                  <c:v>0.11390633789337311</c:v>
                </c:pt>
                <c:pt idx="780">
                  <c:v>0.11915248489623778</c:v>
                </c:pt>
                <c:pt idx="781">
                  <c:v>0.13178631071420535</c:v>
                </c:pt>
                <c:pt idx="782">
                  <c:v>0.10444146391734931</c:v>
                </c:pt>
                <c:pt idx="783">
                  <c:v>0.10698801148778496</c:v>
                </c:pt>
                <c:pt idx="784">
                  <c:v>9.5561873059125016E-2</c:v>
                </c:pt>
                <c:pt idx="785">
                  <c:v>5.248370244801577E-2</c:v>
                </c:pt>
                <c:pt idx="786">
                  <c:v>8.9694271964370922E-2</c:v>
                </c:pt>
                <c:pt idx="787">
                  <c:v>-1.5568737216711729E-2</c:v>
                </c:pt>
                <c:pt idx="788">
                  <c:v>-2.6497122110142123E-2</c:v>
                </c:pt>
                <c:pt idx="789">
                  <c:v>3.0380841164162835E-2</c:v>
                </c:pt>
                <c:pt idx="790">
                  <c:v>6.2149841520033767E-3</c:v>
                </c:pt>
                <c:pt idx="791">
                  <c:v>-7.2659972373926608E-3</c:v>
                </c:pt>
                <c:pt idx="792">
                  <c:v>-2.7443746722759246E-2</c:v>
                </c:pt>
                <c:pt idx="793">
                  <c:v>-8.1857933000712729E-2</c:v>
                </c:pt>
                <c:pt idx="794">
                  <c:v>-3.9411687380397648E-3</c:v>
                </c:pt>
                <c:pt idx="795">
                  <c:v>-9.6906564356409024E-3</c:v>
                </c:pt>
                <c:pt idx="796">
                  <c:v>-4.9539679556582054E-3</c:v>
                </c:pt>
                <c:pt idx="797">
                  <c:v>1.732820748572873E-2</c:v>
                </c:pt>
                <c:pt idx="798">
                  <c:v>3.3158418454853573E-2</c:v>
                </c:pt>
                <c:pt idx="799">
                  <c:v>0.10078689143866584</c:v>
                </c:pt>
                <c:pt idx="800">
                  <c:v>0.1292896398757313</c:v>
                </c:pt>
                <c:pt idx="801">
                  <c:v>2.2502016289764351E-2</c:v>
                </c:pt>
                <c:pt idx="802">
                  <c:v>5.6911931786642937E-2</c:v>
                </c:pt>
                <c:pt idx="803">
                  <c:v>9.5350226829389928E-2</c:v>
                </c:pt>
                <c:pt idx="804">
                  <c:v>0.17453002141245419</c:v>
                </c:pt>
                <c:pt idx="805">
                  <c:v>0.2232704789105901</c:v>
                </c:pt>
                <c:pt idx="806">
                  <c:v>0.1470962269368766</c:v>
                </c:pt>
                <c:pt idx="807">
                  <c:v>0.15440850938555326</c:v>
                </c:pt>
                <c:pt idx="808">
                  <c:v>0.15014669179388529</c:v>
                </c:pt>
                <c:pt idx="809">
                  <c:v>0.1546314611048063</c:v>
                </c:pt>
                <c:pt idx="810">
                  <c:v>0.13650162754087256</c:v>
                </c:pt>
                <c:pt idx="811">
                  <c:v>0.1385107707625822</c:v>
                </c:pt>
                <c:pt idx="812">
                  <c:v>0.16192175502200601</c:v>
                </c:pt>
                <c:pt idx="813">
                  <c:v>0.21123162933033865</c:v>
                </c:pt>
                <c:pt idx="814">
                  <c:v>0.17556315399774147</c:v>
                </c:pt>
                <c:pt idx="815">
                  <c:v>0.19419965511111917</c:v>
                </c:pt>
                <c:pt idx="816">
                  <c:v>0.23912724904102114</c:v>
                </c:pt>
                <c:pt idx="817">
                  <c:v>0.14815716473439972</c:v>
                </c:pt>
                <c:pt idx="818">
                  <c:v>0.1177245502700328</c:v>
                </c:pt>
                <c:pt idx="819">
                  <c:v>0.11066609488408628</c:v>
                </c:pt>
                <c:pt idx="820">
                  <c:v>0.12168088773432145</c:v>
                </c:pt>
                <c:pt idx="821">
                  <c:v>0.12171288214158292</c:v>
                </c:pt>
                <c:pt idx="822">
                  <c:v>0.1400599049253389</c:v>
                </c:pt>
                <c:pt idx="823">
                  <c:v>0.17392031033689651</c:v>
                </c:pt>
                <c:pt idx="824">
                  <c:v>0.15663496135528834</c:v>
                </c:pt>
                <c:pt idx="825">
                  <c:v>5.299658266351135E-2</c:v>
                </c:pt>
                <c:pt idx="826">
                  <c:v>6.7830050614721096E-2</c:v>
                </c:pt>
                <c:pt idx="827">
                  <c:v>-6.2372598219685021E-2</c:v>
                </c:pt>
                <c:pt idx="828">
                  <c:v>-4.2393064157577612E-2</c:v>
                </c:pt>
                <c:pt idx="829">
                  <c:v>2.603696987988062E-2</c:v>
                </c:pt>
                <c:pt idx="830">
                  <c:v>7.3282583552366415E-2</c:v>
                </c:pt>
                <c:pt idx="831">
                  <c:v>9.7811599179483621E-2</c:v>
                </c:pt>
              </c:numCache>
            </c:numRef>
          </c:val>
          <c:smooth val="0"/>
          <c:extLst>
            <c:ext xmlns:c16="http://schemas.microsoft.com/office/drawing/2014/chart" uri="{C3380CC4-5D6E-409C-BE32-E72D297353CC}">
              <c16:uniqueId val="{00000000-3490-E241-AEF2-A1A820DA0693}"/>
            </c:ext>
          </c:extLst>
        </c:ser>
        <c:dLbls>
          <c:showLegendKey val="0"/>
          <c:showVal val="0"/>
          <c:showCatName val="0"/>
          <c:showSerName val="0"/>
          <c:showPercent val="0"/>
          <c:showBubbleSize val="0"/>
        </c:dLbls>
        <c:marker val="1"/>
        <c:smooth val="0"/>
        <c:axId val="795393231"/>
        <c:axId val="679268623"/>
      </c:lineChart>
      <c:lineChart>
        <c:grouping val="standard"/>
        <c:varyColors val="0"/>
        <c:ser>
          <c:idx val="1"/>
          <c:order val="1"/>
          <c:tx>
            <c:strRef>
              <c:f>'PMI Analysis'!$AA$1</c:f>
              <c:strCache>
                <c:ptCount val="1"/>
                <c:pt idx="0">
                  <c:v>PMI INDEX</c:v>
                </c:pt>
              </c:strCache>
            </c:strRef>
          </c:tx>
          <c:spPr>
            <a:ln w="3175" cap="rnd">
              <a:solidFill>
                <a:srgbClr val="00FDFF"/>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Analysis'!$AA$3:$AA$833</c:f>
              <c:numCache>
                <c:formatCode>General</c:formatCode>
                <c:ptCount val="831"/>
                <c:pt idx="0">
                  <c:v>59.1</c:v>
                </c:pt>
                <c:pt idx="1">
                  <c:v>60.5</c:v>
                </c:pt>
                <c:pt idx="2">
                  <c:v>62.1</c:v>
                </c:pt>
                <c:pt idx="3">
                  <c:v>68.099999999999994</c:v>
                </c:pt>
                <c:pt idx="4">
                  <c:v>74.7</c:v>
                </c:pt>
                <c:pt idx="5">
                  <c:v>76.599999999999994</c:v>
                </c:pt>
                <c:pt idx="6">
                  <c:v>77.5</c:v>
                </c:pt>
                <c:pt idx="7">
                  <c:v>75.8</c:v>
                </c:pt>
                <c:pt idx="8">
                  <c:v>68.099999999999994</c:v>
                </c:pt>
                <c:pt idx="9">
                  <c:v>59.2</c:v>
                </c:pt>
                <c:pt idx="10">
                  <c:v>63.1</c:v>
                </c:pt>
                <c:pt idx="11">
                  <c:v>67.099999999999994</c:v>
                </c:pt>
                <c:pt idx="12">
                  <c:v>67.8</c:v>
                </c:pt>
                <c:pt idx="13">
                  <c:v>69.3</c:v>
                </c:pt>
                <c:pt idx="14">
                  <c:v>65.5</c:v>
                </c:pt>
                <c:pt idx="15">
                  <c:v>53.5</c:v>
                </c:pt>
                <c:pt idx="16">
                  <c:v>50.7</c:v>
                </c:pt>
                <c:pt idx="17">
                  <c:v>45.5</c:v>
                </c:pt>
                <c:pt idx="18">
                  <c:v>42.1</c:v>
                </c:pt>
                <c:pt idx="19">
                  <c:v>43.6</c:v>
                </c:pt>
                <c:pt idx="20">
                  <c:v>48.1</c:v>
                </c:pt>
                <c:pt idx="21">
                  <c:v>49.6</c:v>
                </c:pt>
                <c:pt idx="22">
                  <c:v>47.2</c:v>
                </c:pt>
                <c:pt idx="23">
                  <c:v>46.5</c:v>
                </c:pt>
                <c:pt idx="24">
                  <c:v>44.7</c:v>
                </c:pt>
                <c:pt idx="25">
                  <c:v>41.8</c:v>
                </c:pt>
                <c:pt idx="26">
                  <c:v>40</c:v>
                </c:pt>
                <c:pt idx="27">
                  <c:v>36.700000000000003</c:v>
                </c:pt>
                <c:pt idx="28">
                  <c:v>39.5</c:v>
                </c:pt>
                <c:pt idx="29">
                  <c:v>43.3</c:v>
                </c:pt>
                <c:pt idx="30">
                  <c:v>48.3</c:v>
                </c:pt>
                <c:pt idx="31">
                  <c:v>60.4</c:v>
                </c:pt>
                <c:pt idx="32">
                  <c:v>56.1</c:v>
                </c:pt>
                <c:pt idx="33">
                  <c:v>56.2</c:v>
                </c:pt>
                <c:pt idx="34">
                  <c:v>56.8</c:v>
                </c:pt>
                <c:pt idx="35">
                  <c:v>55.8</c:v>
                </c:pt>
                <c:pt idx="36">
                  <c:v>59.4</c:v>
                </c:pt>
                <c:pt idx="37">
                  <c:v>55.4</c:v>
                </c:pt>
                <c:pt idx="38">
                  <c:v>50.5</c:v>
                </c:pt>
                <c:pt idx="39">
                  <c:v>51.1</c:v>
                </c:pt>
                <c:pt idx="40">
                  <c:v>48.9</c:v>
                </c:pt>
                <c:pt idx="41">
                  <c:v>48.5</c:v>
                </c:pt>
                <c:pt idx="42">
                  <c:v>46.3</c:v>
                </c:pt>
                <c:pt idx="43">
                  <c:v>43.5</c:v>
                </c:pt>
                <c:pt idx="44">
                  <c:v>40.200000000000003</c:v>
                </c:pt>
                <c:pt idx="45">
                  <c:v>37.4</c:v>
                </c:pt>
                <c:pt idx="46">
                  <c:v>36.9</c:v>
                </c:pt>
                <c:pt idx="47">
                  <c:v>35.6</c:v>
                </c:pt>
                <c:pt idx="48">
                  <c:v>37.4</c:v>
                </c:pt>
                <c:pt idx="49">
                  <c:v>40.700000000000003</c:v>
                </c:pt>
                <c:pt idx="50">
                  <c:v>44.7</c:v>
                </c:pt>
                <c:pt idx="51">
                  <c:v>47.7</c:v>
                </c:pt>
                <c:pt idx="52">
                  <c:v>50.1</c:v>
                </c:pt>
                <c:pt idx="53">
                  <c:v>52.1</c:v>
                </c:pt>
                <c:pt idx="54">
                  <c:v>51.7</c:v>
                </c:pt>
                <c:pt idx="55">
                  <c:v>54.4</c:v>
                </c:pt>
                <c:pt idx="56">
                  <c:v>53.5</c:v>
                </c:pt>
                <c:pt idx="57">
                  <c:v>58.2</c:v>
                </c:pt>
                <c:pt idx="58">
                  <c:v>58.8</c:v>
                </c:pt>
                <c:pt idx="59">
                  <c:v>63.8</c:v>
                </c:pt>
                <c:pt idx="60">
                  <c:v>63</c:v>
                </c:pt>
                <c:pt idx="61">
                  <c:v>67.8</c:v>
                </c:pt>
                <c:pt idx="62">
                  <c:v>67.5</c:v>
                </c:pt>
                <c:pt idx="63">
                  <c:v>68.7</c:v>
                </c:pt>
                <c:pt idx="64">
                  <c:v>69.5</c:v>
                </c:pt>
                <c:pt idx="65">
                  <c:v>63.3</c:v>
                </c:pt>
                <c:pt idx="66">
                  <c:v>66.2</c:v>
                </c:pt>
                <c:pt idx="67">
                  <c:v>64.8</c:v>
                </c:pt>
                <c:pt idx="68">
                  <c:v>62.4</c:v>
                </c:pt>
                <c:pt idx="69">
                  <c:v>63.7</c:v>
                </c:pt>
                <c:pt idx="70">
                  <c:v>62</c:v>
                </c:pt>
                <c:pt idx="71">
                  <c:v>65.599999999999994</c:v>
                </c:pt>
                <c:pt idx="72">
                  <c:v>60.2</c:v>
                </c:pt>
                <c:pt idx="73">
                  <c:v>58.2</c:v>
                </c:pt>
                <c:pt idx="74">
                  <c:v>57.2</c:v>
                </c:pt>
                <c:pt idx="75">
                  <c:v>55.9</c:v>
                </c:pt>
                <c:pt idx="76">
                  <c:v>51.2</c:v>
                </c:pt>
                <c:pt idx="77">
                  <c:v>47.7</c:v>
                </c:pt>
                <c:pt idx="78">
                  <c:v>44.2</c:v>
                </c:pt>
                <c:pt idx="79">
                  <c:v>51.5</c:v>
                </c:pt>
                <c:pt idx="80">
                  <c:v>55.5</c:v>
                </c:pt>
                <c:pt idx="81">
                  <c:v>52.7</c:v>
                </c:pt>
                <c:pt idx="82">
                  <c:v>55</c:v>
                </c:pt>
                <c:pt idx="83">
                  <c:v>52.7</c:v>
                </c:pt>
                <c:pt idx="84">
                  <c:v>53.6</c:v>
                </c:pt>
                <c:pt idx="85">
                  <c:v>51</c:v>
                </c:pt>
                <c:pt idx="86">
                  <c:v>47.5</c:v>
                </c:pt>
                <c:pt idx="87">
                  <c:v>43.1</c:v>
                </c:pt>
                <c:pt idx="88">
                  <c:v>43.4</c:v>
                </c:pt>
                <c:pt idx="89">
                  <c:v>45.9</c:v>
                </c:pt>
                <c:pt idx="90">
                  <c:v>45.7</c:v>
                </c:pt>
                <c:pt idx="91">
                  <c:v>45.3</c:v>
                </c:pt>
                <c:pt idx="92">
                  <c:v>45.8</c:v>
                </c:pt>
                <c:pt idx="93">
                  <c:v>41.1</c:v>
                </c:pt>
                <c:pt idx="94">
                  <c:v>40.4</c:v>
                </c:pt>
                <c:pt idx="95">
                  <c:v>36.799999999999997</c:v>
                </c:pt>
                <c:pt idx="96">
                  <c:v>33.4</c:v>
                </c:pt>
                <c:pt idx="97">
                  <c:v>37.200000000000003</c:v>
                </c:pt>
                <c:pt idx="98">
                  <c:v>39.799999999999997</c:v>
                </c:pt>
                <c:pt idx="99">
                  <c:v>39.1</c:v>
                </c:pt>
                <c:pt idx="100">
                  <c:v>46.6</c:v>
                </c:pt>
                <c:pt idx="101">
                  <c:v>51.4</c:v>
                </c:pt>
                <c:pt idx="102">
                  <c:v>54.7</c:v>
                </c:pt>
                <c:pt idx="103">
                  <c:v>57.3</c:v>
                </c:pt>
                <c:pt idx="104">
                  <c:v>59.8</c:v>
                </c:pt>
                <c:pt idx="105">
                  <c:v>62.3</c:v>
                </c:pt>
                <c:pt idx="106">
                  <c:v>62.7</c:v>
                </c:pt>
                <c:pt idx="107">
                  <c:v>60.5</c:v>
                </c:pt>
                <c:pt idx="108">
                  <c:v>64.400000000000006</c:v>
                </c:pt>
                <c:pt idx="109">
                  <c:v>66.900000000000006</c:v>
                </c:pt>
                <c:pt idx="110">
                  <c:v>67.099999999999994</c:v>
                </c:pt>
                <c:pt idx="111">
                  <c:v>66.900000000000006</c:v>
                </c:pt>
                <c:pt idx="112">
                  <c:v>68.2</c:v>
                </c:pt>
                <c:pt idx="113">
                  <c:v>64.400000000000006</c:v>
                </c:pt>
                <c:pt idx="114">
                  <c:v>61.5</c:v>
                </c:pt>
                <c:pt idx="115">
                  <c:v>55.1</c:v>
                </c:pt>
                <c:pt idx="116">
                  <c:v>48.3</c:v>
                </c:pt>
                <c:pt idx="117">
                  <c:v>49.7</c:v>
                </c:pt>
                <c:pt idx="118">
                  <c:v>50.6</c:v>
                </c:pt>
                <c:pt idx="119">
                  <c:v>58.2</c:v>
                </c:pt>
                <c:pt idx="120">
                  <c:v>61.5</c:v>
                </c:pt>
                <c:pt idx="121">
                  <c:v>52.3</c:v>
                </c:pt>
                <c:pt idx="122">
                  <c:v>47.8</c:v>
                </c:pt>
                <c:pt idx="123">
                  <c:v>45.3</c:v>
                </c:pt>
                <c:pt idx="124">
                  <c:v>42.6</c:v>
                </c:pt>
                <c:pt idx="125">
                  <c:v>44.4</c:v>
                </c:pt>
                <c:pt idx="126">
                  <c:v>43.7</c:v>
                </c:pt>
                <c:pt idx="127">
                  <c:v>47.6</c:v>
                </c:pt>
                <c:pt idx="128">
                  <c:v>45.4</c:v>
                </c:pt>
                <c:pt idx="129">
                  <c:v>46</c:v>
                </c:pt>
                <c:pt idx="130">
                  <c:v>44.3</c:v>
                </c:pt>
                <c:pt idx="131">
                  <c:v>44.3</c:v>
                </c:pt>
                <c:pt idx="132">
                  <c:v>43.9</c:v>
                </c:pt>
                <c:pt idx="133">
                  <c:v>43.6</c:v>
                </c:pt>
                <c:pt idx="134">
                  <c:v>49.1</c:v>
                </c:pt>
                <c:pt idx="135">
                  <c:v>57.6</c:v>
                </c:pt>
                <c:pt idx="136">
                  <c:v>58.9</c:v>
                </c:pt>
                <c:pt idx="137">
                  <c:v>58.1</c:v>
                </c:pt>
                <c:pt idx="138">
                  <c:v>58.2</c:v>
                </c:pt>
                <c:pt idx="139">
                  <c:v>60.7</c:v>
                </c:pt>
                <c:pt idx="140">
                  <c:v>63</c:v>
                </c:pt>
                <c:pt idx="141">
                  <c:v>62.2</c:v>
                </c:pt>
                <c:pt idx="142">
                  <c:v>59</c:v>
                </c:pt>
                <c:pt idx="143">
                  <c:v>64.2</c:v>
                </c:pt>
                <c:pt idx="144">
                  <c:v>60.9</c:v>
                </c:pt>
                <c:pt idx="145">
                  <c:v>61.1</c:v>
                </c:pt>
                <c:pt idx="146">
                  <c:v>60.6</c:v>
                </c:pt>
                <c:pt idx="147">
                  <c:v>55.1</c:v>
                </c:pt>
                <c:pt idx="148">
                  <c:v>52.2</c:v>
                </c:pt>
                <c:pt idx="149">
                  <c:v>50.8</c:v>
                </c:pt>
                <c:pt idx="150">
                  <c:v>51</c:v>
                </c:pt>
                <c:pt idx="151">
                  <c:v>49.5</c:v>
                </c:pt>
                <c:pt idx="152">
                  <c:v>50</c:v>
                </c:pt>
                <c:pt idx="153">
                  <c:v>51.2</c:v>
                </c:pt>
                <c:pt idx="154">
                  <c:v>53.8</c:v>
                </c:pt>
                <c:pt idx="155">
                  <c:v>57.2</c:v>
                </c:pt>
                <c:pt idx="156">
                  <c:v>55.2</c:v>
                </c:pt>
                <c:pt idx="157">
                  <c:v>55.1</c:v>
                </c:pt>
                <c:pt idx="158">
                  <c:v>54.7</c:v>
                </c:pt>
                <c:pt idx="159">
                  <c:v>57.6</c:v>
                </c:pt>
                <c:pt idx="160">
                  <c:v>59.8</c:v>
                </c:pt>
                <c:pt idx="161">
                  <c:v>58.2</c:v>
                </c:pt>
                <c:pt idx="162">
                  <c:v>55.5</c:v>
                </c:pt>
                <c:pt idx="163">
                  <c:v>55.1</c:v>
                </c:pt>
                <c:pt idx="164">
                  <c:v>56.9</c:v>
                </c:pt>
                <c:pt idx="165">
                  <c:v>57.7</c:v>
                </c:pt>
                <c:pt idx="166">
                  <c:v>57.5</c:v>
                </c:pt>
                <c:pt idx="167">
                  <c:v>54</c:v>
                </c:pt>
                <c:pt idx="168">
                  <c:v>57.1</c:v>
                </c:pt>
                <c:pt idx="169">
                  <c:v>57.9</c:v>
                </c:pt>
                <c:pt idx="170">
                  <c:v>60.2</c:v>
                </c:pt>
                <c:pt idx="171">
                  <c:v>59.2</c:v>
                </c:pt>
                <c:pt idx="172">
                  <c:v>58.7</c:v>
                </c:pt>
                <c:pt idx="173">
                  <c:v>60.1</c:v>
                </c:pt>
                <c:pt idx="174">
                  <c:v>62.9</c:v>
                </c:pt>
                <c:pt idx="175">
                  <c:v>63.3</c:v>
                </c:pt>
                <c:pt idx="176">
                  <c:v>63.3</c:v>
                </c:pt>
                <c:pt idx="177">
                  <c:v>60.7</c:v>
                </c:pt>
                <c:pt idx="178">
                  <c:v>61.8</c:v>
                </c:pt>
                <c:pt idx="179">
                  <c:v>62.4</c:v>
                </c:pt>
                <c:pt idx="180">
                  <c:v>61</c:v>
                </c:pt>
                <c:pt idx="181">
                  <c:v>62.1</c:v>
                </c:pt>
                <c:pt idx="182">
                  <c:v>64.900000000000006</c:v>
                </c:pt>
                <c:pt idx="183">
                  <c:v>62</c:v>
                </c:pt>
                <c:pt idx="184">
                  <c:v>61.3</c:v>
                </c:pt>
                <c:pt idx="185">
                  <c:v>58.7</c:v>
                </c:pt>
                <c:pt idx="186">
                  <c:v>58.1</c:v>
                </c:pt>
                <c:pt idx="187">
                  <c:v>58.1</c:v>
                </c:pt>
                <c:pt idx="188">
                  <c:v>61</c:v>
                </c:pt>
                <c:pt idx="189">
                  <c:v>58.6</c:v>
                </c:pt>
                <c:pt idx="190">
                  <c:v>59.4</c:v>
                </c:pt>
                <c:pt idx="191">
                  <c:v>62.8</c:v>
                </c:pt>
                <c:pt idx="192">
                  <c:v>65.8</c:v>
                </c:pt>
                <c:pt idx="193">
                  <c:v>65.5</c:v>
                </c:pt>
                <c:pt idx="194">
                  <c:v>65.7</c:v>
                </c:pt>
                <c:pt idx="195">
                  <c:v>64.2</c:v>
                </c:pt>
                <c:pt idx="196">
                  <c:v>57.7</c:v>
                </c:pt>
                <c:pt idx="197">
                  <c:v>59</c:v>
                </c:pt>
                <c:pt idx="198">
                  <c:v>60.3</c:v>
                </c:pt>
                <c:pt idx="199">
                  <c:v>58.5</c:v>
                </c:pt>
                <c:pt idx="200">
                  <c:v>58.7</c:v>
                </c:pt>
                <c:pt idx="201">
                  <c:v>57.2</c:v>
                </c:pt>
                <c:pt idx="202">
                  <c:v>53.7</c:v>
                </c:pt>
                <c:pt idx="203">
                  <c:v>52.4</c:v>
                </c:pt>
                <c:pt idx="204">
                  <c:v>49.1</c:v>
                </c:pt>
                <c:pt idx="205">
                  <c:v>47.6</c:v>
                </c:pt>
                <c:pt idx="206">
                  <c:v>45.3</c:v>
                </c:pt>
                <c:pt idx="207">
                  <c:v>42.8</c:v>
                </c:pt>
                <c:pt idx="208">
                  <c:v>44.5</c:v>
                </c:pt>
                <c:pt idx="209">
                  <c:v>46.8</c:v>
                </c:pt>
                <c:pt idx="210">
                  <c:v>49.5</c:v>
                </c:pt>
                <c:pt idx="211">
                  <c:v>52.2</c:v>
                </c:pt>
                <c:pt idx="212">
                  <c:v>54.9</c:v>
                </c:pt>
                <c:pt idx="213">
                  <c:v>54.1</c:v>
                </c:pt>
                <c:pt idx="214">
                  <c:v>54.2</c:v>
                </c:pt>
                <c:pt idx="215">
                  <c:v>55.6</c:v>
                </c:pt>
                <c:pt idx="216">
                  <c:v>56.6</c:v>
                </c:pt>
                <c:pt idx="217">
                  <c:v>55</c:v>
                </c:pt>
                <c:pt idx="218">
                  <c:v>53.8</c:v>
                </c:pt>
                <c:pt idx="219">
                  <c:v>58</c:v>
                </c:pt>
                <c:pt idx="220">
                  <c:v>55.3</c:v>
                </c:pt>
                <c:pt idx="221">
                  <c:v>53.5</c:v>
                </c:pt>
                <c:pt idx="222">
                  <c:v>54.1</c:v>
                </c:pt>
                <c:pt idx="223">
                  <c:v>52.7</c:v>
                </c:pt>
                <c:pt idx="224">
                  <c:v>51.8</c:v>
                </c:pt>
                <c:pt idx="225">
                  <c:v>55.8</c:v>
                </c:pt>
                <c:pt idx="226">
                  <c:v>58.1</c:v>
                </c:pt>
                <c:pt idx="227">
                  <c:v>56.1</c:v>
                </c:pt>
                <c:pt idx="228">
                  <c:v>54.9</c:v>
                </c:pt>
                <c:pt idx="229">
                  <c:v>57</c:v>
                </c:pt>
                <c:pt idx="230">
                  <c:v>57.1</c:v>
                </c:pt>
                <c:pt idx="231">
                  <c:v>55.2</c:v>
                </c:pt>
                <c:pt idx="232">
                  <c:v>56.7</c:v>
                </c:pt>
                <c:pt idx="233">
                  <c:v>55.5</c:v>
                </c:pt>
                <c:pt idx="234">
                  <c:v>53.1</c:v>
                </c:pt>
                <c:pt idx="235">
                  <c:v>54.8</c:v>
                </c:pt>
                <c:pt idx="236">
                  <c:v>54.1</c:v>
                </c:pt>
                <c:pt idx="237">
                  <c:v>54.6</c:v>
                </c:pt>
                <c:pt idx="238">
                  <c:v>53.2</c:v>
                </c:pt>
                <c:pt idx="239">
                  <c:v>52</c:v>
                </c:pt>
                <c:pt idx="240">
                  <c:v>48.7</c:v>
                </c:pt>
                <c:pt idx="241">
                  <c:v>47.4</c:v>
                </c:pt>
                <c:pt idx="242">
                  <c:v>46.9</c:v>
                </c:pt>
                <c:pt idx="243">
                  <c:v>45</c:v>
                </c:pt>
                <c:pt idx="244">
                  <c:v>47.2</c:v>
                </c:pt>
                <c:pt idx="245">
                  <c:v>51.1</c:v>
                </c:pt>
                <c:pt idx="246">
                  <c:v>49.5</c:v>
                </c:pt>
                <c:pt idx="247">
                  <c:v>47.3</c:v>
                </c:pt>
                <c:pt idx="248">
                  <c:v>44.1</c:v>
                </c:pt>
                <c:pt idx="249">
                  <c:v>42.4</c:v>
                </c:pt>
                <c:pt idx="250">
                  <c:v>39.700000000000003</c:v>
                </c:pt>
                <c:pt idx="251">
                  <c:v>45.4</c:v>
                </c:pt>
                <c:pt idx="252">
                  <c:v>47.9</c:v>
                </c:pt>
                <c:pt idx="253">
                  <c:v>54.8</c:v>
                </c:pt>
                <c:pt idx="254">
                  <c:v>51.2</c:v>
                </c:pt>
                <c:pt idx="255">
                  <c:v>54.5</c:v>
                </c:pt>
                <c:pt idx="256">
                  <c:v>54.2</c:v>
                </c:pt>
                <c:pt idx="257">
                  <c:v>53.8</c:v>
                </c:pt>
                <c:pt idx="258">
                  <c:v>54.4</c:v>
                </c:pt>
                <c:pt idx="259">
                  <c:v>53.6</c:v>
                </c:pt>
                <c:pt idx="260">
                  <c:v>55.1</c:v>
                </c:pt>
                <c:pt idx="261">
                  <c:v>55</c:v>
                </c:pt>
                <c:pt idx="262">
                  <c:v>52.3</c:v>
                </c:pt>
                <c:pt idx="263">
                  <c:v>57.6</c:v>
                </c:pt>
                <c:pt idx="264">
                  <c:v>59.6</c:v>
                </c:pt>
                <c:pt idx="265">
                  <c:v>60.6</c:v>
                </c:pt>
                <c:pt idx="266">
                  <c:v>59.8</c:v>
                </c:pt>
                <c:pt idx="267">
                  <c:v>59.3</c:v>
                </c:pt>
                <c:pt idx="268">
                  <c:v>61.4</c:v>
                </c:pt>
                <c:pt idx="269">
                  <c:v>58.6</c:v>
                </c:pt>
                <c:pt idx="270">
                  <c:v>60.1</c:v>
                </c:pt>
                <c:pt idx="271">
                  <c:v>61.7</c:v>
                </c:pt>
                <c:pt idx="272">
                  <c:v>65.099999999999994</c:v>
                </c:pt>
                <c:pt idx="273">
                  <c:v>67</c:v>
                </c:pt>
                <c:pt idx="274">
                  <c:v>69.900000000000006</c:v>
                </c:pt>
                <c:pt idx="275">
                  <c:v>70.5</c:v>
                </c:pt>
                <c:pt idx="276">
                  <c:v>72.099999999999994</c:v>
                </c:pt>
                <c:pt idx="277">
                  <c:v>69.599999999999994</c:v>
                </c:pt>
                <c:pt idx="278">
                  <c:v>69.599999999999994</c:v>
                </c:pt>
                <c:pt idx="279">
                  <c:v>67.7</c:v>
                </c:pt>
                <c:pt idx="280">
                  <c:v>64.8</c:v>
                </c:pt>
                <c:pt idx="281">
                  <c:v>65</c:v>
                </c:pt>
                <c:pt idx="282">
                  <c:v>57.8</c:v>
                </c:pt>
                <c:pt idx="283">
                  <c:v>62.7</c:v>
                </c:pt>
                <c:pt idx="284">
                  <c:v>63.5</c:v>
                </c:pt>
                <c:pt idx="285">
                  <c:v>66.2</c:v>
                </c:pt>
                <c:pt idx="286">
                  <c:v>68.099999999999994</c:v>
                </c:pt>
                <c:pt idx="287">
                  <c:v>63.6</c:v>
                </c:pt>
                <c:pt idx="288">
                  <c:v>62.1</c:v>
                </c:pt>
                <c:pt idx="289">
                  <c:v>58.6</c:v>
                </c:pt>
                <c:pt idx="290">
                  <c:v>61.8</c:v>
                </c:pt>
                <c:pt idx="291">
                  <c:v>59.9</c:v>
                </c:pt>
                <c:pt idx="292">
                  <c:v>55.7</c:v>
                </c:pt>
                <c:pt idx="293">
                  <c:v>54.7</c:v>
                </c:pt>
                <c:pt idx="294">
                  <c:v>54.8</c:v>
                </c:pt>
                <c:pt idx="295">
                  <c:v>52.9</c:v>
                </c:pt>
                <c:pt idx="296">
                  <c:v>46.2</c:v>
                </c:pt>
                <c:pt idx="297">
                  <c:v>42.7</c:v>
                </c:pt>
                <c:pt idx="298">
                  <c:v>37.9</c:v>
                </c:pt>
                <c:pt idx="299">
                  <c:v>30.9</c:v>
                </c:pt>
                <c:pt idx="300">
                  <c:v>30.7</c:v>
                </c:pt>
                <c:pt idx="301">
                  <c:v>34.4</c:v>
                </c:pt>
                <c:pt idx="302">
                  <c:v>31.6</c:v>
                </c:pt>
                <c:pt idx="303">
                  <c:v>37.5</c:v>
                </c:pt>
                <c:pt idx="304">
                  <c:v>41.2</c:v>
                </c:pt>
                <c:pt idx="305">
                  <c:v>45.1</c:v>
                </c:pt>
                <c:pt idx="306">
                  <c:v>47.2</c:v>
                </c:pt>
                <c:pt idx="307">
                  <c:v>51.4</c:v>
                </c:pt>
                <c:pt idx="308">
                  <c:v>54.4</c:v>
                </c:pt>
                <c:pt idx="309">
                  <c:v>55.5</c:v>
                </c:pt>
                <c:pt idx="310">
                  <c:v>54.5</c:v>
                </c:pt>
                <c:pt idx="311">
                  <c:v>54.9</c:v>
                </c:pt>
                <c:pt idx="312">
                  <c:v>58.8</c:v>
                </c:pt>
                <c:pt idx="313">
                  <c:v>61.5</c:v>
                </c:pt>
                <c:pt idx="314">
                  <c:v>58.4</c:v>
                </c:pt>
                <c:pt idx="315">
                  <c:v>60.6</c:v>
                </c:pt>
                <c:pt idx="316">
                  <c:v>58.8</c:v>
                </c:pt>
                <c:pt idx="317">
                  <c:v>58.2</c:v>
                </c:pt>
                <c:pt idx="318">
                  <c:v>55.9</c:v>
                </c:pt>
                <c:pt idx="319">
                  <c:v>54.5</c:v>
                </c:pt>
                <c:pt idx="320">
                  <c:v>53.6</c:v>
                </c:pt>
                <c:pt idx="321">
                  <c:v>53.5</c:v>
                </c:pt>
                <c:pt idx="322">
                  <c:v>51.7</c:v>
                </c:pt>
                <c:pt idx="323">
                  <c:v>56.6</c:v>
                </c:pt>
                <c:pt idx="324">
                  <c:v>54.8</c:v>
                </c:pt>
                <c:pt idx="325">
                  <c:v>55</c:v>
                </c:pt>
                <c:pt idx="326">
                  <c:v>58.4</c:v>
                </c:pt>
                <c:pt idx="327">
                  <c:v>56.9</c:v>
                </c:pt>
                <c:pt idx="328">
                  <c:v>59.7</c:v>
                </c:pt>
                <c:pt idx="329">
                  <c:v>56.8</c:v>
                </c:pt>
                <c:pt idx="330">
                  <c:v>57.7</c:v>
                </c:pt>
                <c:pt idx="331">
                  <c:v>54.9</c:v>
                </c:pt>
                <c:pt idx="332">
                  <c:v>53.9</c:v>
                </c:pt>
                <c:pt idx="333">
                  <c:v>55.4</c:v>
                </c:pt>
                <c:pt idx="334">
                  <c:v>56.1</c:v>
                </c:pt>
                <c:pt idx="335">
                  <c:v>59.8</c:v>
                </c:pt>
                <c:pt idx="336">
                  <c:v>57.4</c:v>
                </c:pt>
                <c:pt idx="337">
                  <c:v>55.9</c:v>
                </c:pt>
                <c:pt idx="338">
                  <c:v>55</c:v>
                </c:pt>
                <c:pt idx="339">
                  <c:v>57.7</c:v>
                </c:pt>
                <c:pt idx="340">
                  <c:v>60.2</c:v>
                </c:pt>
                <c:pt idx="341">
                  <c:v>60.5</c:v>
                </c:pt>
                <c:pt idx="342">
                  <c:v>62.2</c:v>
                </c:pt>
                <c:pt idx="343">
                  <c:v>60.3</c:v>
                </c:pt>
                <c:pt idx="344">
                  <c:v>60.5</c:v>
                </c:pt>
                <c:pt idx="345">
                  <c:v>60.1</c:v>
                </c:pt>
                <c:pt idx="346">
                  <c:v>61.3</c:v>
                </c:pt>
                <c:pt idx="347">
                  <c:v>59.4</c:v>
                </c:pt>
                <c:pt idx="348">
                  <c:v>58.5</c:v>
                </c:pt>
                <c:pt idx="349">
                  <c:v>58.2</c:v>
                </c:pt>
                <c:pt idx="350">
                  <c:v>57.7</c:v>
                </c:pt>
                <c:pt idx="351">
                  <c:v>56.2</c:v>
                </c:pt>
                <c:pt idx="352">
                  <c:v>54.4</c:v>
                </c:pt>
                <c:pt idx="353">
                  <c:v>52.7</c:v>
                </c:pt>
                <c:pt idx="354">
                  <c:v>51.3</c:v>
                </c:pt>
                <c:pt idx="355">
                  <c:v>49.5</c:v>
                </c:pt>
                <c:pt idx="356">
                  <c:v>49.6</c:v>
                </c:pt>
                <c:pt idx="357">
                  <c:v>49</c:v>
                </c:pt>
                <c:pt idx="358">
                  <c:v>48</c:v>
                </c:pt>
                <c:pt idx="359">
                  <c:v>44.8</c:v>
                </c:pt>
                <c:pt idx="360">
                  <c:v>46.2</c:v>
                </c:pt>
                <c:pt idx="361">
                  <c:v>50.2</c:v>
                </c:pt>
                <c:pt idx="362">
                  <c:v>43.6</c:v>
                </c:pt>
                <c:pt idx="363">
                  <c:v>37.4</c:v>
                </c:pt>
                <c:pt idx="364">
                  <c:v>29.4</c:v>
                </c:pt>
                <c:pt idx="365">
                  <c:v>30.3</c:v>
                </c:pt>
                <c:pt idx="366">
                  <c:v>35</c:v>
                </c:pt>
                <c:pt idx="367">
                  <c:v>45.5</c:v>
                </c:pt>
                <c:pt idx="368">
                  <c:v>50.1</c:v>
                </c:pt>
                <c:pt idx="369">
                  <c:v>55.5</c:v>
                </c:pt>
                <c:pt idx="370">
                  <c:v>58.2</c:v>
                </c:pt>
                <c:pt idx="371">
                  <c:v>53</c:v>
                </c:pt>
                <c:pt idx="372">
                  <c:v>49.2</c:v>
                </c:pt>
                <c:pt idx="373">
                  <c:v>48.8</c:v>
                </c:pt>
                <c:pt idx="374">
                  <c:v>49.6</c:v>
                </c:pt>
                <c:pt idx="375">
                  <c:v>51.6</c:v>
                </c:pt>
                <c:pt idx="376">
                  <c:v>53.5</c:v>
                </c:pt>
                <c:pt idx="377">
                  <c:v>50.7</c:v>
                </c:pt>
                <c:pt idx="378">
                  <c:v>46.7</c:v>
                </c:pt>
                <c:pt idx="379">
                  <c:v>48.3</c:v>
                </c:pt>
                <c:pt idx="380">
                  <c:v>42.5</c:v>
                </c:pt>
                <c:pt idx="381">
                  <c:v>40</c:v>
                </c:pt>
                <c:pt idx="382">
                  <c:v>36.1</c:v>
                </c:pt>
                <c:pt idx="383">
                  <c:v>37.799999999999997</c:v>
                </c:pt>
                <c:pt idx="384">
                  <c:v>38.200000000000003</c:v>
                </c:pt>
                <c:pt idx="385">
                  <c:v>38.299999999999997</c:v>
                </c:pt>
                <c:pt idx="386">
                  <c:v>36.799999999999997</c:v>
                </c:pt>
                <c:pt idx="387">
                  <c:v>37.799999999999997</c:v>
                </c:pt>
                <c:pt idx="388">
                  <c:v>35.5</c:v>
                </c:pt>
                <c:pt idx="389">
                  <c:v>38.299999999999997</c:v>
                </c:pt>
                <c:pt idx="390">
                  <c:v>38.4</c:v>
                </c:pt>
                <c:pt idx="391">
                  <c:v>38.299999999999997</c:v>
                </c:pt>
                <c:pt idx="392">
                  <c:v>38.799999999999997</c:v>
                </c:pt>
                <c:pt idx="393">
                  <c:v>39.4</c:v>
                </c:pt>
                <c:pt idx="394">
                  <c:v>39.200000000000003</c:v>
                </c:pt>
                <c:pt idx="395">
                  <c:v>42.8</c:v>
                </c:pt>
                <c:pt idx="396">
                  <c:v>46</c:v>
                </c:pt>
                <c:pt idx="397">
                  <c:v>54.4</c:v>
                </c:pt>
                <c:pt idx="398">
                  <c:v>53.9</c:v>
                </c:pt>
                <c:pt idx="399">
                  <c:v>54.2</c:v>
                </c:pt>
                <c:pt idx="400">
                  <c:v>56.1</c:v>
                </c:pt>
                <c:pt idx="401">
                  <c:v>57.5</c:v>
                </c:pt>
                <c:pt idx="402">
                  <c:v>63.6</c:v>
                </c:pt>
                <c:pt idx="403">
                  <c:v>63.1</c:v>
                </c:pt>
                <c:pt idx="404">
                  <c:v>62.5</c:v>
                </c:pt>
                <c:pt idx="405">
                  <c:v>64.400000000000006</c:v>
                </c:pt>
                <c:pt idx="406">
                  <c:v>66</c:v>
                </c:pt>
                <c:pt idx="407">
                  <c:v>69.900000000000006</c:v>
                </c:pt>
                <c:pt idx="408">
                  <c:v>60.5</c:v>
                </c:pt>
                <c:pt idx="409">
                  <c:v>61.3</c:v>
                </c:pt>
                <c:pt idx="410">
                  <c:v>58.9</c:v>
                </c:pt>
                <c:pt idx="411">
                  <c:v>61</c:v>
                </c:pt>
                <c:pt idx="412">
                  <c:v>58.6</c:v>
                </c:pt>
                <c:pt idx="413">
                  <c:v>58.1</c:v>
                </c:pt>
                <c:pt idx="414">
                  <c:v>56.1</c:v>
                </c:pt>
                <c:pt idx="415">
                  <c:v>53</c:v>
                </c:pt>
                <c:pt idx="416">
                  <c:v>50</c:v>
                </c:pt>
                <c:pt idx="417">
                  <c:v>50.8</c:v>
                </c:pt>
                <c:pt idx="418">
                  <c:v>50.3</c:v>
                </c:pt>
                <c:pt idx="419">
                  <c:v>50.6</c:v>
                </c:pt>
                <c:pt idx="420">
                  <c:v>50.3</c:v>
                </c:pt>
                <c:pt idx="421">
                  <c:v>49.9</c:v>
                </c:pt>
                <c:pt idx="422">
                  <c:v>47.8</c:v>
                </c:pt>
                <c:pt idx="423">
                  <c:v>48.2</c:v>
                </c:pt>
                <c:pt idx="424">
                  <c:v>47.1</c:v>
                </c:pt>
                <c:pt idx="425">
                  <c:v>47.8</c:v>
                </c:pt>
                <c:pt idx="426">
                  <c:v>47.9</c:v>
                </c:pt>
                <c:pt idx="427">
                  <c:v>47.7</c:v>
                </c:pt>
                <c:pt idx="428">
                  <c:v>49.9</c:v>
                </c:pt>
                <c:pt idx="429">
                  <c:v>50.9</c:v>
                </c:pt>
                <c:pt idx="430">
                  <c:v>52</c:v>
                </c:pt>
                <c:pt idx="431">
                  <c:v>50.7</c:v>
                </c:pt>
                <c:pt idx="432">
                  <c:v>51.2</c:v>
                </c:pt>
                <c:pt idx="433">
                  <c:v>51</c:v>
                </c:pt>
                <c:pt idx="434">
                  <c:v>51</c:v>
                </c:pt>
                <c:pt idx="435">
                  <c:v>49.7</c:v>
                </c:pt>
                <c:pt idx="436">
                  <c:v>53.4</c:v>
                </c:pt>
                <c:pt idx="437">
                  <c:v>50.5</c:v>
                </c:pt>
                <c:pt idx="438">
                  <c:v>48</c:v>
                </c:pt>
                <c:pt idx="439">
                  <c:v>52.6</c:v>
                </c:pt>
                <c:pt idx="440">
                  <c:v>52.4</c:v>
                </c:pt>
                <c:pt idx="441">
                  <c:v>51.2</c:v>
                </c:pt>
                <c:pt idx="442">
                  <c:v>51.2</c:v>
                </c:pt>
                <c:pt idx="443">
                  <c:v>50.5</c:v>
                </c:pt>
                <c:pt idx="444">
                  <c:v>54.9</c:v>
                </c:pt>
                <c:pt idx="445">
                  <c:v>52.6</c:v>
                </c:pt>
                <c:pt idx="446">
                  <c:v>55</c:v>
                </c:pt>
                <c:pt idx="447">
                  <c:v>55.5</c:v>
                </c:pt>
                <c:pt idx="448">
                  <c:v>57.2</c:v>
                </c:pt>
                <c:pt idx="449">
                  <c:v>57.4</c:v>
                </c:pt>
                <c:pt idx="450">
                  <c:v>57.5</c:v>
                </c:pt>
                <c:pt idx="451">
                  <c:v>59.3</c:v>
                </c:pt>
                <c:pt idx="452">
                  <c:v>60</c:v>
                </c:pt>
                <c:pt idx="453">
                  <c:v>60.7</c:v>
                </c:pt>
                <c:pt idx="454">
                  <c:v>58.8</c:v>
                </c:pt>
                <c:pt idx="455">
                  <c:v>61</c:v>
                </c:pt>
                <c:pt idx="456">
                  <c:v>57.5</c:v>
                </c:pt>
                <c:pt idx="457">
                  <c:v>56.2</c:v>
                </c:pt>
                <c:pt idx="458">
                  <c:v>54.6</c:v>
                </c:pt>
                <c:pt idx="459">
                  <c:v>55.8</c:v>
                </c:pt>
                <c:pt idx="460">
                  <c:v>55.5</c:v>
                </c:pt>
                <c:pt idx="461">
                  <c:v>59.3</c:v>
                </c:pt>
                <c:pt idx="462">
                  <c:v>58.2</c:v>
                </c:pt>
                <c:pt idx="463">
                  <c:v>56</c:v>
                </c:pt>
                <c:pt idx="464">
                  <c:v>54.5</c:v>
                </c:pt>
                <c:pt idx="465">
                  <c:v>55.4</c:v>
                </c:pt>
                <c:pt idx="466">
                  <c:v>55.6</c:v>
                </c:pt>
                <c:pt idx="467">
                  <c:v>56</c:v>
                </c:pt>
                <c:pt idx="468">
                  <c:v>54.7</c:v>
                </c:pt>
                <c:pt idx="469">
                  <c:v>54.1</c:v>
                </c:pt>
                <c:pt idx="470">
                  <c:v>51.5</c:v>
                </c:pt>
                <c:pt idx="471">
                  <c:v>52.2</c:v>
                </c:pt>
                <c:pt idx="472">
                  <c:v>49.3</c:v>
                </c:pt>
                <c:pt idx="473">
                  <c:v>47.3</c:v>
                </c:pt>
                <c:pt idx="474">
                  <c:v>45.9</c:v>
                </c:pt>
                <c:pt idx="475">
                  <c:v>45.1</c:v>
                </c:pt>
                <c:pt idx="476">
                  <c:v>46</c:v>
                </c:pt>
                <c:pt idx="477">
                  <c:v>46.8</c:v>
                </c:pt>
                <c:pt idx="478">
                  <c:v>46.8</c:v>
                </c:pt>
                <c:pt idx="479">
                  <c:v>47.4</c:v>
                </c:pt>
                <c:pt idx="480">
                  <c:v>47.2</c:v>
                </c:pt>
                <c:pt idx="481">
                  <c:v>49.1</c:v>
                </c:pt>
                <c:pt idx="482">
                  <c:v>49.9</c:v>
                </c:pt>
                <c:pt idx="483">
                  <c:v>50</c:v>
                </c:pt>
                <c:pt idx="484">
                  <c:v>49.5</c:v>
                </c:pt>
                <c:pt idx="485">
                  <c:v>49.2</c:v>
                </c:pt>
                <c:pt idx="486">
                  <c:v>46.6</c:v>
                </c:pt>
                <c:pt idx="487">
                  <c:v>46.1</c:v>
                </c:pt>
                <c:pt idx="488">
                  <c:v>44.5</c:v>
                </c:pt>
                <c:pt idx="489">
                  <c:v>43.2</c:v>
                </c:pt>
                <c:pt idx="490">
                  <c:v>41.3</c:v>
                </c:pt>
                <c:pt idx="491">
                  <c:v>40.799999999999997</c:v>
                </c:pt>
                <c:pt idx="492">
                  <c:v>39.200000000000003</c:v>
                </c:pt>
                <c:pt idx="493">
                  <c:v>39.4</c:v>
                </c:pt>
                <c:pt idx="494">
                  <c:v>40.700000000000003</c:v>
                </c:pt>
                <c:pt idx="495">
                  <c:v>42.8</c:v>
                </c:pt>
                <c:pt idx="496">
                  <c:v>44.5</c:v>
                </c:pt>
                <c:pt idx="497">
                  <c:v>50.3</c:v>
                </c:pt>
                <c:pt idx="498">
                  <c:v>50.6</c:v>
                </c:pt>
                <c:pt idx="499">
                  <c:v>52.9</c:v>
                </c:pt>
                <c:pt idx="500">
                  <c:v>54.9</c:v>
                </c:pt>
                <c:pt idx="501">
                  <c:v>53.1</c:v>
                </c:pt>
                <c:pt idx="502">
                  <c:v>49.5</c:v>
                </c:pt>
                <c:pt idx="503">
                  <c:v>46.8</c:v>
                </c:pt>
                <c:pt idx="504">
                  <c:v>47.3</c:v>
                </c:pt>
                <c:pt idx="505">
                  <c:v>52.7</c:v>
                </c:pt>
                <c:pt idx="506">
                  <c:v>54.6</c:v>
                </c:pt>
                <c:pt idx="507">
                  <c:v>52.6</c:v>
                </c:pt>
                <c:pt idx="508">
                  <c:v>55.7</c:v>
                </c:pt>
                <c:pt idx="509">
                  <c:v>53.6</c:v>
                </c:pt>
                <c:pt idx="510">
                  <c:v>53.9</c:v>
                </c:pt>
                <c:pt idx="511">
                  <c:v>53.4</c:v>
                </c:pt>
                <c:pt idx="512">
                  <c:v>49.7</c:v>
                </c:pt>
                <c:pt idx="513">
                  <c:v>50.3</c:v>
                </c:pt>
                <c:pt idx="514">
                  <c:v>53.6</c:v>
                </c:pt>
                <c:pt idx="515">
                  <c:v>54.2</c:v>
                </c:pt>
                <c:pt idx="516">
                  <c:v>55.8</c:v>
                </c:pt>
                <c:pt idx="517">
                  <c:v>55.2</c:v>
                </c:pt>
                <c:pt idx="518">
                  <c:v>53.5</c:v>
                </c:pt>
                <c:pt idx="519">
                  <c:v>50.2</c:v>
                </c:pt>
                <c:pt idx="520">
                  <c:v>51.2</c:v>
                </c:pt>
                <c:pt idx="521">
                  <c:v>49.6</c:v>
                </c:pt>
                <c:pt idx="522">
                  <c:v>50.2</c:v>
                </c:pt>
                <c:pt idx="523">
                  <c:v>50.7</c:v>
                </c:pt>
                <c:pt idx="524">
                  <c:v>50.8</c:v>
                </c:pt>
                <c:pt idx="525">
                  <c:v>53.4</c:v>
                </c:pt>
                <c:pt idx="526">
                  <c:v>53.8</c:v>
                </c:pt>
                <c:pt idx="527">
                  <c:v>55.6</c:v>
                </c:pt>
                <c:pt idx="528">
                  <c:v>56</c:v>
                </c:pt>
                <c:pt idx="529">
                  <c:v>56.5</c:v>
                </c:pt>
                <c:pt idx="530">
                  <c:v>56.9</c:v>
                </c:pt>
                <c:pt idx="531">
                  <c:v>57.4</c:v>
                </c:pt>
                <c:pt idx="532">
                  <c:v>58.2</c:v>
                </c:pt>
                <c:pt idx="533">
                  <c:v>58.8</c:v>
                </c:pt>
                <c:pt idx="534">
                  <c:v>58.5</c:v>
                </c:pt>
                <c:pt idx="535">
                  <c:v>58</c:v>
                </c:pt>
                <c:pt idx="536">
                  <c:v>59</c:v>
                </c:pt>
                <c:pt idx="537">
                  <c:v>59.4</c:v>
                </c:pt>
                <c:pt idx="538">
                  <c:v>59.2</c:v>
                </c:pt>
                <c:pt idx="539">
                  <c:v>56.1</c:v>
                </c:pt>
                <c:pt idx="540">
                  <c:v>57.4</c:v>
                </c:pt>
                <c:pt idx="541">
                  <c:v>55.1</c:v>
                </c:pt>
                <c:pt idx="542">
                  <c:v>52.1</c:v>
                </c:pt>
                <c:pt idx="543">
                  <c:v>51.5</c:v>
                </c:pt>
                <c:pt idx="544">
                  <c:v>46.7</c:v>
                </c:pt>
                <c:pt idx="545">
                  <c:v>45.9</c:v>
                </c:pt>
                <c:pt idx="546">
                  <c:v>50.7</c:v>
                </c:pt>
                <c:pt idx="547">
                  <c:v>47.1</c:v>
                </c:pt>
                <c:pt idx="548">
                  <c:v>48.1</c:v>
                </c:pt>
                <c:pt idx="549">
                  <c:v>46.7</c:v>
                </c:pt>
                <c:pt idx="550">
                  <c:v>45.9</c:v>
                </c:pt>
                <c:pt idx="551">
                  <c:v>46.2</c:v>
                </c:pt>
                <c:pt idx="552">
                  <c:v>45.5</c:v>
                </c:pt>
                <c:pt idx="553">
                  <c:v>45.9</c:v>
                </c:pt>
                <c:pt idx="554">
                  <c:v>46.9</c:v>
                </c:pt>
                <c:pt idx="555">
                  <c:v>49.3</c:v>
                </c:pt>
                <c:pt idx="556">
                  <c:v>49.1</c:v>
                </c:pt>
                <c:pt idx="557">
                  <c:v>53.6</c:v>
                </c:pt>
                <c:pt idx="558">
                  <c:v>49.7</c:v>
                </c:pt>
                <c:pt idx="559">
                  <c:v>51.6</c:v>
                </c:pt>
                <c:pt idx="560">
                  <c:v>51.1</c:v>
                </c:pt>
                <c:pt idx="561">
                  <c:v>50.5</c:v>
                </c:pt>
                <c:pt idx="562">
                  <c:v>53</c:v>
                </c:pt>
                <c:pt idx="563">
                  <c:v>55.2</c:v>
                </c:pt>
                <c:pt idx="564">
                  <c:v>53.8</c:v>
                </c:pt>
                <c:pt idx="565">
                  <c:v>53.1</c:v>
                </c:pt>
                <c:pt idx="566">
                  <c:v>53.8</c:v>
                </c:pt>
                <c:pt idx="567">
                  <c:v>53.7</c:v>
                </c:pt>
                <c:pt idx="568">
                  <c:v>56.1</c:v>
                </c:pt>
                <c:pt idx="569">
                  <c:v>54.9</c:v>
                </c:pt>
                <c:pt idx="570">
                  <c:v>57.7</c:v>
                </c:pt>
                <c:pt idx="571">
                  <c:v>56.3</c:v>
                </c:pt>
                <c:pt idx="572">
                  <c:v>53.9</c:v>
                </c:pt>
                <c:pt idx="573">
                  <c:v>56.4</c:v>
                </c:pt>
                <c:pt idx="574">
                  <c:v>55.7</c:v>
                </c:pt>
                <c:pt idx="575">
                  <c:v>54.5</c:v>
                </c:pt>
                <c:pt idx="576">
                  <c:v>53.8</c:v>
                </c:pt>
                <c:pt idx="577">
                  <c:v>52.9</c:v>
                </c:pt>
                <c:pt idx="578">
                  <c:v>52.9</c:v>
                </c:pt>
                <c:pt idx="579">
                  <c:v>52.2</c:v>
                </c:pt>
                <c:pt idx="580">
                  <c:v>50.9</c:v>
                </c:pt>
                <c:pt idx="581">
                  <c:v>48.9</c:v>
                </c:pt>
                <c:pt idx="582">
                  <c:v>49.2</c:v>
                </c:pt>
                <c:pt idx="583">
                  <c:v>49.3</c:v>
                </c:pt>
                <c:pt idx="584">
                  <c:v>48.7</c:v>
                </c:pt>
                <c:pt idx="585">
                  <c:v>48.7</c:v>
                </c:pt>
                <c:pt idx="586">
                  <c:v>48.2</c:v>
                </c:pt>
                <c:pt idx="587">
                  <c:v>46.8</c:v>
                </c:pt>
                <c:pt idx="588">
                  <c:v>50.6</c:v>
                </c:pt>
                <c:pt idx="589">
                  <c:v>51.7</c:v>
                </c:pt>
                <c:pt idx="590">
                  <c:v>52.4</c:v>
                </c:pt>
                <c:pt idx="591">
                  <c:v>52.3</c:v>
                </c:pt>
                <c:pt idx="592">
                  <c:v>54.3</c:v>
                </c:pt>
                <c:pt idx="593">
                  <c:v>55.8</c:v>
                </c:pt>
                <c:pt idx="594">
                  <c:v>53.6</c:v>
                </c:pt>
                <c:pt idx="595">
                  <c:v>54.8</c:v>
                </c:pt>
                <c:pt idx="596">
                  <c:v>57</c:v>
                </c:pt>
                <c:pt idx="597">
                  <c:v>57.2</c:v>
                </c:pt>
                <c:pt idx="598">
                  <c:v>58.1</c:v>
                </c:pt>
                <c:pt idx="599">
                  <c:v>57.8</c:v>
                </c:pt>
                <c:pt idx="600">
                  <c:v>56.7</c:v>
                </c:pt>
                <c:pt idx="601">
                  <c:v>55.8</c:v>
                </c:pt>
                <c:pt idx="602">
                  <c:v>54.9</c:v>
                </c:pt>
                <c:pt idx="603">
                  <c:v>54.7</c:v>
                </c:pt>
                <c:pt idx="604">
                  <c:v>53.2</c:v>
                </c:pt>
                <c:pt idx="605">
                  <c:v>51.4</c:v>
                </c:pt>
                <c:pt idx="606">
                  <c:v>52.5</c:v>
                </c:pt>
                <c:pt idx="607">
                  <c:v>49.9</c:v>
                </c:pt>
                <c:pt idx="608">
                  <c:v>49.7</c:v>
                </c:pt>
                <c:pt idx="609">
                  <c:v>48.7</c:v>
                </c:pt>
                <c:pt idx="610">
                  <c:v>48.5</c:v>
                </c:pt>
                <c:pt idx="611">
                  <c:v>43.9</c:v>
                </c:pt>
                <c:pt idx="612">
                  <c:v>42.3</c:v>
                </c:pt>
                <c:pt idx="613">
                  <c:v>42.1</c:v>
                </c:pt>
                <c:pt idx="614">
                  <c:v>43.1</c:v>
                </c:pt>
                <c:pt idx="615">
                  <c:v>42.7</c:v>
                </c:pt>
                <c:pt idx="616">
                  <c:v>41.3</c:v>
                </c:pt>
                <c:pt idx="617">
                  <c:v>43.2</c:v>
                </c:pt>
                <c:pt idx="618">
                  <c:v>43.5</c:v>
                </c:pt>
                <c:pt idx="619">
                  <c:v>46.3</c:v>
                </c:pt>
                <c:pt idx="620">
                  <c:v>46.2</c:v>
                </c:pt>
                <c:pt idx="621">
                  <c:v>40.799999999999997</c:v>
                </c:pt>
                <c:pt idx="622">
                  <c:v>44.1</c:v>
                </c:pt>
                <c:pt idx="623">
                  <c:v>45.3</c:v>
                </c:pt>
                <c:pt idx="624">
                  <c:v>47.5</c:v>
                </c:pt>
                <c:pt idx="625">
                  <c:v>50.7</c:v>
                </c:pt>
                <c:pt idx="626">
                  <c:v>52.4</c:v>
                </c:pt>
                <c:pt idx="627">
                  <c:v>52.4</c:v>
                </c:pt>
                <c:pt idx="628">
                  <c:v>53.1</c:v>
                </c:pt>
                <c:pt idx="629">
                  <c:v>53.6</c:v>
                </c:pt>
                <c:pt idx="630">
                  <c:v>50.2</c:v>
                </c:pt>
                <c:pt idx="631">
                  <c:v>50.3</c:v>
                </c:pt>
                <c:pt idx="632">
                  <c:v>50.5</c:v>
                </c:pt>
                <c:pt idx="633">
                  <c:v>49</c:v>
                </c:pt>
                <c:pt idx="634">
                  <c:v>48.5</c:v>
                </c:pt>
                <c:pt idx="635">
                  <c:v>51.6</c:v>
                </c:pt>
                <c:pt idx="636">
                  <c:v>51.3</c:v>
                </c:pt>
                <c:pt idx="637">
                  <c:v>48.8</c:v>
                </c:pt>
                <c:pt idx="638">
                  <c:v>46.3</c:v>
                </c:pt>
                <c:pt idx="639">
                  <c:v>46.1</c:v>
                </c:pt>
                <c:pt idx="640">
                  <c:v>49</c:v>
                </c:pt>
                <c:pt idx="641">
                  <c:v>49</c:v>
                </c:pt>
                <c:pt idx="642">
                  <c:v>51</c:v>
                </c:pt>
                <c:pt idx="643">
                  <c:v>53.2</c:v>
                </c:pt>
                <c:pt idx="644">
                  <c:v>52.4</c:v>
                </c:pt>
                <c:pt idx="645">
                  <c:v>55.2</c:v>
                </c:pt>
                <c:pt idx="646">
                  <c:v>58.4</c:v>
                </c:pt>
                <c:pt idx="647">
                  <c:v>60.1</c:v>
                </c:pt>
                <c:pt idx="648">
                  <c:v>60.8</c:v>
                </c:pt>
                <c:pt idx="649">
                  <c:v>59.9</c:v>
                </c:pt>
                <c:pt idx="650">
                  <c:v>60.6</c:v>
                </c:pt>
                <c:pt idx="651">
                  <c:v>60.6</c:v>
                </c:pt>
                <c:pt idx="652">
                  <c:v>61.4</c:v>
                </c:pt>
                <c:pt idx="653">
                  <c:v>60.5</c:v>
                </c:pt>
                <c:pt idx="654">
                  <c:v>59.9</c:v>
                </c:pt>
                <c:pt idx="655">
                  <c:v>58.5</c:v>
                </c:pt>
                <c:pt idx="656">
                  <c:v>57.4</c:v>
                </c:pt>
                <c:pt idx="657">
                  <c:v>56.3</c:v>
                </c:pt>
                <c:pt idx="658">
                  <c:v>56.2</c:v>
                </c:pt>
                <c:pt idx="659">
                  <c:v>57.2</c:v>
                </c:pt>
                <c:pt idx="660">
                  <c:v>56.8</c:v>
                </c:pt>
                <c:pt idx="661">
                  <c:v>55.5</c:v>
                </c:pt>
                <c:pt idx="662">
                  <c:v>55.2</c:v>
                </c:pt>
                <c:pt idx="663">
                  <c:v>52.2</c:v>
                </c:pt>
                <c:pt idx="664">
                  <c:v>50.8</c:v>
                </c:pt>
                <c:pt idx="665">
                  <c:v>52.4</c:v>
                </c:pt>
                <c:pt idx="666">
                  <c:v>52.8</c:v>
                </c:pt>
                <c:pt idx="667">
                  <c:v>52.4</c:v>
                </c:pt>
                <c:pt idx="668">
                  <c:v>56.8</c:v>
                </c:pt>
                <c:pt idx="669">
                  <c:v>57.2</c:v>
                </c:pt>
                <c:pt idx="670">
                  <c:v>56.7</c:v>
                </c:pt>
                <c:pt idx="671">
                  <c:v>55.1</c:v>
                </c:pt>
                <c:pt idx="672">
                  <c:v>55</c:v>
                </c:pt>
                <c:pt idx="673">
                  <c:v>55.8</c:v>
                </c:pt>
                <c:pt idx="674">
                  <c:v>54.3</c:v>
                </c:pt>
                <c:pt idx="675">
                  <c:v>55.2</c:v>
                </c:pt>
                <c:pt idx="676">
                  <c:v>53.7</c:v>
                </c:pt>
                <c:pt idx="677">
                  <c:v>52</c:v>
                </c:pt>
                <c:pt idx="678">
                  <c:v>53</c:v>
                </c:pt>
                <c:pt idx="679">
                  <c:v>53.7</c:v>
                </c:pt>
                <c:pt idx="680">
                  <c:v>52.2</c:v>
                </c:pt>
                <c:pt idx="681">
                  <c:v>51.4</c:v>
                </c:pt>
                <c:pt idx="682">
                  <c:v>50.3</c:v>
                </c:pt>
                <c:pt idx="683">
                  <c:v>51.4</c:v>
                </c:pt>
                <c:pt idx="684">
                  <c:v>49.5</c:v>
                </c:pt>
                <c:pt idx="685">
                  <c:v>51.9</c:v>
                </c:pt>
                <c:pt idx="686">
                  <c:v>50.7</c:v>
                </c:pt>
                <c:pt idx="687">
                  <c:v>52.6</c:v>
                </c:pt>
                <c:pt idx="688">
                  <c:v>52.5</c:v>
                </c:pt>
                <c:pt idx="689">
                  <c:v>52.6</c:v>
                </c:pt>
                <c:pt idx="690">
                  <c:v>52.4</c:v>
                </c:pt>
                <c:pt idx="691">
                  <c:v>50.9</c:v>
                </c:pt>
                <c:pt idx="692">
                  <c:v>51</c:v>
                </c:pt>
                <c:pt idx="693">
                  <c:v>51.1</c:v>
                </c:pt>
                <c:pt idx="694">
                  <c:v>50.5</c:v>
                </c:pt>
                <c:pt idx="695">
                  <c:v>49</c:v>
                </c:pt>
                <c:pt idx="696">
                  <c:v>50.3</c:v>
                </c:pt>
                <c:pt idx="697">
                  <c:v>47.6</c:v>
                </c:pt>
                <c:pt idx="698">
                  <c:v>48.3</c:v>
                </c:pt>
                <c:pt idx="699">
                  <c:v>48.8</c:v>
                </c:pt>
                <c:pt idx="700">
                  <c:v>48.8</c:v>
                </c:pt>
                <c:pt idx="701">
                  <c:v>49.8</c:v>
                </c:pt>
                <c:pt idx="702">
                  <c:v>50</c:v>
                </c:pt>
                <c:pt idx="703">
                  <c:v>49.2</c:v>
                </c:pt>
                <c:pt idx="704">
                  <c:v>44.8</c:v>
                </c:pt>
                <c:pt idx="705">
                  <c:v>38.9</c:v>
                </c:pt>
                <c:pt idx="706">
                  <c:v>36.5</c:v>
                </c:pt>
                <c:pt idx="707">
                  <c:v>33.1</c:v>
                </c:pt>
                <c:pt idx="708">
                  <c:v>34.9</c:v>
                </c:pt>
                <c:pt idx="709">
                  <c:v>35.5</c:v>
                </c:pt>
                <c:pt idx="710">
                  <c:v>36</c:v>
                </c:pt>
                <c:pt idx="711">
                  <c:v>39.5</c:v>
                </c:pt>
                <c:pt idx="712">
                  <c:v>41.7</c:v>
                </c:pt>
                <c:pt idx="713">
                  <c:v>45.8</c:v>
                </c:pt>
                <c:pt idx="714">
                  <c:v>49.9</c:v>
                </c:pt>
                <c:pt idx="715">
                  <c:v>53.5</c:v>
                </c:pt>
                <c:pt idx="716">
                  <c:v>54.4</c:v>
                </c:pt>
                <c:pt idx="717">
                  <c:v>56</c:v>
                </c:pt>
                <c:pt idx="718">
                  <c:v>54.4</c:v>
                </c:pt>
                <c:pt idx="719">
                  <c:v>55.3</c:v>
                </c:pt>
                <c:pt idx="720">
                  <c:v>57.2</c:v>
                </c:pt>
                <c:pt idx="721">
                  <c:v>55.8</c:v>
                </c:pt>
                <c:pt idx="722">
                  <c:v>58.8</c:v>
                </c:pt>
                <c:pt idx="723">
                  <c:v>58.1</c:v>
                </c:pt>
                <c:pt idx="724">
                  <c:v>58.3</c:v>
                </c:pt>
                <c:pt idx="725">
                  <c:v>56.4</c:v>
                </c:pt>
                <c:pt idx="726">
                  <c:v>56.4</c:v>
                </c:pt>
                <c:pt idx="727">
                  <c:v>58</c:v>
                </c:pt>
                <c:pt idx="728">
                  <c:v>56.3</c:v>
                </c:pt>
                <c:pt idx="729">
                  <c:v>57.7</c:v>
                </c:pt>
                <c:pt idx="730">
                  <c:v>57.6</c:v>
                </c:pt>
                <c:pt idx="731">
                  <c:v>57.5</c:v>
                </c:pt>
                <c:pt idx="732">
                  <c:v>59</c:v>
                </c:pt>
                <c:pt idx="733">
                  <c:v>59.3</c:v>
                </c:pt>
                <c:pt idx="734">
                  <c:v>59.1</c:v>
                </c:pt>
                <c:pt idx="735">
                  <c:v>58.9</c:v>
                </c:pt>
                <c:pt idx="736">
                  <c:v>53.7</c:v>
                </c:pt>
                <c:pt idx="737">
                  <c:v>56.6</c:v>
                </c:pt>
                <c:pt idx="738">
                  <c:v>52.9</c:v>
                </c:pt>
                <c:pt idx="739">
                  <c:v>53</c:v>
                </c:pt>
                <c:pt idx="740">
                  <c:v>52.8</c:v>
                </c:pt>
                <c:pt idx="741">
                  <c:v>51.8</c:v>
                </c:pt>
                <c:pt idx="742">
                  <c:v>52.1</c:v>
                </c:pt>
                <c:pt idx="743">
                  <c:v>53.1</c:v>
                </c:pt>
                <c:pt idx="744">
                  <c:v>52.8</c:v>
                </c:pt>
                <c:pt idx="745">
                  <c:v>52.4</c:v>
                </c:pt>
                <c:pt idx="746">
                  <c:v>53</c:v>
                </c:pt>
                <c:pt idx="747">
                  <c:v>53.7</c:v>
                </c:pt>
                <c:pt idx="748">
                  <c:v>53.2</c:v>
                </c:pt>
                <c:pt idx="749">
                  <c:v>51</c:v>
                </c:pt>
                <c:pt idx="750">
                  <c:v>50.6</c:v>
                </c:pt>
                <c:pt idx="751">
                  <c:v>51.1</c:v>
                </c:pt>
                <c:pt idx="752">
                  <c:v>52.2</c:v>
                </c:pt>
                <c:pt idx="753">
                  <c:v>51.2</c:v>
                </c:pt>
                <c:pt idx="754">
                  <c:v>49.5</c:v>
                </c:pt>
                <c:pt idx="755">
                  <c:v>50.4</c:v>
                </c:pt>
                <c:pt idx="756">
                  <c:v>52.3</c:v>
                </c:pt>
                <c:pt idx="757">
                  <c:v>53.1</c:v>
                </c:pt>
                <c:pt idx="758">
                  <c:v>51.5</c:v>
                </c:pt>
                <c:pt idx="759">
                  <c:v>50</c:v>
                </c:pt>
                <c:pt idx="760">
                  <c:v>50</c:v>
                </c:pt>
                <c:pt idx="761">
                  <c:v>52.5</c:v>
                </c:pt>
                <c:pt idx="762">
                  <c:v>54.9</c:v>
                </c:pt>
                <c:pt idx="763">
                  <c:v>56.3</c:v>
                </c:pt>
                <c:pt idx="764">
                  <c:v>56</c:v>
                </c:pt>
                <c:pt idx="765">
                  <c:v>56.6</c:v>
                </c:pt>
                <c:pt idx="766">
                  <c:v>57</c:v>
                </c:pt>
                <c:pt idx="767">
                  <c:v>56.5</c:v>
                </c:pt>
                <c:pt idx="768">
                  <c:v>51.3</c:v>
                </c:pt>
                <c:pt idx="769">
                  <c:v>54.3</c:v>
                </c:pt>
                <c:pt idx="770">
                  <c:v>54.4</c:v>
                </c:pt>
                <c:pt idx="771">
                  <c:v>55.3</c:v>
                </c:pt>
                <c:pt idx="772">
                  <c:v>55.6</c:v>
                </c:pt>
                <c:pt idx="773">
                  <c:v>55.7</c:v>
                </c:pt>
                <c:pt idx="774">
                  <c:v>56.4</c:v>
                </c:pt>
                <c:pt idx="775">
                  <c:v>58.1</c:v>
                </c:pt>
                <c:pt idx="776">
                  <c:v>56.1</c:v>
                </c:pt>
                <c:pt idx="777">
                  <c:v>57.9</c:v>
                </c:pt>
                <c:pt idx="778">
                  <c:v>57.6</c:v>
                </c:pt>
                <c:pt idx="779">
                  <c:v>55.1</c:v>
                </c:pt>
                <c:pt idx="780">
                  <c:v>53.5</c:v>
                </c:pt>
                <c:pt idx="781">
                  <c:v>52.9</c:v>
                </c:pt>
                <c:pt idx="782">
                  <c:v>51.5</c:v>
                </c:pt>
                <c:pt idx="783">
                  <c:v>51.5</c:v>
                </c:pt>
                <c:pt idx="784">
                  <c:v>52.8</c:v>
                </c:pt>
                <c:pt idx="785">
                  <c:v>53.5</c:v>
                </c:pt>
                <c:pt idx="786">
                  <c:v>52.7</c:v>
                </c:pt>
                <c:pt idx="787">
                  <c:v>51.1</c:v>
                </c:pt>
                <c:pt idx="788">
                  <c:v>50.2</c:v>
                </c:pt>
                <c:pt idx="789">
                  <c:v>49.4</c:v>
                </c:pt>
                <c:pt idx="790">
                  <c:v>48.4</c:v>
                </c:pt>
                <c:pt idx="791">
                  <c:v>48</c:v>
                </c:pt>
                <c:pt idx="792">
                  <c:v>48.2</c:v>
                </c:pt>
                <c:pt idx="793">
                  <c:v>49.7</c:v>
                </c:pt>
                <c:pt idx="794">
                  <c:v>51.7</c:v>
                </c:pt>
                <c:pt idx="795">
                  <c:v>50.7</c:v>
                </c:pt>
                <c:pt idx="796">
                  <c:v>51</c:v>
                </c:pt>
                <c:pt idx="797">
                  <c:v>52.8</c:v>
                </c:pt>
                <c:pt idx="798">
                  <c:v>52.3</c:v>
                </c:pt>
                <c:pt idx="799">
                  <c:v>49.4</c:v>
                </c:pt>
                <c:pt idx="800">
                  <c:v>51.7</c:v>
                </c:pt>
                <c:pt idx="801">
                  <c:v>52</c:v>
                </c:pt>
                <c:pt idx="802">
                  <c:v>53.5</c:v>
                </c:pt>
                <c:pt idx="803">
                  <c:v>54.5</c:v>
                </c:pt>
                <c:pt idx="804">
                  <c:v>56</c:v>
                </c:pt>
                <c:pt idx="805">
                  <c:v>57.6</c:v>
                </c:pt>
                <c:pt idx="806">
                  <c:v>56.6</c:v>
                </c:pt>
                <c:pt idx="807">
                  <c:v>55.3</c:v>
                </c:pt>
                <c:pt idx="808">
                  <c:v>55.5</c:v>
                </c:pt>
                <c:pt idx="809">
                  <c:v>56.7</c:v>
                </c:pt>
                <c:pt idx="810">
                  <c:v>56.5</c:v>
                </c:pt>
                <c:pt idx="811">
                  <c:v>59.3</c:v>
                </c:pt>
                <c:pt idx="812">
                  <c:v>60.2</c:v>
                </c:pt>
                <c:pt idx="813">
                  <c:v>58.5</c:v>
                </c:pt>
                <c:pt idx="814">
                  <c:v>58.2</c:v>
                </c:pt>
                <c:pt idx="815">
                  <c:v>59.3</c:v>
                </c:pt>
                <c:pt idx="816">
                  <c:v>59.1</c:v>
                </c:pt>
                <c:pt idx="817">
                  <c:v>60.7</c:v>
                </c:pt>
                <c:pt idx="818">
                  <c:v>59.3</c:v>
                </c:pt>
                <c:pt idx="819">
                  <c:v>57.9</c:v>
                </c:pt>
                <c:pt idx="820">
                  <c:v>58.7</c:v>
                </c:pt>
                <c:pt idx="821">
                  <c:v>60</c:v>
                </c:pt>
                <c:pt idx="822">
                  <c:v>58.4</c:v>
                </c:pt>
                <c:pt idx="823">
                  <c:v>60.8</c:v>
                </c:pt>
                <c:pt idx="824">
                  <c:v>59.5</c:v>
                </c:pt>
                <c:pt idx="825">
                  <c:v>57.5</c:v>
                </c:pt>
                <c:pt idx="826">
                  <c:v>58.8</c:v>
                </c:pt>
                <c:pt idx="827">
                  <c:v>54.3</c:v>
                </c:pt>
                <c:pt idx="828">
                  <c:v>56.6</c:v>
                </c:pt>
                <c:pt idx="829">
                  <c:v>54.2</c:v>
                </c:pt>
                <c:pt idx="830">
                  <c:v>55.3</c:v>
                </c:pt>
              </c:numCache>
            </c:numRef>
          </c:val>
          <c:smooth val="0"/>
          <c:extLst>
            <c:ext xmlns:c16="http://schemas.microsoft.com/office/drawing/2014/chart" uri="{C3380CC4-5D6E-409C-BE32-E72D297353CC}">
              <c16:uniqueId val="{00000001-3490-E241-AEF2-A1A820DA0693}"/>
            </c:ext>
          </c:extLst>
        </c:ser>
        <c:ser>
          <c:idx val="2"/>
          <c:order val="2"/>
          <c:tx>
            <c:strRef>
              <c:f>'PMI Analysis'!$AB$1</c:f>
              <c:strCache>
                <c:ptCount val="1"/>
                <c:pt idx="0">
                  <c:v>PMI(lagged)</c:v>
                </c:pt>
              </c:strCache>
            </c:strRef>
          </c:tx>
          <c:spPr>
            <a:ln w="3175" cap="rnd">
              <a:solidFill>
                <a:srgbClr val="FF40FF"/>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Analysis'!$AB$2:$AB$834</c:f>
              <c:numCache>
                <c:formatCode>General</c:formatCode>
                <c:ptCount val="833"/>
                <c:pt idx="13">
                  <c:v>59.1</c:v>
                </c:pt>
                <c:pt idx="14">
                  <c:v>60.5</c:v>
                </c:pt>
                <c:pt idx="15">
                  <c:v>62.1</c:v>
                </c:pt>
                <c:pt idx="16">
                  <c:v>68.099999999999994</c:v>
                </c:pt>
                <c:pt idx="17">
                  <c:v>74.7</c:v>
                </c:pt>
                <c:pt idx="18">
                  <c:v>76.599999999999994</c:v>
                </c:pt>
                <c:pt idx="19">
                  <c:v>77.5</c:v>
                </c:pt>
                <c:pt idx="20">
                  <c:v>75.8</c:v>
                </c:pt>
                <c:pt idx="21">
                  <c:v>68.099999999999994</c:v>
                </c:pt>
                <c:pt idx="22">
                  <c:v>59.2</c:v>
                </c:pt>
                <c:pt idx="23">
                  <c:v>63.1</c:v>
                </c:pt>
                <c:pt idx="24">
                  <c:v>67.099999999999994</c:v>
                </c:pt>
                <c:pt idx="25">
                  <c:v>67.8</c:v>
                </c:pt>
                <c:pt idx="26">
                  <c:v>69.3</c:v>
                </c:pt>
                <c:pt idx="27">
                  <c:v>65.5</c:v>
                </c:pt>
                <c:pt idx="28">
                  <c:v>53.5</c:v>
                </c:pt>
                <c:pt idx="29">
                  <c:v>50.7</c:v>
                </c:pt>
                <c:pt idx="30">
                  <c:v>45.5</c:v>
                </c:pt>
                <c:pt idx="31">
                  <c:v>42.1</c:v>
                </c:pt>
                <c:pt idx="32">
                  <c:v>43.6</c:v>
                </c:pt>
                <c:pt idx="33">
                  <c:v>48.1</c:v>
                </c:pt>
                <c:pt idx="34">
                  <c:v>49.6</c:v>
                </c:pt>
                <c:pt idx="35">
                  <c:v>47.2</c:v>
                </c:pt>
                <c:pt idx="36">
                  <c:v>46.5</c:v>
                </c:pt>
                <c:pt idx="37">
                  <c:v>44.7</c:v>
                </c:pt>
                <c:pt idx="38">
                  <c:v>41.8</c:v>
                </c:pt>
                <c:pt idx="39">
                  <c:v>40</c:v>
                </c:pt>
                <c:pt idx="40">
                  <c:v>36.700000000000003</c:v>
                </c:pt>
                <c:pt idx="41">
                  <c:v>39.5</c:v>
                </c:pt>
                <c:pt idx="42">
                  <c:v>43.3</c:v>
                </c:pt>
                <c:pt idx="43">
                  <c:v>48.3</c:v>
                </c:pt>
                <c:pt idx="44">
                  <c:v>60.4</c:v>
                </c:pt>
                <c:pt idx="45">
                  <c:v>56.1</c:v>
                </c:pt>
                <c:pt idx="46">
                  <c:v>56.2</c:v>
                </c:pt>
                <c:pt idx="47">
                  <c:v>56.8</c:v>
                </c:pt>
                <c:pt idx="48">
                  <c:v>55.8</c:v>
                </c:pt>
                <c:pt idx="49">
                  <c:v>59.4</c:v>
                </c:pt>
                <c:pt idx="50">
                  <c:v>55.4</c:v>
                </c:pt>
                <c:pt idx="51">
                  <c:v>50.5</c:v>
                </c:pt>
                <c:pt idx="52">
                  <c:v>51.1</c:v>
                </c:pt>
                <c:pt idx="53">
                  <c:v>48.9</c:v>
                </c:pt>
                <c:pt idx="54">
                  <c:v>48.5</c:v>
                </c:pt>
                <c:pt idx="55">
                  <c:v>46.3</c:v>
                </c:pt>
                <c:pt idx="56">
                  <c:v>43.5</c:v>
                </c:pt>
                <c:pt idx="57">
                  <c:v>40.200000000000003</c:v>
                </c:pt>
                <c:pt idx="58">
                  <c:v>37.4</c:v>
                </c:pt>
                <c:pt idx="59">
                  <c:v>36.9</c:v>
                </c:pt>
                <c:pt idx="60">
                  <c:v>35.6</c:v>
                </c:pt>
                <c:pt idx="61">
                  <c:v>37.4</c:v>
                </c:pt>
                <c:pt idx="62">
                  <c:v>40.700000000000003</c:v>
                </c:pt>
                <c:pt idx="63">
                  <c:v>44.7</c:v>
                </c:pt>
                <c:pt idx="64">
                  <c:v>47.7</c:v>
                </c:pt>
                <c:pt idx="65">
                  <c:v>50.1</c:v>
                </c:pt>
                <c:pt idx="66">
                  <c:v>52.1</c:v>
                </c:pt>
                <c:pt idx="67">
                  <c:v>51.7</c:v>
                </c:pt>
                <c:pt idx="68">
                  <c:v>54.4</c:v>
                </c:pt>
                <c:pt idx="69">
                  <c:v>53.5</c:v>
                </c:pt>
                <c:pt idx="70">
                  <c:v>58.2</c:v>
                </c:pt>
                <c:pt idx="71">
                  <c:v>58.8</c:v>
                </c:pt>
                <c:pt idx="72">
                  <c:v>63.8</c:v>
                </c:pt>
                <c:pt idx="73">
                  <c:v>63</c:v>
                </c:pt>
                <c:pt idx="74">
                  <c:v>67.8</c:v>
                </c:pt>
                <c:pt idx="75">
                  <c:v>67.5</c:v>
                </c:pt>
                <c:pt idx="76">
                  <c:v>68.7</c:v>
                </c:pt>
                <c:pt idx="77">
                  <c:v>69.5</c:v>
                </c:pt>
                <c:pt idx="78">
                  <c:v>63.3</c:v>
                </c:pt>
                <c:pt idx="79">
                  <c:v>66.2</c:v>
                </c:pt>
                <c:pt idx="80">
                  <c:v>64.8</c:v>
                </c:pt>
                <c:pt idx="81">
                  <c:v>62.4</c:v>
                </c:pt>
                <c:pt idx="82">
                  <c:v>63.7</c:v>
                </c:pt>
                <c:pt idx="83">
                  <c:v>62</c:v>
                </c:pt>
                <c:pt idx="84">
                  <c:v>65.599999999999994</c:v>
                </c:pt>
                <c:pt idx="85">
                  <c:v>60.2</c:v>
                </c:pt>
                <c:pt idx="86">
                  <c:v>58.2</c:v>
                </c:pt>
                <c:pt idx="87">
                  <c:v>57.2</c:v>
                </c:pt>
                <c:pt idx="88">
                  <c:v>55.9</c:v>
                </c:pt>
                <c:pt idx="89">
                  <c:v>51.2</c:v>
                </c:pt>
                <c:pt idx="90">
                  <c:v>47.7</c:v>
                </c:pt>
                <c:pt idx="91">
                  <c:v>44.2</c:v>
                </c:pt>
                <c:pt idx="92">
                  <c:v>51.5</c:v>
                </c:pt>
                <c:pt idx="93">
                  <c:v>55.5</c:v>
                </c:pt>
                <c:pt idx="94">
                  <c:v>52.7</c:v>
                </c:pt>
                <c:pt idx="95">
                  <c:v>55</c:v>
                </c:pt>
                <c:pt idx="96">
                  <c:v>52.7</c:v>
                </c:pt>
                <c:pt idx="97">
                  <c:v>53.6</c:v>
                </c:pt>
                <c:pt idx="98">
                  <c:v>51</c:v>
                </c:pt>
                <c:pt idx="99">
                  <c:v>47.5</c:v>
                </c:pt>
                <c:pt idx="100">
                  <c:v>43.1</c:v>
                </c:pt>
                <c:pt idx="101">
                  <c:v>43.4</c:v>
                </c:pt>
                <c:pt idx="102">
                  <c:v>45.9</c:v>
                </c:pt>
                <c:pt idx="103">
                  <c:v>45.7</c:v>
                </c:pt>
                <c:pt idx="104">
                  <c:v>45.3</c:v>
                </c:pt>
                <c:pt idx="105">
                  <c:v>45.8</c:v>
                </c:pt>
                <c:pt idx="106">
                  <c:v>41.1</c:v>
                </c:pt>
                <c:pt idx="107">
                  <c:v>40.4</c:v>
                </c:pt>
                <c:pt idx="108">
                  <c:v>36.799999999999997</c:v>
                </c:pt>
                <c:pt idx="109">
                  <c:v>33.4</c:v>
                </c:pt>
                <c:pt idx="110">
                  <c:v>37.200000000000003</c:v>
                </c:pt>
                <c:pt idx="111">
                  <c:v>39.799999999999997</c:v>
                </c:pt>
                <c:pt idx="112">
                  <c:v>39.1</c:v>
                </c:pt>
                <c:pt idx="113">
                  <c:v>46.6</c:v>
                </c:pt>
                <c:pt idx="114">
                  <c:v>51.4</c:v>
                </c:pt>
                <c:pt idx="115">
                  <c:v>54.7</c:v>
                </c:pt>
                <c:pt idx="116">
                  <c:v>57.3</c:v>
                </c:pt>
                <c:pt idx="117">
                  <c:v>59.8</c:v>
                </c:pt>
                <c:pt idx="118">
                  <c:v>62.3</c:v>
                </c:pt>
                <c:pt idx="119">
                  <c:v>62.7</c:v>
                </c:pt>
                <c:pt idx="120">
                  <c:v>60.5</c:v>
                </c:pt>
                <c:pt idx="121">
                  <c:v>64.400000000000006</c:v>
                </c:pt>
                <c:pt idx="122">
                  <c:v>66.900000000000006</c:v>
                </c:pt>
                <c:pt idx="123">
                  <c:v>67.099999999999994</c:v>
                </c:pt>
                <c:pt idx="124">
                  <c:v>66.900000000000006</c:v>
                </c:pt>
                <c:pt idx="125">
                  <c:v>68.2</c:v>
                </c:pt>
                <c:pt idx="126">
                  <c:v>64.400000000000006</c:v>
                </c:pt>
                <c:pt idx="127">
                  <c:v>61.5</c:v>
                </c:pt>
                <c:pt idx="128">
                  <c:v>55.1</c:v>
                </c:pt>
                <c:pt idx="129">
                  <c:v>48.3</c:v>
                </c:pt>
                <c:pt idx="130">
                  <c:v>49.7</c:v>
                </c:pt>
                <c:pt idx="131">
                  <c:v>50.6</c:v>
                </c:pt>
                <c:pt idx="132">
                  <c:v>58.2</c:v>
                </c:pt>
                <c:pt idx="133">
                  <c:v>61.5</c:v>
                </c:pt>
                <c:pt idx="134">
                  <c:v>52.3</c:v>
                </c:pt>
                <c:pt idx="135">
                  <c:v>47.8</c:v>
                </c:pt>
                <c:pt idx="136">
                  <c:v>45.3</c:v>
                </c:pt>
                <c:pt idx="137">
                  <c:v>42.6</c:v>
                </c:pt>
                <c:pt idx="138">
                  <c:v>44.4</c:v>
                </c:pt>
                <c:pt idx="139">
                  <c:v>43.7</c:v>
                </c:pt>
                <c:pt idx="140">
                  <c:v>47.6</c:v>
                </c:pt>
                <c:pt idx="141">
                  <c:v>45.4</c:v>
                </c:pt>
                <c:pt idx="142">
                  <c:v>46</c:v>
                </c:pt>
                <c:pt idx="143">
                  <c:v>44.3</c:v>
                </c:pt>
                <c:pt idx="144">
                  <c:v>44.3</c:v>
                </c:pt>
                <c:pt idx="145">
                  <c:v>43.9</c:v>
                </c:pt>
                <c:pt idx="146">
                  <c:v>43.6</c:v>
                </c:pt>
                <c:pt idx="147">
                  <c:v>49.1</c:v>
                </c:pt>
                <c:pt idx="148">
                  <c:v>57.6</c:v>
                </c:pt>
                <c:pt idx="149">
                  <c:v>58.9</c:v>
                </c:pt>
                <c:pt idx="150">
                  <c:v>58.1</c:v>
                </c:pt>
                <c:pt idx="151">
                  <c:v>58.2</c:v>
                </c:pt>
                <c:pt idx="152">
                  <c:v>60.7</c:v>
                </c:pt>
                <c:pt idx="153">
                  <c:v>63</c:v>
                </c:pt>
                <c:pt idx="154">
                  <c:v>62.2</c:v>
                </c:pt>
                <c:pt idx="155">
                  <c:v>59</c:v>
                </c:pt>
                <c:pt idx="156">
                  <c:v>64.2</c:v>
                </c:pt>
                <c:pt idx="157">
                  <c:v>60.9</c:v>
                </c:pt>
                <c:pt idx="158">
                  <c:v>61.1</c:v>
                </c:pt>
                <c:pt idx="159">
                  <c:v>60.6</c:v>
                </c:pt>
                <c:pt idx="160">
                  <c:v>55.1</c:v>
                </c:pt>
                <c:pt idx="161">
                  <c:v>52.2</c:v>
                </c:pt>
                <c:pt idx="162">
                  <c:v>50.8</c:v>
                </c:pt>
                <c:pt idx="163">
                  <c:v>51</c:v>
                </c:pt>
                <c:pt idx="164">
                  <c:v>49.5</c:v>
                </c:pt>
                <c:pt idx="165">
                  <c:v>50</c:v>
                </c:pt>
                <c:pt idx="166">
                  <c:v>51.2</c:v>
                </c:pt>
                <c:pt idx="167">
                  <c:v>53.8</c:v>
                </c:pt>
                <c:pt idx="168">
                  <c:v>57.2</c:v>
                </c:pt>
                <c:pt idx="169">
                  <c:v>55.2</c:v>
                </c:pt>
                <c:pt idx="170">
                  <c:v>55.1</c:v>
                </c:pt>
                <c:pt idx="171">
                  <c:v>54.7</c:v>
                </c:pt>
                <c:pt idx="172">
                  <c:v>57.6</c:v>
                </c:pt>
                <c:pt idx="173">
                  <c:v>59.8</c:v>
                </c:pt>
                <c:pt idx="174">
                  <c:v>58.2</c:v>
                </c:pt>
                <c:pt idx="175">
                  <c:v>55.5</c:v>
                </c:pt>
                <c:pt idx="176">
                  <c:v>55.1</c:v>
                </c:pt>
                <c:pt idx="177">
                  <c:v>56.9</c:v>
                </c:pt>
                <c:pt idx="178">
                  <c:v>57.7</c:v>
                </c:pt>
                <c:pt idx="179">
                  <c:v>57.5</c:v>
                </c:pt>
                <c:pt idx="180">
                  <c:v>54</c:v>
                </c:pt>
                <c:pt idx="181">
                  <c:v>57.1</c:v>
                </c:pt>
                <c:pt idx="182">
                  <c:v>57.9</c:v>
                </c:pt>
                <c:pt idx="183">
                  <c:v>60.2</c:v>
                </c:pt>
                <c:pt idx="184">
                  <c:v>59.2</c:v>
                </c:pt>
                <c:pt idx="185">
                  <c:v>58.7</c:v>
                </c:pt>
                <c:pt idx="186">
                  <c:v>60.1</c:v>
                </c:pt>
                <c:pt idx="187">
                  <c:v>62.9</c:v>
                </c:pt>
                <c:pt idx="188">
                  <c:v>63.3</c:v>
                </c:pt>
                <c:pt idx="189">
                  <c:v>63.3</c:v>
                </c:pt>
                <c:pt idx="190">
                  <c:v>60.7</c:v>
                </c:pt>
                <c:pt idx="191">
                  <c:v>61.8</c:v>
                </c:pt>
                <c:pt idx="192">
                  <c:v>62.4</c:v>
                </c:pt>
                <c:pt idx="193">
                  <c:v>61</c:v>
                </c:pt>
                <c:pt idx="194">
                  <c:v>62.1</c:v>
                </c:pt>
                <c:pt idx="195">
                  <c:v>64.900000000000006</c:v>
                </c:pt>
                <c:pt idx="196">
                  <c:v>62</c:v>
                </c:pt>
                <c:pt idx="197">
                  <c:v>61.3</c:v>
                </c:pt>
                <c:pt idx="198">
                  <c:v>58.7</c:v>
                </c:pt>
                <c:pt idx="199">
                  <c:v>58.1</c:v>
                </c:pt>
                <c:pt idx="200">
                  <c:v>58.1</c:v>
                </c:pt>
                <c:pt idx="201">
                  <c:v>61</c:v>
                </c:pt>
                <c:pt idx="202">
                  <c:v>58.6</c:v>
                </c:pt>
                <c:pt idx="203">
                  <c:v>59.4</c:v>
                </c:pt>
                <c:pt idx="204">
                  <c:v>62.8</c:v>
                </c:pt>
                <c:pt idx="205">
                  <c:v>65.8</c:v>
                </c:pt>
                <c:pt idx="206">
                  <c:v>65.5</c:v>
                </c:pt>
                <c:pt idx="207">
                  <c:v>65.7</c:v>
                </c:pt>
                <c:pt idx="208">
                  <c:v>64.2</c:v>
                </c:pt>
                <c:pt idx="209">
                  <c:v>57.7</c:v>
                </c:pt>
                <c:pt idx="210">
                  <c:v>59</c:v>
                </c:pt>
                <c:pt idx="211">
                  <c:v>60.3</c:v>
                </c:pt>
                <c:pt idx="212">
                  <c:v>58.5</c:v>
                </c:pt>
                <c:pt idx="213">
                  <c:v>58.7</c:v>
                </c:pt>
                <c:pt idx="214">
                  <c:v>57.2</c:v>
                </c:pt>
                <c:pt idx="215">
                  <c:v>53.7</c:v>
                </c:pt>
                <c:pt idx="216">
                  <c:v>52.4</c:v>
                </c:pt>
                <c:pt idx="217">
                  <c:v>49.1</c:v>
                </c:pt>
                <c:pt idx="218">
                  <c:v>47.6</c:v>
                </c:pt>
                <c:pt idx="219">
                  <c:v>45.3</c:v>
                </c:pt>
                <c:pt idx="220">
                  <c:v>42.8</c:v>
                </c:pt>
                <c:pt idx="221">
                  <c:v>44.5</c:v>
                </c:pt>
                <c:pt idx="222">
                  <c:v>46.8</c:v>
                </c:pt>
                <c:pt idx="223">
                  <c:v>49.5</c:v>
                </c:pt>
                <c:pt idx="224">
                  <c:v>52.2</c:v>
                </c:pt>
                <c:pt idx="225">
                  <c:v>54.9</c:v>
                </c:pt>
                <c:pt idx="226">
                  <c:v>54.1</c:v>
                </c:pt>
                <c:pt idx="227">
                  <c:v>54.2</c:v>
                </c:pt>
                <c:pt idx="228">
                  <c:v>55.6</c:v>
                </c:pt>
                <c:pt idx="229">
                  <c:v>56.6</c:v>
                </c:pt>
                <c:pt idx="230">
                  <c:v>55</c:v>
                </c:pt>
                <c:pt idx="231">
                  <c:v>53.8</c:v>
                </c:pt>
                <c:pt idx="232">
                  <c:v>58</c:v>
                </c:pt>
                <c:pt idx="233">
                  <c:v>55.3</c:v>
                </c:pt>
                <c:pt idx="234">
                  <c:v>53.5</c:v>
                </c:pt>
                <c:pt idx="235">
                  <c:v>54.1</c:v>
                </c:pt>
                <c:pt idx="236">
                  <c:v>52.7</c:v>
                </c:pt>
                <c:pt idx="237">
                  <c:v>51.8</c:v>
                </c:pt>
                <c:pt idx="238">
                  <c:v>55.8</c:v>
                </c:pt>
                <c:pt idx="239">
                  <c:v>58.1</c:v>
                </c:pt>
                <c:pt idx="240">
                  <c:v>56.1</c:v>
                </c:pt>
                <c:pt idx="241">
                  <c:v>54.9</c:v>
                </c:pt>
                <c:pt idx="242">
                  <c:v>57</c:v>
                </c:pt>
                <c:pt idx="243">
                  <c:v>57.1</c:v>
                </c:pt>
                <c:pt idx="244">
                  <c:v>55.2</c:v>
                </c:pt>
                <c:pt idx="245">
                  <c:v>56.7</c:v>
                </c:pt>
                <c:pt idx="246">
                  <c:v>55.5</c:v>
                </c:pt>
                <c:pt idx="247">
                  <c:v>53.1</c:v>
                </c:pt>
                <c:pt idx="248">
                  <c:v>54.8</c:v>
                </c:pt>
                <c:pt idx="249">
                  <c:v>54.1</c:v>
                </c:pt>
                <c:pt idx="250">
                  <c:v>54.6</c:v>
                </c:pt>
                <c:pt idx="251">
                  <c:v>53.2</c:v>
                </c:pt>
                <c:pt idx="252">
                  <c:v>52</c:v>
                </c:pt>
                <c:pt idx="253">
                  <c:v>48.7</c:v>
                </c:pt>
                <c:pt idx="254">
                  <c:v>47.4</c:v>
                </c:pt>
                <c:pt idx="255">
                  <c:v>46.9</c:v>
                </c:pt>
                <c:pt idx="256">
                  <c:v>45</c:v>
                </c:pt>
                <c:pt idx="257">
                  <c:v>47.2</c:v>
                </c:pt>
                <c:pt idx="258">
                  <c:v>51.1</c:v>
                </c:pt>
                <c:pt idx="259">
                  <c:v>49.5</c:v>
                </c:pt>
                <c:pt idx="260">
                  <c:v>47.3</c:v>
                </c:pt>
                <c:pt idx="261">
                  <c:v>44.1</c:v>
                </c:pt>
                <c:pt idx="262">
                  <c:v>42.4</c:v>
                </c:pt>
                <c:pt idx="263">
                  <c:v>39.700000000000003</c:v>
                </c:pt>
                <c:pt idx="264">
                  <c:v>45.4</c:v>
                </c:pt>
                <c:pt idx="265">
                  <c:v>47.9</c:v>
                </c:pt>
                <c:pt idx="266">
                  <c:v>54.8</c:v>
                </c:pt>
                <c:pt idx="267">
                  <c:v>51.2</c:v>
                </c:pt>
                <c:pt idx="268">
                  <c:v>54.5</c:v>
                </c:pt>
                <c:pt idx="269">
                  <c:v>54.2</c:v>
                </c:pt>
                <c:pt idx="270">
                  <c:v>53.8</c:v>
                </c:pt>
                <c:pt idx="271">
                  <c:v>54.4</c:v>
                </c:pt>
                <c:pt idx="272">
                  <c:v>53.6</c:v>
                </c:pt>
                <c:pt idx="273">
                  <c:v>55.1</c:v>
                </c:pt>
                <c:pt idx="274">
                  <c:v>55</c:v>
                </c:pt>
                <c:pt idx="275">
                  <c:v>52.3</c:v>
                </c:pt>
                <c:pt idx="276">
                  <c:v>57.6</c:v>
                </c:pt>
                <c:pt idx="277">
                  <c:v>59.6</c:v>
                </c:pt>
                <c:pt idx="278">
                  <c:v>60.6</c:v>
                </c:pt>
                <c:pt idx="279">
                  <c:v>59.8</c:v>
                </c:pt>
                <c:pt idx="280">
                  <c:v>59.3</c:v>
                </c:pt>
                <c:pt idx="281">
                  <c:v>61.4</c:v>
                </c:pt>
                <c:pt idx="282">
                  <c:v>58.6</c:v>
                </c:pt>
                <c:pt idx="283">
                  <c:v>60.1</c:v>
                </c:pt>
                <c:pt idx="284">
                  <c:v>61.7</c:v>
                </c:pt>
                <c:pt idx="285">
                  <c:v>65.099999999999994</c:v>
                </c:pt>
                <c:pt idx="286">
                  <c:v>67</c:v>
                </c:pt>
                <c:pt idx="287">
                  <c:v>69.900000000000006</c:v>
                </c:pt>
                <c:pt idx="288">
                  <c:v>70.5</c:v>
                </c:pt>
                <c:pt idx="289">
                  <c:v>72.099999999999994</c:v>
                </c:pt>
                <c:pt idx="290">
                  <c:v>69.599999999999994</c:v>
                </c:pt>
                <c:pt idx="291">
                  <c:v>69.599999999999994</c:v>
                </c:pt>
                <c:pt idx="292">
                  <c:v>67.7</c:v>
                </c:pt>
                <c:pt idx="293">
                  <c:v>64.8</c:v>
                </c:pt>
                <c:pt idx="294">
                  <c:v>65</c:v>
                </c:pt>
                <c:pt idx="295">
                  <c:v>57.8</c:v>
                </c:pt>
                <c:pt idx="296">
                  <c:v>62.7</c:v>
                </c:pt>
                <c:pt idx="297">
                  <c:v>63.5</c:v>
                </c:pt>
                <c:pt idx="298">
                  <c:v>66.2</c:v>
                </c:pt>
                <c:pt idx="299">
                  <c:v>68.099999999999994</c:v>
                </c:pt>
                <c:pt idx="300">
                  <c:v>63.6</c:v>
                </c:pt>
                <c:pt idx="301">
                  <c:v>62.1</c:v>
                </c:pt>
                <c:pt idx="302">
                  <c:v>58.6</c:v>
                </c:pt>
                <c:pt idx="303">
                  <c:v>61.8</c:v>
                </c:pt>
                <c:pt idx="304">
                  <c:v>59.9</c:v>
                </c:pt>
                <c:pt idx="305">
                  <c:v>55.7</c:v>
                </c:pt>
                <c:pt idx="306">
                  <c:v>54.7</c:v>
                </c:pt>
                <c:pt idx="307">
                  <c:v>54.8</c:v>
                </c:pt>
                <c:pt idx="308">
                  <c:v>52.9</c:v>
                </c:pt>
                <c:pt idx="309">
                  <c:v>46.2</c:v>
                </c:pt>
                <c:pt idx="310">
                  <c:v>42.7</c:v>
                </c:pt>
                <c:pt idx="311">
                  <c:v>37.9</c:v>
                </c:pt>
                <c:pt idx="312">
                  <c:v>30.9</c:v>
                </c:pt>
                <c:pt idx="313">
                  <c:v>30.7</c:v>
                </c:pt>
                <c:pt idx="314">
                  <c:v>34.4</c:v>
                </c:pt>
                <c:pt idx="315">
                  <c:v>31.6</c:v>
                </c:pt>
                <c:pt idx="316">
                  <c:v>37.5</c:v>
                </c:pt>
                <c:pt idx="317">
                  <c:v>41.2</c:v>
                </c:pt>
                <c:pt idx="318">
                  <c:v>45.1</c:v>
                </c:pt>
                <c:pt idx="319">
                  <c:v>47.2</c:v>
                </c:pt>
                <c:pt idx="320">
                  <c:v>51.4</c:v>
                </c:pt>
                <c:pt idx="321">
                  <c:v>54.4</c:v>
                </c:pt>
                <c:pt idx="322">
                  <c:v>55.5</c:v>
                </c:pt>
                <c:pt idx="323">
                  <c:v>54.5</c:v>
                </c:pt>
                <c:pt idx="324">
                  <c:v>54.9</c:v>
                </c:pt>
                <c:pt idx="325">
                  <c:v>58.8</c:v>
                </c:pt>
                <c:pt idx="326">
                  <c:v>61.5</c:v>
                </c:pt>
                <c:pt idx="327">
                  <c:v>58.4</c:v>
                </c:pt>
                <c:pt idx="328">
                  <c:v>60.6</c:v>
                </c:pt>
                <c:pt idx="329">
                  <c:v>58.8</c:v>
                </c:pt>
                <c:pt idx="330">
                  <c:v>58.2</c:v>
                </c:pt>
                <c:pt idx="331">
                  <c:v>55.9</c:v>
                </c:pt>
                <c:pt idx="332">
                  <c:v>54.5</c:v>
                </c:pt>
                <c:pt idx="333">
                  <c:v>53.6</c:v>
                </c:pt>
                <c:pt idx="334">
                  <c:v>53.5</c:v>
                </c:pt>
                <c:pt idx="335">
                  <c:v>51.7</c:v>
                </c:pt>
                <c:pt idx="336">
                  <c:v>56.6</c:v>
                </c:pt>
                <c:pt idx="337">
                  <c:v>54.8</c:v>
                </c:pt>
                <c:pt idx="338">
                  <c:v>55</c:v>
                </c:pt>
                <c:pt idx="339">
                  <c:v>58.4</c:v>
                </c:pt>
                <c:pt idx="340">
                  <c:v>56.9</c:v>
                </c:pt>
                <c:pt idx="341">
                  <c:v>59.7</c:v>
                </c:pt>
                <c:pt idx="342">
                  <c:v>56.8</c:v>
                </c:pt>
                <c:pt idx="343">
                  <c:v>57.7</c:v>
                </c:pt>
                <c:pt idx="344">
                  <c:v>54.9</c:v>
                </c:pt>
                <c:pt idx="345">
                  <c:v>53.9</c:v>
                </c:pt>
                <c:pt idx="346">
                  <c:v>55.4</c:v>
                </c:pt>
                <c:pt idx="347">
                  <c:v>56.1</c:v>
                </c:pt>
                <c:pt idx="348">
                  <c:v>59.8</c:v>
                </c:pt>
                <c:pt idx="349">
                  <c:v>57.4</c:v>
                </c:pt>
                <c:pt idx="350">
                  <c:v>55.9</c:v>
                </c:pt>
                <c:pt idx="351">
                  <c:v>55</c:v>
                </c:pt>
                <c:pt idx="352">
                  <c:v>57.7</c:v>
                </c:pt>
                <c:pt idx="353">
                  <c:v>60.2</c:v>
                </c:pt>
                <c:pt idx="354">
                  <c:v>60.5</c:v>
                </c:pt>
                <c:pt idx="355">
                  <c:v>62.2</c:v>
                </c:pt>
                <c:pt idx="356">
                  <c:v>60.3</c:v>
                </c:pt>
                <c:pt idx="357">
                  <c:v>60.5</c:v>
                </c:pt>
                <c:pt idx="358">
                  <c:v>60.1</c:v>
                </c:pt>
                <c:pt idx="359">
                  <c:v>61.3</c:v>
                </c:pt>
                <c:pt idx="360">
                  <c:v>59.4</c:v>
                </c:pt>
                <c:pt idx="361">
                  <c:v>58.5</c:v>
                </c:pt>
                <c:pt idx="362">
                  <c:v>58.2</c:v>
                </c:pt>
                <c:pt idx="363">
                  <c:v>57.7</c:v>
                </c:pt>
                <c:pt idx="364">
                  <c:v>56.2</c:v>
                </c:pt>
                <c:pt idx="365">
                  <c:v>54.4</c:v>
                </c:pt>
                <c:pt idx="366">
                  <c:v>52.7</c:v>
                </c:pt>
                <c:pt idx="367">
                  <c:v>51.3</c:v>
                </c:pt>
                <c:pt idx="368">
                  <c:v>49.5</c:v>
                </c:pt>
                <c:pt idx="369">
                  <c:v>49.6</c:v>
                </c:pt>
                <c:pt idx="370">
                  <c:v>49</c:v>
                </c:pt>
                <c:pt idx="371">
                  <c:v>48</c:v>
                </c:pt>
                <c:pt idx="372">
                  <c:v>44.8</c:v>
                </c:pt>
                <c:pt idx="373">
                  <c:v>46.2</c:v>
                </c:pt>
                <c:pt idx="374">
                  <c:v>50.2</c:v>
                </c:pt>
                <c:pt idx="375">
                  <c:v>43.6</c:v>
                </c:pt>
                <c:pt idx="376">
                  <c:v>37.4</c:v>
                </c:pt>
                <c:pt idx="377">
                  <c:v>29.4</c:v>
                </c:pt>
                <c:pt idx="378">
                  <c:v>30.3</c:v>
                </c:pt>
                <c:pt idx="379">
                  <c:v>35</c:v>
                </c:pt>
                <c:pt idx="380">
                  <c:v>45.5</c:v>
                </c:pt>
                <c:pt idx="381">
                  <c:v>50.1</c:v>
                </c:pt>
                <c:pt idx="382">
                  <c:v>55.5</c:v>
                </c:pt>
                <c:pt idx="383">
                  <c:v>58.2</c:v>
                </c:pt>
                <c:pt idx="384">
                  <c:v>53</c:v>
                </c:pt>
                <c:pt idx="385">
                  <c:v>49.2</c:v>
                </c:pt>
                <c:pt idx="386">
                  <c:v>48.8</c:v>
                </c:pt>
                <c:pt idx="387">
                  <c:v>49.6</c:v>
                </c:pt>
                <c:pt idx="388">
                  <c:v>51.6</c:v>
                </c:pt>
                <c:pt idx="389">
                  <c:v>53.5</c:v>
                </c:pt>
                <c:pt idx="390">
                  <c:v>50.7</c:v>
                </c:pt>
                <c:pt idx="391">
                  <c:v>46.7</c:v>
                </c:pt>
                <c:pt idx="392">
                  <c:v>48.3</c:v>
                </c:pt>
                <c:pt idx="393">
                  <c:v>42.5</c:v>
                </c:pt>
                <c:pt idx="394">
                  <c:v>40</c:v>
                </c:pt>
                <c:pt idx="395">
                  <c:v>36.1</c:v>
                </c:pt>
                <c:pt idx="396">
                  <c:v>37.799999999999997</c:v>
                </c:pt>
                <c:pt idx="397">
                  <c:v>38.200000000000003</c:v>
                </c:pt>
                <c:pt idx="398">
                  <c:v>38.299999999999997</c:v>
                </c:pt>
                <c:pt idx="399">
                  <c:v>36.799999999999997</c:v>
                </c:pt>
                <c:pt idx="400">
                  <c:v>37.799999999999997</c:v>
                </c:pt>
                <c:pt idx="401">
                  <c:v>35.5</c:v>
                </c:pt>
                <c:pt idx="402">
                  <c:v>38.299999999999997</c:v>
                </c:pt>
                <c:pt idx="403">
                  <c:v>38.4</c:v>
                </c:pt>
                <c:pt idx="404">
                  <c:v>38.299999999999997</c:v>
                </c:pt>
                <c:pt idx="405">
                  <c:v>38.799999999999997</c:v>
                </c:pt>
                <c:pt idx="406">
                  <c:v>39.4</c:v>
                </c:pt>
                <c:pt idx="407">
                  <c:v>39.200000000000003</c:v>
                </c:pt>
                <c:pt idx="408">
                  <c:v>42.8</c:v>
                </c:pt>
                <c:pt idx="409">
                  <c:v>46</c:v>
                </c:pt>
                <c:pt idx="410">
                  <c:v>54.4</c:v>
                </c:pt>
                <c:pt idx="411">
                  <c:v>53.9</c:v>
                </c:pt>
                <c:pt idx="412">
                  <c:v>54.2</c:v>
                </c:pt>
                <c:pt idx="413">
                  <c:v>56.1</c:v>
                </c:pt>
                <c:pt idx="414">
                  <c:v>57.5</c:v>
                </c:pt>
                <c:pt idx="415">
                  <c:v>63.6</c:v>
                </c:pt>
                <c:pt idx="416">
                  <c:v>63.1</c:v>
                </c:pt>
                <c:pt idx="417">
                  <c:v>62.5</c:v>
                </c:pt>
                <c:pt idx="418">
                  <c:v>64.400000000000006</c:v>
                </c:pt>
                <c:pt idx="419">
                  <c:v>66</c:v>
                </c:pt>
                <c:pt idx="420">
                  <c:v>69.900000000000006</c:v>
                </c:pt>
                <c:pt idx="421">
                  <c:v>60.5</c:v>
                </c:pt>
                <c:pt idx="422">
                  <c:v>61.3</c:v>
                </c:pt>
                <c:pt idx="423">
                  <c:v>58.9</c:v>
                </c:pt>
                <c:pt idx="424">
                  <c:v>61</c:v>
                </c:pt>
                <c:pt idx="425">
                  <c:v>58.6</c:v>
                </c:pt>
                <c:pt idx="426">
                  <c:v>58.1</c:v>
                </c:pt>
                <c:pt idx="427">
                  <c:v>56.1</c:v>
                </c:pt>
                <c:pt idx="428">
                  <c:v>53</c:v>
                </c:pt>
                <c:pt idx="429">
                  <c:v>50</c:v>
                </c:pt>
                <c:pt idx="430">
                  <c:v>50.8</c:v>
                </c:pt>
                <c:pt idx="431">
                  <c:v>50.3</c:v>
                </c:pt>
                <c:pt idx="432">
                  <c:v>50.6</c:v>
                </c:pt>
                <c:pt idx="433">
                  <c:v>50.3</c:v>
                </c:pt>
                <c:pt idx="434">
                  <c:v>49.9</c:v>
                </c:pt>
                <c:pt idx="435">
                  <c:v>47.8</c:v>
                </c:pt>
                <c:pt idx="436">
                  <c:v>48.2</c:v>
                </c:pt>
                <c:pt idx="437">
                  <c:v>47.1</c:v>
                </c:pt>
                <c:pt idx="438">
                  <c:v>47.8</c:v>
                </c:pt>
                <c:pt idx="439">
                  <c:v>47.9</c:v>
                </c:pt>
                <c:pt idx="440">
                  <c:v>47.7</c:v>
                </c:pt>
                <c:pt idx="441">
                  <c:v>49.9</c:v>
                </c:pt>
                <c:pt idx="442">
                  <c:v>50.9</c:v>
                </c:pt>
                <c:pt idx="443">
                  <c:v>52</c:v>
                </c:pt>
                <c:pt idx="444">
                  <c:v>50.7</c:v>
                </c:pt>
                <c:pt idx="445">
                  <c:v>51.2</c:v>
                </c:pt>
                <c:pt idx="446">
                  <c:v>51</c:v>
                </c:pt>
                <c:pt idx="447">
                  <c:v>51</c:v>
                </c:pt>
                <c:pt idx="448">
                  <c:v>49.7</c:v>
                </c:pt>
                <c:pt idx="449">
                  <c:v>53.4</c:v>
                </c:pt>
                <c:pt idx="450">
                  <c:v>50.5</c:v>
                </c:pt>
                <c:pt idx="451">
                  <c:v>48</c:v>
                </c:pt>
                <c:pt idx="452">
                  <c:v>52.6</c:v>
                </c:pt>
                <c:pt idx="453">
                  <c:v>52.4</c:v>
                </c:pt>
                <c:pt idx="454">
                  <c:v>51.2</c:v>
                </c:pt>
                <c:pt idx="455">
                  <c:v>51.2</c:v>
                </c:pt>
                <c:pt idx="456">
                  <c:v>50.5</c:v>
                </c:pt>
                <c:pt idx="457">
                  <c:v>54.9</c:v>
                </c:pt>
                <c:pt idx="458">
                  <c:v>52.6</c:v>
                </c:pt>
                <c:pt idx="459">
                  <c:v>55</c:v>
                </c:pt>
                <c:pt idx="460">
                  <c:v>55.5</c:v>
                </c:pt>
                <c:pt idx="461">
                  <c:v>57.2</c:v>
                </c:pt>
                <c:pt idx="462">
                  <c:v>57.4</c:v>
                </c:pt>
                <c:pt idx="463">
                  <c:v>57.5</c:v>
                </c:pt>
                <c:pt idx="464">
                  <c:v>59.3</c:v>
                </c:pt>
                <c:pt idx="465">
                  <c:v>60</c:v>
                </c:pt>
                <c:pt idx="466">
                  <c:v>60.7</c:v>
                </c:pt>
                <c:pt idx="467">
                  <c:v>58.8</c:v>
                </c:pt>
                <c:pt idx="468">
                  <c:v>61</c:v>
                </c:pt>
                <c:pt idx="469">
                  <c:v>57.5</c:v>
                </c:pt>
                <c:pt idx="470">
                  <c:v>56.2</c:v>
                </c:pt>
                <c:pt idx="471">
                  <c:v>54.6</c:v>
                </c:pt>
                <c:pt idx="472">
                  <c:v>55.8</c:v>
                </c:pt>
                <c:pt idx="473">
                  <c:v>55.5</c:v>
                </c:pt>
                <c:pt idx="474">
                  <c:v>59.3</c:v>
                </c:pt>
                <c:pt idx="475">
                  <c:v>58.2</c:v>
                </c:pt>
                <c:pt idx="476">
                  <c:v>56</c:v>
                </c:pt>
                <c:pt idx="477">
                  <c:v>54.5</c:v>
                </c:pt>
                <c:pt idx="478">
                  <c:v>55.4</c:v>
                </c:pt>
                <c:pt idx="479">
                  <c:v>55.6</c:v>
                </c:pt>
                <c:pt idx="480">
                  <c:v>56</c:v>
                </c:pt>
                <c:pt idx="481">
                  <c:v>54.7</c:v>
                </c:pt>
                <c:pt idx="482">
                  <c:v>54.1</c:v>
                </c:pt>
                <c:pt idx="483">
                  <c:v>51.5</c:v>
                </c:pt>
                <c:pt idx="484">
                  <c:v>52.2</c:v>
                </c:pt>
                <c:pt idx="485">
                  <c:v>49.3</c:v>
                </c:pt>
                <c:pt idx="486">
                  <c:v>47.3</c:v>
                </c:pt>
                <c:pt idx="487">
                  <c:v>45.9</c:v>
                </c:pt>
                <c:pt idx="488">
                  <c:v>45.1</c:v>
                </c:pt>
                <c:pt idx="489">
                  <c:v>46</c:v>
                </c:pt>
                <c:pt idx="490">
                  <c:v>46.8</c:v>
                </c:pt>
                <c:pt idx="491">
                  <c:v>46.8</c:v>
                </c:pt>
                <c:pt idx="492">
                  <c:v>47.4</c:v>
                </c:pt>
                <c:pt idx="493">
                  <c:v>47.2</c:v>
                </c:pt>
                <c:pt idx="494">
                  <c:v>49.1</c:v>
                </c:pt>
                <c:pt idx="495">
                  <c:v>49.9</c:v>
                </c:pt>
                <c:pt idx="496">
                  <c:v>50</c:v>
                </c:pt>
                <c:pt idx="497">
                  <c:v>49.5</c:v>
                </c:pt>
                <c:pt idx="498">
                  <c:v>49.2</c:v>
                </c:pt>
                <c:pt idx="499">
                  <c:v>46.6</c:v>
                </c:pt>
                <c:pt idx="500">
                  <c:v>46.1</c:v>
                </c:pt>
                <c:pt idx="501">
                  <c:v>44.5</c:v>
                </c:pt>
                <c:pt idx="502">
                  <c:v>43.2</c:v>
                </c:pt>
                <c:pt idx="503">
                  <c:v>41.3</c:v>
                </c:pt>
                <c:pt idx="504">
                  <c:v>40.799999999999997</c:v>
                </c:pt>
                <c:pt idx="505">
                  <c:v>39.200000000000003</c:v>
                </c:pt>
                <c:pt idx="506">
                  <c:v>39.4</c:v>
                </c:pt>
                <c:pt idx="507">
                  <c:v>40.700000000000003</c:v>
                </c:pt>
                <c:pt idx="508">
                  <c:v>42.8</c:v>
                </c:pt>
                <c:pt idx="509">
                  <c:v>44.5</c:v>
                </c:pt>
                <c:pt idx="510">
                  <c:v>50.3</c:v>
                </c:pt>
                <c:pt idx="511">
                  <c:v>50.6</c:v>
                </c:pt>
                <c:pt idx="512">
                  <c:v>52.9</c:v>
                </c:pt>
                <c:pt idx="513">
                  <c:v>54.9</c:v>
                </c:pt>
                <c:pt idx="514">
                  <c:v>53.1</c:v>
                </c:pt>
                <c:pt idx="515">
                  <c:v>49.5</c:v>
                </c:pt>
                <c:pt idx="516">
                  <c:v>46.8</c:v>
                </c:pt>
                <c:pt idx="517">
                  <c:v>47.3</c:v>
                </c:pt>
                <c:pt idx="518">
                  <c:v>52.7</c:v>
                </c:pt>
                <c:pt idx="519">
                  <c:v>54.6</c:v>
                </c:pt>
                <c:pt idx="520">
                  <c:v>52.6</c:v>
                </c:pt>
                <c:pt idx="521">
                  <c:v>55.7</c:v>
                </c:pt>
                <c:pt idx="522">
                  <c:v>53.6</c:v>
                </c:pt>
                <c:pt idx="523">
                  <c:v>53.9</c:v>
                </c:pt>
                <c:pt idx="524">
                  <c:v>53.4</c:v>
                </c:pt>
                <c:pt idx="525">
                  <c:v>49.7</c:v>
                </c:pt>
                <c:pt idx="526">
                  <c:v>50.3</c:v>
                </c:pt>
                <c:pt idx="527">
                  <c:v>53.6</c:v>
                </c:pt>
                <c:pt idx="528">
                  <c:v>54.2</c:v>
                </c:pt>
                <c:pt idx="529">
                  <c:v>55.8</c:v>
                </c:pt>
                <c:pt idx="530">
                  <c:v>55.2</c:v>
                </c:pt>
                <c:pt idx="531">
                  <c:v>53.5</c:v>
                </c:pt>
                <c:pt idx="532">
                  <c:v>50.2</c:v>
                </c:pt>
                <c:pt idx="533">
                  <c:v>51.2</c:v>
                </c:pt>
                <c:pt idx="534">
                  <c:v>49.6</c:v>
                </c:pt>
                <c:pt idx="535">
                  <c:v>50.2</c:v>
                </c:pt>
                <c:pt idx="536">
                  <c:v>50.7</c:v>
                </c:pt>
                <c:pt idx="537">
                  <c:v>50.8</c:v>
                </c:pt>
                <c:pt idx="538">
                  <c:v>53.4</c:v>
                </c:pt>
                <c:pt idx="539">
                  <c:v>53.8</c:v>
                </c:pt>
                <c:pt idx="540">
                  <c:v>55.6</c:v>
                </c:pt>
                <c:pt idx="541">
                  <c:v>56</c:v>
                </c:pt>
                <c:pt idx="542">
                  <c:v>56.5</c:v>
                </c:pt>
                <c:pt idx="543">
                  <c:v>56.9</c:v>
                </c:pt>
                <c:pt idx="544">
                  <c:v>57.4</c:v>
                </c:pt>
                <c:pt idx="545">
                  <c:v>58.2</c:v>
                </c:pt>
                <c:pt idx="546">
                  <c:v>58.8</c:v>
                </c:pt>
                <c:pt idx="547">
                  <c:v>58.5</c:v>
                </c:pt>
                <c:pt idx="548">
                  <c:v>58</c:v>
                </c:pt>
                <c:pt idx="549">
                  <c:v>59</c:v>
                </c:pt>
                <c:pt idx="550">
                  <c:v>59.4</c:v>
                </c:pt>
                <c:pt idx="551">
                  <c:v>59.2</c:v>
                </c:pt>
                <c:pt idx="552">
                  <c:v>56.1</c:v>
                </c:pt>
                <c:pt idx="553">
                  <c:v>57.4</c:v>
                </c:pt>
                <c:pt idx="554">
                  <c:v>55.1</c:v>
                </c:pt>
                <c:pt idx="555">
                  <c:v>52.1</c:v>
                </c:pt>
                <c:pt idx="556">
                  <c:v>51.5</c:v>
                </c:pt>
                <c:pt idx="557">
                  <c:v>46.7</c:v>
                </c:pt>
                <c:pt idx="558">
                  <c:v>45.9</c:v>
                </c:pt>
                <c:pt idx="559">
                  <c:v>50.7</c:v>
                </c:pt>
                <c:pt idx="560">
                  <c:v>47.1</c:v>
                </c:pt>
                <c:pt idx="561">
                  <c:v>48.1</c:v>
                </c:pt>
                <c:pt idx="562">
                  <c:v>46.7</c:v>
                </c:pt>
                <c:pt idx="563">
                  <c:v>45.9</c:v>
                </c:pt>
                <c:pt idx="564">
                  <c:v>46.2</c:v>
                </c:pt>
                <c:pt idx="565">
                  <c:v>45.5</c:v>
                </c:pt>
                <c:pt idx="566">
                  <c:v>45.9</c:v>
                </c:pt>
                <c:pt idx="567">
                  <c:v>46.9</c:v>
                </c:pt>
                <c:pt idx="568">
                  <c:v>49.3</c:v>
                </c:pt>
                <c:pt idx="569">
                  <c:v>49.1</c:v>
                </c:pt>
                <c:pt idx="570">
                  <c:v>53.6</c:v>
                </c:pt>
                <c:pt idx="571">
                  <c:v>49.7</c:v>
                </c:pt>
                <c:pt idx="572">
                  <c:v>51.6</c:v>
                </c:pt>
                <c:pt idx="573">
                  <c:v>51.1</c:v>
                </c:pt>
                <c:pt idx="574">
                  <c:v>50.5</c:v>
                </c:pt>
                <c:pt idx="575">
                  <c:v>53</c:v>
                </c:pt>
                <c:pt idx="576">
                  <c:v>55.2</c:v>
                </c:pt>
                <c:pt idx="577">
                  <c:v>53.8</c:v>
                </c:pt>
                <c:pt idx="578">
                  <c:v>53.1</c:v>
                </c:pt>
                <c:pt idx="579">
                  <c:v>53.8</c:v>
                </c:pt>
                <c:pt idx="580">
                  <c:v>53.7</c:v>
                </c:pt>
                <c:pt idx="581">
                  <c:v>56.1</c:v>
                </c:pt>
                <c:pt idx="582">
                  <c:v>54.9</c:v>
                </c:pt>
                <c:pt idx="583">
                  <c:v>57.7</c:v>
                </c:pt>
                <c:pt idx="584">
                  <c:v>56.3</c:v>
                </c:pt>
                <c:pt idx="585">
                  <c:v>53.9</c:v>
                </c:pt>
                <c:pt idx="586">
                  <c:v>56.4</c:v>
                </c:pt>
                <c:pt idx="587">
                  <c:v>55.7</c:v>
                </c:pt>
                <c:pt idx="588">
                  <c:v>54.5</c:v>
                </c:pt>
                <c:pt idx="589">
                  <c:v>53.8</c:v>
                </c:pt>
                <c:pt idx="590">
                  <c:v>52.9</c:v>
                </c:pt>
                <c:pt idx="591">
                  <c:v>52.9</c:v>
                </c:pt>
                <c:pt idx="592">
                  <c:v>52.2</c:v>
                </c:pt>
                <c:pt idx="593">
                  <c:v>50.9</c:v>
                </c:pt>
                <c:pt idx="594">
                  <c:v>48.9</c:v>
                </c:pt>
                <c:pt idx="595">
                  <c:v>49.2</c:v>
                </c:pt>
                <c:pt idx="596">
                  <c:v>49.3</c:v>
                </c:pt>
                <c:pt idx="597">
                  <c:v>48.7</c:v>
                </c:pt>
                <c:pt idx="598">
                  <c:v>48.7</c:v>
                </c:pt>
                <c:pt idx="599">
                  <c:v>48.2</c:v>
                </c:pt>
                <c:pt idx="600">
                  <c:v>46.8</c:v>
                </c:pt>
                <c:pt idx="601">
                  <c:v>50.6</c:v>
                </c:pt>
                <c:pt idx="602">
                  <c:v>51.7</c:v>
                </c:pt>
                <c:pt idx="603">
                  <c:v>52.4</c:v>
                </c:pt>
                <c:pt idx="604">
                  <c:v>52.3</c:v>
                </c:pt>
                <c:pt idx="605">
                  <c:v>54.3</c:v>
                </c:pt>
                <c:pt idx="606">
                  <c:v>55.8</c:v>
                </c:pt>
                <c:pt idx="607">
                  <c:v>53.6</c:v>
                </c:pt>
                <c:pt idx="608">
                  <c:v>54.8</c:v>
                </c:pt>
                <c:pt idx="609">
                  <c:v>57</c:v>
                </c:pt>
                <c:pt idx="610">
                  <c:v>57.2</c:v>
                </c:pt>
                <c:pt idx="611">
                  <c:v>58.1</c:v>
                </c:pt>
                <c:pt idx="612">
                  <c:v>57.8</c:v>
                </c:pt>
                <c:pt idx="613">
                  <c:v>56.7</c:v>
                </c:pt>
                <c:pt idx="614">
                  <c:v>55.8</c:v>
                </c:pt>
                <c:pt idx="615">
                  <c:v>54.9</c:v>
                </c:pt>
                <c:pt idx="616">
                  <c:v>54.7</c:v>
                </c:pt>
                <c:pt idx="617">
                  <c:v>53.2</c:v>
                </c:pt>
                <c:pt idx="618">
                  <c:v>51.4</c:v>
                </c:pt>
                <c:pt idx="619">
                  <c:v>52.5</c:v>
                </c:pt>
                <c:pt idx="620">
                  <c:v>49.9</c:v>
                </c:pt>
                <c:pt idx="621">
                  <c:v>49.7</c:v>
                </c:pt>
                <c:pt idx="622">
                  <c:v>48.7</c:v>
                </c:pt>
                <c:pt idx="623">
                  <c:v>48.5</c:v>
                </c:pt>
                <c:pt idx="624">
                  <c:v>43.9</c:v>
                </c:pt>
                <c:pt idx="625">
                  <c:v>42.3</c:v>
                </c:pt>
                <c:pt idx="626">
                  <c:v>42.1</c:v>
                </c:pt>
                <c:pt idx="627">
                  <c:v>43.1</c:v>
                </c:pt>
                <c:pt idx="628">
                  <c:v>42.7</c:v>
                </c:pt>
                <c:pt idx="629">
                  <c:v>41.3</c:v>
                </c:pt>
                <c:pt idx="630">
                  <c:v>43.2</c:v>
                </c:pt>
                <c:pt idx="631">
                  <c:v>43.5</c:v>
                </c:pt>
                <c:pt idx="632">
                  <c:v>46.3</c:v>
                </c:pt>
                <c:pt idx="633">
                  <c:v>46.2</c:v>
                </c:pt>
                <c:pt idx="634">
                  <c:v>40.799999999999997</c:v>
                </c:pt>
                <c:pt idx="635">
                  <c:v>44.1</c:v>
                </c:pt>
                <c:pt idx="636">
                  <c:v>45.3</c:v>
                </c:pt>
                <c:pt idx="637">
                  <c:v>47.5</c:v>
                </c:pt>
                <c:pt idx="638">
                  <c:v>50.7</c:v>
                </c:pt>
                <c:pt idx="639">
                  <c:v>52.4</c:v>
                </c:pt>
                <c:pt idx="640">
                  <c:v>52.4</c:v>
                </c:pt>
                <c:pt idx="641">
                  <c:v>53.1</c:v>
                </c:pt>
                <c:pt idx="642">
                  <c:v>53.6</c:v>
                </c:pt>
                <c:pt idx="643">
                  <c:v>50.2</c:v>
                </c:pt>
                <c:pt idx="644">
                  <c:v>50.3</c:v>
                </c:pt>
                <c:pt idx="645">
                  <c:v>50.5</c:v>
                </c:pt>
                <c:pt idx="646">
                  <c:v>49</c:v>
                </c:pt>
                <c:pt idx="647">
                  <c:v>48.5</c:v>
                </c:pt>
                <c:pt idx="648">
                  <c:v>51.6</c:v>
                </c:pt>
                <c:pt idx="649">
                  <c:v>51.3</c:v>
                </c:pt>
                <c:pt idx="650">
                  <c:v>48.8</c:v>
                </c:pt>
                <c:pt idx="651">
                  <c:v>46.3</c:v>
                </c:pt>
                <c:pt idx="652">
                  <c:v>46.1</c:v>
                </c:pt>
                <c:pt idx="653">
                  <c:v>49</c:v>
                </c:pt>
                <c:pt idx="654">
                  <c:v>49</c:v>
                </c:pt>
                <c:pt idx="655">
                  <c:v>51</c:v>
                </c:pt>
                <c:pt idx="656">
                  <c:v>53.2</c:v>
                </c:pt>
                <c:pt idx="657">
                  <c:v>52.4</c:v>
                </c:pt>
                <c:pt idx="658">
                  <c:v>55.2</c:v>
                </c:pt>
                <c:pt idx="659">
                  <c:v>58.4</c:v>
                </c:pt>
                <c:pt idx="660">
                  <c:v>60.1</c:v>
                </c:pt>
                <c:pt idx="661">
                  <c:v>60.8</c:v>
                </c:pt>
                <c:pt idx="662">
                  <c:v>59.9</c:v>
                </c:pt>
                <c:pt idx="663">
                  <c:v>60.6</c:v>
                </c:pt>
                <c:pt idx="664">
                  <c:v>60.6</c:v>
                </c:pt>
                <c:pt idx="665">
                  <c:v>61.4</c:v>
                </c:pt>
                <c:pt idx="666">
                  <c:v>60.5</c:v>
                </c:pt>
                <c:pt idx="667">
                  <c:v>59.9</c:v>
                </c:pt>
                <c:pt idx="668">
                  <c:v>58.5</c:v>
                </c:pt>
                <c:pt idx="669">
                  <c:v>57.4</c:v>
                </c:pt>
                <c:pt idx="670">
                  <c:v>56.3</c:v>
                </c:pt>
                <c:pt idx="671">
                  <c:v>56.2</c:v>
                </c:pt>
                <c:pt idx="672">
                  <c:v>57.2</c:v>
                </c:pt>
                <c:pt idx="673">
                  <c:v>56.8</c:v>
                </c:pt>
                <c:pt idx="674">
                  <c:v>55.5</c:v>
                </c:pt>
                <c:pt idx="675">
                  <c:v>55.2</c:v>
                </c:pt>
                <c:pt idx="676">
                  <c:v>52.2</c:v>
                </c:pt>
                <c:pt idx="677">
                  <c:v>50.8</c:v>
                </c:pt>
                <c:pt idx="678">
                  <c:v>52.4</c:v>
                </c:pt>
                <c:pt idx="679">
                  <c:v>52.8</c:v>
                </c:pt>
                <c:pt idx="680">
                  <c:v>52.4</c:v>
                </c:pt>
                <c:pt idx="681">
                  <c:v>56.8</c:v>
                </c:pt>
                <c:pt idx="682">
                  <c:v>57.2</c:v>
                </c:pt>
                <c:pt idx="683">
                  <c:v>56.7</c:v>
                </c:pt>
                <c:pt idx="684">
                  <c:v>55.1</c:v>
                </c:pt>
                <c:pt idx="685">
                  <c:v>55</c:v>
                </c:pt>
                <c:pt idx="686">
                  <c:v>55.8</c:v>
                </c:pt>
                <c:pt idx="687">
                  <c:v>54.3</c:v>
                </c:pt>
                <c:pt idx="688">
                  <c:v>55.2</c:v>
                </c:pt>
                <c:pt idx="689">
                  <c:v>53.7</c:v>
                </c:pt>
                <c:pt idx="690">
                  <c:v>52</c:v>
                </c:pt>
                <c:pt idx="691">
                  <c:v>53</c:v>
                </c:pt>
                <c:pt idx="692">
                  <c:v>53.7</c:v>
                </c:pt>
                <c:pt idx="693">
                  <c:v>52.2</c:v>
                </c:pt>
                <c:pt idx="694">
                  <c:v>51.4</c:v>
                </c:pt>
                <c:pt idx="695">
                  <c:v>50.3</c:v>
                </c:pt>
                <c:pt idx="696">
                  <c:v>51.4</c:v>
                </c:pt>
                <c:pt idx="697">
                  <c:v>49.5</c:v>
                </c:pt>
                <c:pt idx="698">
                  <c:v>51.9</c:v>
                </c:pt>
                <c:pt idx="699">
                  <c:v>50.7</c:v>
                </c:pt>
                <c:pt idx="700">
                  <c:v>52.6</c:v>
                </c:pt>
                <c:pt idx="701">
                  <c:v>52.5</c:v>
                </c:pt>
                <c:pt idx="702">
                  <c:v>52.6</c:v>
                </c:pt>
                <c:pt idx="703">
                  <c:v>52.4</c:v>
                </c:pt>
                <c:pt idx="704">
                  <c:v>50.9</c:v>
                </c:pt>
                <c:pt idx="705">
                  <c:v>51</c:v>
                </c:pt>
                <c:pt idx="706">
                  <c:v>51.1</c:v>
                </c:pt>
                <c:pt idx="707">
                  <c:v>50.5</c:v>
                </c:pt>
                <c:pt idx="708">
                  <c:v>49</c:v>
                </c:pt>
                <c:pt idx="709">
                  <c:v>50.3</c:v>
                </c:pt>
                <c:pt idx="710">
                  <c:v>47.6</c:v>
                </c:pt>
                <c:pt idx="711">
                  <c:v>48.3</c:v>
                </c:pt>
                <c:pt idx="712">
                  <c:v>48.8</c:v>
                </c:pt>
                <c:pt idx="713">
                  <c:v>48.8</c:v>
                </c:pt>
                <c:pt idx="714">
                  <c:v>49.8</c:v>
                </c:pt>
                <c:pt idx="715">
                  <c:v>50</c:v>
                </c:pt>
                <c:pt idx="716">
                  <c:v>49.2</c:v>
                </c:pt>
                <c:pt idx="717">
                  <c:v>44.8</c:v>
                </c:pt>
                <c:pt idx="718">
                  <c:v>38.9</c:v>
                </c:pt>
                <c:pt idx="719">
                  <c:v>36.5</c:v>
                </c:pt>
                <c:pt idx="720">
                  <c:v>33.1</c:v>
                </c:pt>
                <c:pt idx="721">
                  <c:v>34.9</c:v>
                </c:pt>
                <c:pt idx="722">
                  <c:v>35.5</c:v>
                </c:pt>
                <c:pt idx="723">
                  <c:v>36</c:v>
                </c:pt>
                <c:pt idx="724">
                  <c:v>39.5</c:v>
                </c:pt>
                <c:pt idx="725">
                  <c:v>41.7</c:v>
                </c:pt>
                <c:pt idx="726">
                  <c:v>45.8</c:v>
                </c:pt>
                <c:pt idx="727">
                  <c:v>49.9</c:v>
                </c:pt>
                <c:pt idx="728">
                  <c:v>53.5</c:v>
                </c:pt>
                <c:pt idx="729">
                  <c:v>54.4</c:v>
                </c:pt>
                <c:pt idx="730">
                  <c:v>56</c:v>
                </c:pt>
                <c:pt idx="731">
                  <c:v>54.4</c:v>
                </c:pt>
                <c:pt idx="732">
                  <c:v>55.3</c:v>
                </c:pt>
                <c:pt idx="733">
                  <c:v>57.2</c:v>
                </c:pt>
                <c:pt idx="734">
                  <c:v>55.8</c:v>
                </c:pt>
                <c:pt idx="735">
                  <c:v>58.8</c:v>
                </c:pt>
                <c:pt idx="736">
                  <c:v>58.1</c:v>
                </c:pt>
                <c:pt idx="737">
                  <c:v>58.3</c:v>
                </c:pt>
                <c:pt idx="738">
                  <c:v>56.4</c:v>
                </c:pt>
                <c:pt idx="739">
                  <c:v>56.4</c:v>
                </c:pt>
                <c:pt idx="740">
                  <c:v>58</c:v>
                </c:pt>
                <c:pt idx="741">
                  <c:v>56.3</c:v>
                </c:pt>
                <c:pt idx="742">
                  <c:v>57.7</c:v>
                </c:pt>
                <c:pt idx="743">
                  <c:v>57.6</c:v>
                </c:pt>
                <c:pt idx="744">
                  <c:v>57.5</c:v>
                </c:pt>
                <c:pt idx="745">
                  <c:v>59</c:v>
                </c:pt>
                <c:pt idx="746">
                  <c:v>59.3</c:v>
                </c:pt>
                <c:pt idx="747">
                  <c:v>59.1</c:v>
                </c:pt>
                <c:pt idx="748">
                  <c:v>58.9</c:v>
                </c:pt>
                <c:pt idx="749">
                  <c:v>53.7</c:v>
                </c:pt>
                <c:pt idx="750">
                  <c:v>56.6</c:v>
                </c:pt>
                <c:pt idx="751">
                  <c:v>52.9</c:v>
                </c:pt>
                <c:pt idx="752">
                  <c:v>53</c:v>
                </c:pt>
                <c:pt idx="753">
                  <c:v>52.8</c:v>
                </c:pt>
                <c:pt idx="754">
                  <c:v>51.8</c:v>
                </c:pt>
                <c:pt idx="755">
                  <c:v>52.1</c:v>
                </c:pt>
                <c:pt idx="756">
                  <c:v>53.1</c:v>
                </c:pt>
                <c:pt idx="757">
                  <c:v>52.8</c:v>
                </c:pt>
                <c:pt idx="758">
                  <c:v>52.4</c:v>
                </c:pt>
                <c:pt idx="759">
                  <c:v>53</c:v>
                </c:pt>
                <c:pt idx="760">
                  <c:v>53.7</c:v>
                </c:pt>
                <c:pt idx="761">
                  <c:v>53.2</c:v>
                </c:pt>
                <c:pt idx="762">
                  <c:v>51</c:v>
                </c:pt>
                <c:pt idx="763">
                  <c:v>50.6</c:v>
                </c:pt>
                <c:pt idx="764">
                  <c:v>51.1</c:v>
                </c:pt>
                <c:pt idx="765">
                  <c:v>52.2</c:v>
                </c:pt>
                <c:pt idx="766">
                  <c:v>51.2</c:v>
                </c:pt>
                <c:pt idx="767">
                  <c:v>49.5</c:v>
                </c:pt>
                <c:pt idx="768">
                  <c:v>50.4</c:v>
                </c:pt>
                <c:pt idx="769">
                  <c:v>52.3</c:v>
                </c:pt>
                <c:pt idx="770">
                  <c:v>53.1</c:v>
                </c:pt>
                <c:pt idx="771">
                  <c:v>51.5</c:v>
                </c:pt>
                <c:pt idx="772">
                  <c:v>50</c:v>
                </c:pt>
                <c:pt idx="773">
                  <c:v>50</c:v>
                </c:pt>
                <c:pt idx="774">
                  <c:v>52.5</c:v>
                </c:pt>
                <c:pt idx="775">
                  <c:v>54.9</c:v>
                </c:pt>
                <c:pt idx="776">
                  <c:v>56.3</c:v>
                </c:pt>
                <c:pt idx="777">
                  <c:v>56</c:v>
                </c:pt>
                <c:pt idx="778">
                  <c:v>56.6</c:v>
                </c:pt>
                <c:pt idx="779">
                  <c:v>57</c:v>
                </c:pt>
                <c:pt idx="780">
                  <c:v>56.5</c:v>
                </c:pt>
                <c:pt idx="781">
                  <c:v>51.3</c:v>
                </c:pt>
                <c:pt idx="782">
                  <c:v>54.3</c:v>
                </c:pt>
                <c:pt idx="783">
                  <c:v>54.4</c:v>
                </c:pt>
                <c:pt idx="784">
                  <c:v>55.3</c:v>
                </c:pt>
                <c:pt idx="785">
                  <c:v>55.6</c:v>
                </c:pt>
                <c:pt idx="786">
                  <c:v>55.7</c:v>
                </c:pt>
                <c:pt idx="787">
                  <c:v>56.4</c:v>
                </c:pt>
                <c:pt idx="788">
                  <c:v>58.1</c:v>
                </c:pt>
                <c:pt idx="789">
                  <c:v>56.1</c:v>
                </c:pt>
                <c:pt idx="790">
                  <c:v>57.9</c:v>
                </c:pt>
                <c:pt idx="791">
                  <c:v>57.6</c:v>
                </c:pt>
                <c:pt idx="792">
                  <c:v>55.1</c:v>
                </c:pt>
                <c:pt idx="793">
                  <c:v>53.5</c:v>
                </c:pt>
                <c:pt idx="794">
                  <c:v>52.9</c:v>
                </c:pt>
                <c:pt idx="795">
                  <c:v>51.5</c:v>
                </c:pt>
                <c:pt idx="796">
                  <c:v>51.5</c:v>
                </c:pt>
                <c:pt idx="797">
                  <c:v>52.8</c:v>
                </c:pt>
                <c:pt idx="798">
                  <c:v>53.5</c:v>
                </c:pt>
                <c:pt idx="799">
                  <c:v>52.7</c:v>
                </c:pt>
                <c:pt idx="800">
                  <c:v>51.1</c:v>
                </c:pt>
                <c:pt idx="801">
                  <c:v>50.2</c:v>
                </c:pt>
                <c:pt idx="802">
                  <c:v>49.4</c:v>
                </c:pt>
                <c:pt idx="803">
                  <c:v>48.4</c:v>
                </c:pt>
                <c:pt idx="804">
                  <c:v>48</c:v>
                </c:pt>
                <c:pt idx="805">
                  <c:v>48.2</c:v>
                </c:pt>
                <c:pt idx="806">
                  <c:v>49.7</c:v>
                </c:pt>
                <c:pt idx="807">
                  <c:v>51.7</c:v>
                </c:pt>
                <c:pt idx="808">
                  <c:v>50.7</c:v>
                </c:pt>
                <c:pt idx="809">
                  <c:v>51</c:v>
                </c:pt>
                <c:pt idx="810">
                  <c:v>52.8</c:v>
                </c:pt>
                <c:pt idx="811">
                  <c:v>52.3</c:v>
                </c:pt>
                <c:pt idx="812">
                  <c:v>49.4</c:v>
                </c:pt>
                <c:pt idx="813">
                  <c:v>51.7</c:v>
                </c:pt>
                <c:pt idx="814">
                  <c:v>52</c:v>
                </c:pt>
                <c:pt idx="815">
                  <c:v>53.5</c:v>
                </c:pt>
                <c:pt idx="816">
                  <c:v>54.5</c:v>
                </c:pt>
                <c:pt idx="817">
                  <c:v>56</c:v>
                </c:pt>
                <c:pt idx="818">
                  <c:v>57.6</c:v>
                </c:pt>
                <c:pt idx="819">
                  <c:v>56.6</c:v>
                </c:pt>
                <c:pt idx="820">
                  <c:v>55.3</c:v>
                </c:pt>
                <c:pt idx="821">
                  <c:v>55.5</c:v>
                </c:pt>
                <c:pt idx="822">
                  <c:v>56.7</c:v>
                </c:pt>
                <c:pt idx="823">
                  <c:v>56.5</c:v>
                </c:pt>
                <c:pt idx="824">
                  <c:v>59.3</c:v>
                </c:pt>
                <c:pt idx="825">
                  <c:v>60.2</c:v>
                </c:pt>
                <c:pt idx="826">
                  <c:v>58.5</c:v>
                </c:pt>
                <c:pt idx="827">
                  <c:v>58.2</c:v>
                </c:pt>
                <c:pt idx="828">
                  <c:v>59.3</c:v>
                </c:pt>
                <c:pt idx="829">
                  <c:v>59.1</c:v>
                </c:pt>
                <c:pt idx="830">
                  <c:v>60.7</c:v>
                </c:pt>
                <c:pt idx="831">
                  <c:v>59.3</c:v>
                </c:pt>
                <c:pt idx="832">
                  <c:v>57.9</c:v>
                </c:pt>
              </c:numCache>
            </c:numRef>
          </c:val>
          <c:smooth val="0"/>
          <c:extLst>
            <c:ext xmlns:c16="http://schemas.microsoft.com/office/drawing/2014/chart" uri="{C3380CC4-5D6E-409C-BE32-E72D297353CC}">
              <c16:uniqueId val="{00000002-3490-E241-AEF2-A1A820DA0693}"/>
            </c:ext>
          </c:extLst>
        </c:ser>
        <c:dLbls>
          <c:showLegendKey val="0"/>
          <c:showVal val="0"/>
          <c:showCatName val="0"/>
          <c:showSerName val="0"/>
          <c:showPercent val="0"/>
          <c:showBubbleSize val="0"/>
        </c:dLbls>
        <c:marker val="1"/>
        <c:smooth val="0"/>
        <c:axId val="404421407"/>
        <c:axId val="700453247"/>
      </c:lineChart>
      <c:dateAx>
        <c:axId val="795393231"/>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268623"/>
        <c:crosses val="autoZero"/>
        <c:auto val="1"/>
        <c:lblOffset val="100"/>
        <c:baseTimeUnit val="months"/>
      </c:dateAx>
      <c:valAx>
        <c:axId val="679268623"/>
        <c:scaling>
          <c:orientation val="minMax"/>
        </c:scaling>
        <c:delete val="0"/>
        <c:axPos val="l"/>
        <c:majorGridlines>
          <c:spPr>
            <a:ln w="317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Y/Y% Change of SPX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393231"/>
        <c:crosses val="autoZero"/>
        <c:crossBetween val="between"/>
      </c:valAx>
      <c:valAx>
        <c:axId val="70045324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PMI Index Total 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21407"/>
        <c:crosses val="max"/>
        <c:crossBetween val="between"/>
      </c:valAx>
      <c:dateAx>
        <c:axId val="404421407"/>
        <c:scaling>
          <c:orientation val="minMax"/>
        </c:scaling>
        <c:delete val="1"/>
        <c:axPos val="b"/>
        <c:numFmt formatCode="m/d/yy" sourceLinked="1"/>
        <c:majorTickMark val="out"/>
        <c:minorTickMark val="none"/>
        <c:tickLblPos val="nextTo"/>
        <c:crossAx val="700453247"/>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12Month Lagged PMI vs SPX</a:t>
            </a:r>
            <a:r>
              <a:rPr lang="en-US" baseline="0"/>
              <a:t> Adj Close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'PMI Analysis'!$X$1</c:f>
              <c:strCache>
                <c:ptCount val="1"/>
                <c:pt idx="0">
                  <c:v>Adj Close SPX</c:v>
                </c:pt>
              </c:strCache>
            </c:strRef>
          </c:tx>
          <c:spPr>
            <a:ln w="6350" cap="rnd">
              <a:solidFill>
                <a:schemeClr val="accent3"/>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Analysis'!$X$2:$X$833</c:f>
              <c:numCache>
                <c:formatCode>General</c:formatCode>
                <c:ptCount val="832"/>
                <c:pt idx="0">
                  <c:v>17.049999</c:v>
                </c:pt>
                <c:pt idx="1">
                  <c:v>17.219999000000001</c:v>
                </c:pt>
                <c:pt idx="2">
                  <c:v>17.290001</c:v>
                </c:pt>
                <c:pt idx="3">
                  <c:v>18.07</c:v>
                </c:pt>
                <c:pt idx="4">
                  <c:v>18.780000999999999</c:v>
                </c:pt>
                <c:pt idx="5">
                  <c:v>17.690000999999999</c:v>
                </c:pt>
                <c:pt idx="6">
                  <c:v>17.84</c:v>
                </c:pt>
                <c:pt idx="7">
                  <c:v>18.420000000000002</c:v>
                </c:pt>
                <c:pt idx="8">
                  <c:v>19.450001</c:v>
                </c:pt>
                <c:pt idx="9">
                  <c:v>19.530000999999999</c:v>
                </c:pt>
                <c:pt idx="10">
                  <c:v>19.510000000000002</c:v>
                </c:pt>
                <c:pt idx="11">
                  <c:v>20.41</c:v>
                </c:pt>
                <c:pt idx="12">
                  <c:v>21.66</c:v>
                </c:pt>
                <c:pt idx="13">
                  <c:v>21.799999</c:v>
                </c:pt>
                <c:pt idx="14">
                  <c:v>21.4</c:v>
                </c:pt>
                <c:pt idx="15">
                  <c:v>22.43</c:v>
                </c:pt>
                <c:pt idx="16">
                  <c:v>21.52</c:v>
                </c:pt>
                <c:pt idx="17">
                  <c:v>20.959999</c:v>
                </c:pt>
                <c:pt idx="18">
                  <c:v>22.4</c:v>
                </c:pt>
                <c:pt idx="19">
                  <c:v>23.280000999999999</c:v>
                </c:pt>
                <c:pt idx="20">
                  <c:v>23.26</c:v>
                </c:pt>
                <c:pt idx="21">
                  <c:v>22.940000999999999</c:v>
                </c:pt>
                <c:pt idx="22">
                  <c:v>22.879999000000002</c:v>
                </c:pt>
                <c:pt idx="23">
                  <c:v>23.77</c:v>
                </c:pt>
                <c:pt idx="24">
                  <c:v>24.139999</c:v>
                </c:pt>
                <c:pt idx="25">
                  <c:v>23.26</c:v>
                </c:pt>
                <c:pt idx="26">
                  <c:v>24.370000999999998</c:v>
                </c:pt>
                <c:pt idx="27">
                  <c:v>23.32</c:v>
                </c:pt>
                <c:pt idx="28">
                  <c:v>23.860001</c:v>
                </c:pt>
                <c:pt idx="29">
                  <c:v>24.959999</c:v>
                </c:pt>
                <c:pt idx="30">
                  <c:v>25.4</c:v>
                </c:pt>
                <c:pt idx="31">
                  <c:v>25.030000999999999</c:v>
                </c:pt>
                <c:pt idx="32">
                  <c:v>24.540001</c:v>
                </c:pt>
                <c:pt idx="33">
                  <c:v>24.52</c:v>
                </c:pt>
                <c:pt idx="34">
                  <c:v>25.66</c:v>
                </c:pt>
                <c:pt idx="35">
                  <c:v>26.57</c:v>
                </c:pt>
                <c:pt idx="36">
                  <c:v>26.379999000000002</c:v>
                </c:pt>
                <c:pt idx="37">
                  <c:v>25.9</c:v>
                </c:pt>
                <c:pt idx="38">
                  <c:v>25.290001</c:v>
                </c:pt>
                <c:pt idx="39">
                  <c:v>24.620000999999998</c:v>
                </c:pt>
                <c:pt idx="40">
                  <c:v>24.540001</c:v>
                </c:pt>
                <c:pt idx="41">
                  <c:v>24.139999</c:v>
                </c:pt>
                <c:pt idx="42">
                  <c:v>24.75</c:v>
                </c:pt>
                <c:pt idx="43">
                  <c:v>23.32</c:v>
                </c:pt>
                <c:pt idx="44">
                  <c:v>23.35</c:v>
                </c:pt>
                <c:pt idx="45">
                  <c:v>24.540001</c:v>
                </c:pt>
                <c:pt idx="46">
                  <c:v>24.76</c:v>
                </c:pt>
                <c:pt idx="47">
                  <c:v>24.809999000000001</c:v>
                </c:pt>
                <c:pt idx="48">
                  <c:v>26.08</c:v>
                </c:pt>
                <c:pt idx="49">
                  <c:v>26.15</c:v>
                </c:pt>
                <c:pt idx="50">
                  <c:v>26.940000999999999</c:v>
                </c:pt>
                <c:pt idx="51">
                  <c:v>28.26</c:v>
                </c:pt>
                <c:pt idx="52">
                  <c:v>29.190000999999999</c:v>
                </c:pt>
                <c:pt idx="53">
                  <c:v>29.209999</c:v>
                </c:pt>
                <c:pt idx="54">
                  <c:v>30.879999000000002</c:v>
                </c:pt>
                <c:pt idx="55">
                  <c:v>29.83</c:v>
                </c:pt>
                <c:pt idx="56">
                  <c:v>32.310001</c:v>
                </c:pt>
                <c:pt idx="57">
                  <c:v>31.68</c:v>
                </c:pt>
                <c:pt idx="58">
                  <c:v>34.240001999999997</c:v>
                </c:pt>
                <c:pt idx="59">
                  <c:v>35.979999999999997</c:v>
                </c:pt>
                <c:pt idx="60">
                  <c:v>36.630001</c:v>
                </c:pt>
                <c:pt idx="61">
                  <c:v>36.759998000000003</c:v>
                </c:pt>
                <c:pt idx="62">
                  <c:v>36.580002</c:v>
                </c:pt>
                <c:pt idx="63">
                  <c:v>37.959999000000003</c:v>
                </c:pt>
                <c:pt idx="64">
                  <c:v>37.909999999999997</c:v>
                </c:pt>
                <c:pt idx="65">
                  <c:v>41.029998999999997</c:v>
                </c:pt>
                <c:pt idx="66">
                  <c:v>43.52</c:v>
                </c:pt>
                <c:pt idx="67">
                  <c:v>43.18</c:v>
                </c:pt>
                <c:pt idx="68">
                  <c:v>43.669998</c:v>
                </c:pt>
                <c:pt idx="69">
                  <c:v>42.34</c:v>
                </c:pt>
                <c:pt idx="70">
                  <c:v>45.509998000000003</c:v>
                </c:pt>
                <c:pt idx="71">
                  <c:v>45.48</c:v>
                </c:pt>
                <c:pt idx="72">
                  <c:v>43.82</c:v>
                </c:pt>
                <c:pt idx="73">
                  <c:v>45.34</c:v>
                </c:pt>
                <c:pt idx="74">
                  <c:v>48.48</c:v>
                </c:pt>
                <c:pt idx="75">
                  <c:v>48.380001</c:v>
                </c:pt>
                <c:pt idx="76">
                  <c:v>45.200001</c:v>
                </c:pt>
                <c:pt idx="77">
                  <c:v>46.970001000000003</c:v>
                </c:pt>
                <c:pt idx="78">
                  <c:v>49.389999000000003</c:v>
                </c:pt>
                <c:pt idx="79">
                  <c:v>47.509998000000003</c:v>
                </c:pt>
                <c:pt idx="80">
                  <c:v>45.349997999999999</c:v>
                </c:pt>
                <c:pt idx="81">
                  <c:v>45.580002</c:v>
                </c:pt>
                <c:pt idx="82">
                  <c:v>45.080002</c:v>
                </c:pt>
                <c:pt idx="83">
                  <c:v>46.669998</c:v>
                </c:pt>
                <c:pt idx="84">
                  <c:v>44.720001000000003</c:v>
                </c:pt>
                <c:pt idx="85">
                  <c:v>43.259998000000003</c:v>
                </c:pt>
                <c:pt idx="86">
                  <c:v>44.110000999999997</c:v>
                </c:pt>
                <c:pt idx="87">
                  <c:v>45.740001999999997</c:v>
                </c:pt>
                <c:pt idx="88">
                  <c:v>47.43</c:v>
                </c:pt>
                <c:pt idx="89">
                  <c:v>47.369999</c:v>
                </c:pt>
                <c:pt idx="90">
                  <c:v>47.91</c:v>
                </c:pt>
                <c:pt idx="91">
                  <c:v>45.220001000000003</c:v>
                </c:pt>
                <c:pt idx="92">
                  <c:v>42.419998</c:v>
                </c:pt>
                <c:pt idx="93">
                  <c:v>41.060001</c:v>
                </c:pt>
                <c:pt idx="94">
                  <c:v>41.720001000000003</c:v>
                </c:pt>
                <c:pt idx="95">
                  <c:v>39.990001999999997</c:v>
                </c:pt>
                <c:pt idx="96">
                  <c:v>41.700001</c:v>
                </c:pt>
                <c:pt idx="97">
                  <c:v>40.840000000000003</c:v>
                </c:pt>
                <c:pt idx="98">
                  <c:v>42.099997999999999</c:v>
                </c:pt>
                <c:pt idx="99">
                  <c:v>43.439999</c:v>
                </c:pt>
                <c:pt idx="100">
                  <c:v>44.09</c:v>
                </c:pt>
                <c:pt idx="101">
                  <c:v>45.240001999999997</c:v>
                </c:pt>
                <c:pt idx="102">
                  <c:v>47.189999</c:v>
                </c:pt>
                <c:pt idx="103">
                  <c:v>47.75</c:v>
                </c:pt>
                <c:pt idx="104">
                  <c:v>50.060001</c:v>
                </c:pt>
                <c:pt idx="105">
                  <c:v>51.330002</c:v>
                </c:pt>
                <c:pt idx="106">
                  <c:v>52.48</c:v>
                </c:pt>
                <c:pt idx="107">
                  <c:v>55.209999000000003</c:v>
                </c:pt>
                <c:pt idx="108">
                  <c:v>55.450001</c:v>
                </c:pt>
                <c:pt idx="109">
                  <c:v>55.41</c:v>
                </c:pt>
                <c:pt idx="110">
                  <c:v>55.439999</c:v>
                </c:pt>
                <c:pt idx="111">
                  <c:v>57.59</c:v>
                </c:pt>
                <c:pt idx="112">
                  <c:v>58.68</c:v>
                </c:pt>
                <c:pt idx="113">
                  <c:v>58.470001000000003</c:v>
                </c:pt>
                <c:pt idx="114">
                  <c:v>60.509998000000003</c:v>
                </c:pt>
                <c:pt idx="115">
                  <c:v>59.599997999999999</c:v>
                </c:pt>
                <c:pt idx="116">
                  <c:v>56.880001</c:v>
                </c:pt>
                <c:pt idx="117">
                  <c:v>57.52</c:v>
                </c:pt>
                <c:pt idx="118">
                  <c:v>58.279998999999997</c:v>
                </c:pt>
                <c:pt idx="119">
                  <c:v>59.889999000000003</c:v>
                </c:pt>
                <c:pt idx="120">
                  <c:v>55.610000999999997</c:v>
                </c:pt>
                <c:pt idx="121">
                  <c:v>56.119999</c:v>
                </c:pt>
                <c:pt idx="122">
                  <c:v>55.34</c:v>
                </c:pt>
                <c:pt idx="123">
                  <c:v>54.369999</c:v>
                </c:pt>
                <c:pt idx="124">
                  <c:v>55.830002</c:v>
                </c:pt>
                <c:pt idx="125">
                  <c:v>56.919998</c:v>
                </c:pt>
                <c:pt idx="126">
                  <c:v>55.509998000000003</c:v>
                </c:pt>
                <c:pt idx="127">
                  <c:v>56.959999000000003</c:v>
                </c:pt>
                <c:pt idx="128">
                  <c:v>53.52</c:v>
                </c:pt>
                <c:pt idx="129">
                  <c:v>53.389999000000003</c:v>
                </c:pt>
                <c:pt idx="130">
                  <c:v>55.540000999999997</c:v>
                </c:pt>
                <c:pt idx="131">
                  <c:v>58.110000999999997</c:v>
                </c:pt>
                <c:pt idx="132">
                  <c:v>61.779998999999997</c:v>
                </c:pt>
                <c:pt idx="133">
                  <c:v>63.439999</c:v>
                </c:pt>
                <c:pt idx="134">
                  <c:v>65.059997999999993</c:v>
                </c:pt>
                <c:pt idx="135">
                  <c:v>65.309997999999993</c:v>
                </c:pt>
                <c:pt idx="136">
                  <c:v>66.559997999999993</c:v>
                </c:pt>
                <c:pt idx="137">
                  <c:v>64.639999000000003</c:v>
                </c:pt>
                <c:pt idx="138">
                  <c:v>66.760002</c:v>
                </c:pt>
                <c:pt idx="139">
                  <c:v>68.069999999999993</c:v>
                </c:pt>
                <c:pt idx="140">
                  <c:v>66.730002999999996</c:v>
                </c:pt>
                <c:pt idx="141">
                  <c:v>68.620002999999997</c:v>
                </c:pt>
                <c:pt idx="142">
                  <c:v>71.319999999999993</c:v>
                </c:pt>
                <c:pt idx="143">
                  <c:v>71.550003000000004</c:v>
                </c:pt>
                <c:pt idx="144">
                  <c:v>68.839995999999999</c:v>
                </c:pt>
                <c:pt idx="145">
                  <c:v>69.959998999999996</c:v>
                </c:pt>
                <c:pt idx="146">
                  <c:v>69.550003000000004</c:v>
                </c:pt>
                <c:pt idx="147">
                  <c:v>65.239998</c:v>
                </c:pt>
                <c:pt idx="148">
                  <c:v>59.630001</c:v>
                </c:pt>
                <c:pt idx="149">
                  <c:v>54.75</c:v>
                </c:pt>
                <c:pt idx="150">
                  <c:v>58.23</c:v>
                </c:pt>
                <c:pt idx="151">
                  <c:v>59.119999</c:v>
                </c:pt>
                <c:pt idx="152">
                  <c:v>56.27</c:v>
                </c:pt>
                <c:pt idx="153">
                  <c:v>56.52</c:v>
                </c:pt>
                <c:pt idx="154">
                  <c:v>62.259998000000003</c:v>
                </c:pt>
                <c:pt idx="155">
                  <c:v>63.099997999999999</c:v>
                </c:pt>
                <c:pt idx="156">
                  <c:v>66.199996999999996</c:v>
                </c:pt>
                <c:pt idx="157">
                  <c:v>64.290001000000004</c:v>
                </c:pt>
                <c:pt idx="158">
                  <c:v>66.569999999999993</c:v>
                </c:pt>
                <c:pt idx="159">
                  <c:v>69.800003000000004</c:v>
                </c:pt>
                <c:pt idx="160">
                  <c:v>70.800003000000004</c:v>
                </c:pt>
                <c:pt idx="161">
                  <c:v>69.370002999999997</c:v>
                </c:pt>
                <c:pt idx="162">
                  <c:v>69.129997000000003</c:v>
                </c:pt>
                <c:pt idx="163">
                  <c:v>72.5</c:v>
                </c:pt>
                <c:pt idx="164">
                  <c:v>71.699996999999996</c:v>
                </c:pt>
                <c:pt idx="165">
                  <c:v>74.010002</c:v>
                </c:pt>
                <c:pt idx="166">
                  <c:v>73.230002999999996</c:v>
                </c:pt>
                <c:pt idx="167">
                  <c:v>75.019997000000004</c:v>
                </c:pt>
                <c:pt idx="168">
                  <c:v>77.040001000000004</c:v>
                </c:pt>
                <c:pt idx="169">
                  <c:v>77.800003000000004</c:v>
                </c:pt>
                <c:pt idx="170">
                  <c:v>78.980002999999996</c:v>
                </c:pt>
                <c:pt idx="171">
                  <c:v>79.459998999999996</c:v>
                </c:pt>
                <c:pt idx="172">
                  <c:v>80.370002999999997</c:v>
                </c:pt>
                <c:pt idx="173">
                  <c:v>81.690002000000007</c:v>
                </c:pt>
                <c:pt idx="174">
                  <c:v>83.18</c:v>
                </c:pt>
                <c:pt idx="175">
                  <c:v>81.830001999999993</c:v>
                </c:pt>
                <c:pt idx="176">
                  <c:v>84.18</c:v>
                </c:pt>
                <c:pt idx="177">
                  <c:v>84.860000999999997</c:v>
                </c:pt>
                <c:pt idx="178">
                  <c:v>84.419998000000007</c:v>
                </c:pt>
                <c:pt idx="179">
                  <c:v>84.75</c:v>
                </c:pt>
                <c:pt idx="180">
                  <c:v>87.559997999999993</c:v>
                </c:pt>
                <c:pt idx="181">
                  <c:v>87.43</c:v>
                </c:pt>
                <c:pt idx="182">
                  <c:v>86.160004000000001</c:v>
                </c:pt>
                <c:pt idx="183">
                  <c:v>89.110000999999997</c:v>
                </c:pt>
                <c:pt idx="184">
                  <c:v>88.419998000000007</c:v>
                </c:pt>
                <c:pt idx="185">
                  <c:v>84.120002999999997</c:v>
                </c:pt>
                <c:pt idx="186">
                  <c:v>85.25</c:v>
                </c:pt>
                <c:pt idx="187">
                  <c:v>87.169998000000007</c:v>
                </c:pt>
                <c:pt idx="188">
                  <c:v>89.959998999999996</c:v>
                </c:pt>
                <c:pt idx="189">
                  <c:v>92.419998000000007</c:v>
                </c:pt>
                <c:pt idx="190">
                  <c:v>91.610000999999997</c:v>
                </c:pt>
                <c:pt idx="191">
                  <c:v>92.43</c:v>
                </c:pt>
                <c:pt idx="192">
                  <c:v>92.879997000000003</c:v>
                </c:pt>
                <c:pt idx="193">
                  <c:v>91.220000999999996</c:v>
                </c:pt>
                <c:pt idx="194">
                  <c:v>89.230002999999996</c:v>
                </c:pt>
                <c:pt idx="195">
                  <c:v>91.059997999999993</c:v>
                </c:pt>
                <c:pt idx="196">
                  <c:v>86.129997000000003</c:v>
                </c:pt>
                <c:pt idx="197">
                  <c:v>84.739998</c:v>
                </c:pt>
                <c:pt idx="198">
                  <c:v>83.599997999999999</c:v>
                </c:pt>
                <c:pt idx="199">
                  <c:v>77.099997999999999</c:v>
                </c:pt>
                <c:pt idx="200">
                  <c:v>76.559997999999993</c:v>
                </c:pt>
                <c:pt idx="201">
                  <c:v>80.199996999999996</c:v>
                </c:pt>
                <c:pt idx="202">
                  <c:v>80.449996999999996</c:v>
                </c:pt>
                <c:pt idx="203">
                  <c:v>80.330001999999993</c:v>
                </c:pt>
                <c:pt idx="204">
                  <c:v>86.610000999999997</c:v>
                </c:pt>
                <c:pt idx="205">
                  <c:v>86.779999000000004</c:v>
                </c:pt>
                <c:pt idx="206">
                  <c:v>90.199996999999996</c:v>
                </c:pt>
                <c:pt idx="207">
                  <c:v>94.010002</c:v>
                </c:pt>
                <c:pt idx="208">
                  <c:v>89.080001999999993</c:v>
                </c:pt>
                <c:pt idx="209">
                  <c:v>90.639999000000003</c:v>
                </c:pt>
                <c:pt idx="210">
                  <c:v>94.75</c:v>
                </c:pt>
                <c:pt idx="211">
                  <c:v>93.639999000000003</c:v>
                </c:pt>
                <c:pt idx="212">
                  <c:v>96.709998999999996</c:v>
                </c:pt>
                <c:pt idx="213">
                  <c:v>93.300003000000004</c:v>
                </c:pt>
                <c:pt idx="214">
                  <c:v>94</c:v>
                </c:pt>
                <c:pt idx="215">
                  <c:v>96.470000999999996</c:v>
                </c:pt>
                <c:pt idx="216">
                  <c:v>92.239998</c:v>
                </c:pt>
                <c:pt idx="217">
                  <c:v>89.360000999999997</c:v>
                </c:pt>
                <c:pt idx="218">
                  <c:v>90.199996999999996</c:v>
                </c:pt>
                <c:pt idx="219">
                  <c:v>97.459998999999996</c:v>
                </c:pt>
                <c:pt idx="220">
                  <c:v>98.68</c:v>
                </c:pt>
                <c:pt idx="221">
                  <c:v>99.580001999999993</c:v>
                </c:pt>
                <c:pt idx="222">
                  <c:v>97.739998</c:v>
                </c:pt>
                <c:pt idx="223">
                  <c:v>98.860000999999997</c:v>
                </c:pt>
                <c:pt idx="224">
                  <c:v>102.66999800000001</c:v>
                </c:pt>
                <c:pt idx="225">
                  <c:v>103.410004</c:v>
                </c:pt>
                <c:pt idx="226">
                  <c:v>108.370003</c:v>
                </c:pt>
                <c:pt idx="227">
                  <c:v>103.860001</c:v>
                </c:pt>
                <c:pt idx="228">
                  <c:v>103.010002</c:v>
                </c:pt>
                <c:pt idx="229">
                  <c:v>98.129997000000003</c:v>
                </c:pt>
                <c:pt idx="230">
                  <c:v>101.510002</c:v>
                </c:pt>
                <c:pt idx="231">
                  <c:v>103.69000200000001</c:v>
                </c:pt>
                <c:pt idx="232">
                  <c:v>103.459999</c:v>
                </c:pt>
                <c:pt idx="233">
                  <c:v>97.709998999999996</c:v>
                </c:pt>
                <c:pt idx="234">
                  <c:v>91.830001999999993</c:v>
                </c:pt>
                <c:pt idx="235">
                  <c:v>95.510002</c:v>
                </c:pt>
                <c:pt idx="236">
                  <c:v>93.120002999999997</c:v>
                </c:pt>
                <c:pt idx="237">
                  <c:v>97.120002999999997</c:v>
                </c:pt>
                <c:pt idx="238">
                  <c:v>93.809997999999993</c:v>
                </c:pt>
                <c:pt idx="239">
                  <c:v>92.059997999999993</c:v>
                </c:pt>
                <c:pt idx="240">
                  <c:v>85.019997000000004</c:v>
                </c:pt>
                <c:pt idx="241">
                  <c:v>89.5</c:v>
                </c:pt>
                <c:pt idx="242">
                  <c:v>89.629997000000003</c:v>
                </c:pt>
                <c:pt idx="243">
                  <c:v>81.519997000000004</c:v>
                </c:pt>
                <c:pt idx="244">
                  <c:v>76.550003000000004</c:v>
                </c:pt>
                <c:pt idx="245">
                  <c:v>72.720000999999996</c:v>
                </c:pt>
                <c:pt idx="246">
                  <c:v>78.050003000000004</c:v>
                </c:pt>
                <c:pt idx="247">
                  <c:v>81.519997000000004</c:v>
                </c:pt>
                <c:pt idx="248">
                  <c:v>84.300003000000004</c:v>
                </c:pt>
                <c:pt idx="249">
                  <c:v>83.25</c:v>
                </c:pt>
                <c:pt idx="250">
                  <c:v>87.199996999999996</c:v>
                </c:pt>
                <c:pt idx="251">
                  <c:v>92.150002000000001</c:v>
                </c:pt>
                <c:pt idx="252">
                  <c:v>95.879997000000003</c:v>
                </c:pt>
                <c:pt idx="253">
                  <c:v>96.75</c:v>
                </c:pt>
                <c:pt idx="254">
                  <c:v>100.30999799999999</c:v>
                </c:pt>
                <c:pt idx="255">
                  <c:v>103.949997</c:v>
                </c:pt>
                <c:pt idx="256">
                  <c:v>99.629997000000003</c:v>
                </c:pt>
                <c:pt idx="257">
                  <c:v>98.699996999999996</c:v>
                </c:pt>
                <c:pt idx="258">
                  <c:v>95.580001999999993</c:v>
                </c:pt>
                <c:pt idx="259">
                  <c:v>99.029999000000004</c:v>
                </c:pt>
                <c:pt idx="260">
                  <c:v>98.339995999999999</c:v>
                </c:pt>
                <c:pt idx="261">
                  <c:v>94.230002999999996</c:v>
                </c:pt>
                <c:pt idx="262">
                  <c:v>93.989998</c:v>
                </c:pt>
                <c:pt idx="263">
                  <c:v>102.089996</c:v>
                </c:pt>
                <c:pt idx="264">
                  <c:v>103.94000200000001</c:v>
                </c:pt>
                <c:pt idx="265">
                  <c:v>106.57</c:v>
                </c:pt>
                <c:pt idx="266">
                  <c:v>107.199997</c:v>
                </c:pt>
                <c:pt idx="267">
                  <c:v>107.66999800000001</c:v>
                </c:pt>
                <c:pt idx="268">
                  <c:v>109.529999</c:v>
                </c:pt>
                <c:pt idx="269">
                  <c:v>107.139999</c:v>
                </c:pt>
                <c:pt idx="270">
                  <c:v>107.389999</c:v>
                </c:pt>
                <c:pt idx="271">
                  <c:v>111.089996</c:v>
                </c:pt>
                <c:pt idx="272">
                  <c:v>110.550003</c:v>
                </c:pt>
                <c:pt idx="273">
                  <c:v>111.58000199999999</c:v>
                </c:pt>
                <c:pt idx="274">
                  <c:v>116.66999800000001</c:v>
                </c:pt>
                <c:pt idx="275">
                  <c:v>118.050003</c:v>
                </c:pt>
                <c:pt idx="276">
                  <c:v>116.029999</c:v>
                </c:pt>
                <c:pt idx="277">
                  <c:v>111.68</c:v>
                </c:pt>
                <c:pt idx="278">
                  <c:v>111.519997</c:v>
                </c:pt>
                <c:pt idx="279">
                  <c:v>106.970001</c:v>
                </c:pt>
                <c:pt idx="280">
                  <c:v>104.949997</c:v>
                </c:pt>
                <c:pt idx="281">
                  <c:v>104.260002</c:v>
                </c:pt>
                <c:pt idx="282">
                  <c:v>108.220001</c:v>
                </c:pt>
                <c:pt idx="283">
                  <c:v>104.25</c:v>
                </c:pt>
                <c:pt idx="284">
                  <c:v>108.43</c:v>
                </c:pt>
                <c:pt idx="285">
                  <c:v>108.290001</c:v>
                </c:pt>
                <c:pt idx="286">
                  <c:v>95.959998999999996</c:v>
                </c:pt>
                <c:pt idx="287">
                  <c:v>97.550003000000004</c:v>
                </c:pt>
                <c:pt idx="288">
                  <c:v>96.57</c:v>
                </c:pt>
                <c:pt idx="289">
                  <c:v>96.220000999999996</c:v>
                </c:pt>
                <c:pt idx="290">
                  <c:v>93.980002999999996</c:v>
                </c:pt>
                <c:pt idx="291">
                  <c:v>90.309997999999993</c:v>
                </c:pt>
                <c:pt idx="292">
                  <c:v>87.279999000000004</c:v>
                </c:pt>
                <c:pt idx="293">
                  <c:v>86</c:v>
                </c:pt>
                <c:pt idx="294">
                  <c:v>79.309997999999993</c:v>
                </c:pt>
                <c:pt idx="295">
                  <c:v>72.150002000000001</c:v>
                </c:pt>
                <c:pt idx="296">
                  <c:v>63.540000999999997</c:v>
                </c:pt>
                <c:pt idx="297">
                  <c:v>73.900002000000001</c:v>
                </c:pt>
                <c:pt idx="298">
                  <c:v>69.970000999999996</c:v>
                </c:pt>
                <c:pt idx="299">
                  <c:v>68.559997999999993</c:v>
                </c:pt>
                <c:pt idx="300">
                  <c:v>76.980002999999996</c:v>
                </c:pt>
                <c:pt idx="301">
                  <c:v>81.589995999999999</c:v>
                </c:pt>
                <c:pt idx="302">
                  <c:v>83.360000999999997</c:v>
                </c:pt>
                <c:pt idx="303">
                  <c:v>87.300003000000004</c:v>
                </c:pt>
                <c:pt idx="304">
                  <c:v>91.150002000000001</c:v>
                </c:pt>
                <c:pt idx="305">
                  <c:v>95.190002000000007</c:v>
                </c:pt>
                <c:pt idx="306">
                  <c:v>88.75</c:v>
                </c:pt>
                <c:pt idx="307">
                  <c:v>86.879997000000003</c:v>
                </c:pt>
                <c:pt idx="308">
                  <c:v>83.870002999999997</c:v>
                </c:pt>
                <c:pt idx="309">
                  <c:v>89.040001000000004</c:v>
                </c:pt>
                <c:pt idx="310">
                  <c:v>91.239998</c:v>
                </c:pt>
                <c:pt idx="311">
                  <c:v>90.190002000000007</c:v>
                </c:pt>
                <c:pt idx="312">
                  <c:v>100.860001</c:v>
                </c:pt>
                <c:pt idx="313">
                  <c:v>99.709998999999996</c:v>
                </c:pt>
                <c:pt idx="314">
                  <c:v>102.769997</c:v>
                </c:pt>
                <c:pt idx="315">
                  <c:v>101.639999</c:v>
                </c:pt>
                <c:pt idx="316">
                  <c:v>100.18</c:v>
                </c:pt>
                <c:pt idx="317">
                  <c:v>104.279999</c:v>
                </c:pt>
                <c:pt idx="318">
                  <c:v>103.44000200000001</c:v>
                </c:pt>
                <c:pt idx="319">
                  <c:v>102.910004</c:v>
                </c:pt>
                <c:pt idx="320">
                  <c:v>105.239998</c:v>
                </c:pt>
                <c:pt idx="321">
                  <c:v>102.900002</c:v>
                </c:pt>
                <c:pt idx="322">
                  <c:v>102.099998</c:v>
                </c:pt>
                <c:pt idx="323">
                  <c:v>107.459999</c:v>
                </c:pt>
                <c:pt idx="324">
                  <c:v>102.029999</c:v>
                </c:pt>
                <c:pt idx="325">
                  <c:v>99.82</c:v>
                </c:pt>
                <c:pt idx="326">
                  <c:v>98.419998000000007</c:v>
                </c:pt>
                <c:pt idx="327">
                  <c:v>98.440002000000007</c:v>
                </c:pt>
                <c:pt idx="328">
                  <c:v>96.120002999999997</c:v>
                </c:pt>
                <c:pt idx="329">
                  <c:v>100.480003</c:v>
                </c:pt>
                <c:pt idx="330">
                  <c:v>98.849997999999999</c:v>
                </c:pt>
                <c:pt idx="331">
                  <c:v>96.769997000000004</c:v>
                </c:pt>
                <c:pt idx="332">
                  <c:v>96.529999000000004</c:v>
                </c:pt>
                <c:pt idx="333">
                  <c:v>92.339995999999999</c:v>
                </c:pt>
                <c:pt idx="334">
                  <c:v>94.830001999999993</c:v>
                </c:pt>
                <c:pt idx="335">
                  <c:v>95.099997999999999</c:v>
                </c:pt>
                <c:pt idx="336">
                  <c:v>89.25</c:v>
                </c:pt>
                <c:pt idx="337">
                  <c:v>87.040001000000004</c:v>
                </c:pt>
                <c:pt idx="338">
                  <c:v>89.209998999999996</c:v>
                </c:pt>
                <c:pt idx="339">
                  <c:v>96.830001999999993</c:v>
                </c:pt>
                <c:pt idx="340">
                  <c:v>97.239998</c:v>
                </c:pt>
                <c:pt idx="341">
                  <c:v>95.529999000000004</c:v>
                </c:pt>
                <c:pt idx="342">
                  <c:v>100.68</c:v>
                </c:pt>
                <c:pt idx="343">
                  <c:v>103.290001</c:v>
                </c:pt>
                <c:pt idx="344">
                  <c:v>102.540001</c:v>
                </c:pt>
                <c:pt idx="345">
                  <c:v>93.150002000000001</c:v>
                </c:pt>
                <c:pt idx="346">
                  <c:v>94.699996999999996</c:v>
                </c:pt>
                <c:pt idx="347">
                  <c:v>96.110000999999997</c:v>
                </c:pt>
                <c:pt idx="348">
                  <c:v>99.93</c:v>
                </c:pt>
                <c:pt idx="349">
                  <c:v>96.279999000000004</c:v>
                </c:pt>
                <c:pt idx="350">
                  <c:v>101.589996</c:v>
                </c:pt>
                <c:pt idx="351">
                  <c:v>101.760002</c:v>
                </c:pt>
                <c:pt idx="352">
                  <c:v>99.080001999999993</c:v>
                </c:pt>
                <c:pt idx="353">
                  <c:v>102.910004</c:v>
                </c:pt>
                <c:pt idx="354">
                  <c:v>103.80999799999999</c:v>
                </c:pt>
                <c:pt idx="355">
                  <c:v>109.32</c:v>
                </c:pt>
                <c:pt idx="356">
                  <c:v>109.32</c:v>
                </c:pt>
                <c:pt idx="357">
                  <c:v>101.82</c:v>
                </c:pt>
                <c:pt idx="358">
                  <c:v>106.160004</c:v>
                </c:pt>
                <c:pt idx="359">
                  <c:v>107.94000200000001</c:v>
                </c:pt>
                <c:pt idx="360">
                  <c:v>114.160004</c:v>
                </c:pt>
                <c:pt idx="361">
                  <c:v>113.660004</c:v>
                </c:pt>
                <c:pt idx="362">
                  <c:v>102.089996</c:v>
                </c:pt>
                <c:pt idx="363">
                  <c:v>106.290001</c:v>
                </c:pt>
                <c:pt idx="364">
                  <c:v>111.239998</c:v>
                </c:pt>
                <c:pt idx="365">
                  <c:v>114.239998</c:v>
                </c:pt>
                <c:pt idx="366">
                  <c:v>121.66999800000001</c:v>
                </c:pt>
                <c:pt idx="367">
                  <c:v>122.379997</c:v>
                </c:pt>
                <c:pt idx="368">
                  <c:v>125.459999</c:v>
                </c:pt>
                <c:pt idx="369">
                  <c:v>127.470001</c:v>
                </c:pt>
                <c:pt idx="370">
                  <c:v>140.520004</c:v>
                </c:pt>
                <c:pt idx="371">
                  <c:v>135.759995</c:v>
                </c:pt>
                <c:pt idx="372">
                  <c:v>129.550003</c:v>
                </c:pt>
                <c:pt idx="373">
                  <c:v>131.270004</c:v>
                </c:pt>
                <c:pt idx="374">
                  <c:v>136</c:v>
                </c:pt>
                <c:pt idx="375">
                  <c:v>132.80999800000001</c:v>
                </c:pt>
                <c:pt idx="376">
                  <c:v>132.58999600000001</c:v>
                </c:pt>
                <c:pt idx="377">
                  <c:v>131.21000699999999</c:v>
                </c:pt>
                <c:pt idx="378">
                  <c:v>130.91999799999999</c:v>
                </c:pt>
                <c:pt idx="379">
                  <c:v>122.790001</c:v>
                </c:pt>
                <c:pt idx="380">
                  <c:v>116.18</c:v>
                </c:pt>
                <c:pt idx="381">
                  <c:v>121.889999</c:v>
                </c:pt>
                <c:pt idx="382">
                  <c:v>126.349998</c:v>
                </c:pt>
                <c:pt idx="383">
                  <c:v>122.550003</c:v>
                </c:pt>
                <c:pt idx="384">
                  <c:v>120.400002</c:v>
                </c:pt>
                <c:pt idx="385">
                  <c:v>113.110001</c:v>
                </c:pt>
                <c:pt idx="386">
                  <c:v>111.959999</c:v>
                </c:pt>
                <c:pt idx="387">
                  <c:v>116.44000200000001</c:v>
                </c:pt>
                <c:pt idx="388">
                  <c:v>111.879997</c:v>
                </c:pt>
                <c:pt idx="389">
                  <c:v>109.610001</c:v>
                </c:pt>
                <c:pt idx="390">
                  <c:v>107.089996</c:v>
                </c:pt>
                <c:pt idx="391">
                  <c:v>119.510002</c:v>
                </c:pt>
                <c:pt idx="392">
                  <c:v>120.41999800000001</c:v>
                </c:pt>
                <c:pt idx="393">
                  <c:v>133.720001</c:v>
                </c:pt>
                <c:pt idx="394">
                  <c:v>138.529999</c:v>
                </c:pt>
                <c:pt idx="395">
                  <c:v>140.63999899999999</c:v>
                </c:pt>
                <c:pt idx="396">
                  <c:v>145.300003</c:v>
                </c:pt>
                <c:pt idx="397">
                  <c:v>148.05999800000001</c:v>
                </c:pt>
                <c:pt idx="398">
                  <c:v>152.96000699999999</c:v>
                </c:pt>
                <c:pt idx="399">
                  <c:v>164.429993</c:v>
                </c:pt>
                <c:pt idx="400">
                  <c:v>162.38999899999999</c:v>
                </c:pt>
                <c:pt idx="401">
                  <c:v>167.63999899999999</c:v>
                </c:pt>
                <c:pt idx="402">
                  <c:v>162.55999800000001</c:v>
                </c:pt>
                <c:pt idx="403">
                  <c:v>164.39999399999999</c:v>
                </c:pt>
                <c:pt idx="404">
                  <c:v>166.070007</c:v>
                </c:pt>
                <c:pt idx="405">
                  <c:v>163.550003</c:v>
                </c:pt>
                <c:pt idx="406">
                  <c:v>166.39999399999999</c:v>
                </c:pt>
                <c:pt idx="407">
                  <c:v>164.929993</c:v>
                </c:pt>
                <c:pt idx="408">
                  <c:v>163.41000399999999</c:v>
                </c:pt>
                <c:pt idx="409">
                  <c:v>157.05999800000001</c:v>
                </c:pt>
                <c:pt idx="410">
                  <c:v>159.179993</c:v>
                </c:pt>
                <c:pt idx="411">
                  <c:v>160.050003</c:v>
                </c:pt>
                <c:pt idx="412">
                  <c:v>150.550003</c:v>
                </c:pt>
                <c:pt idx="413">
                  <c:v>153.179993</c:v>
                </c:pt>
                <c:pt idx="414">
                  <c:v>150.66000399999999</c:v>
                </c:pt>
                <c:pt idx="415">
                  <c:v>166.679993</c:v>
                </c:pt>
                <c:pt idx="416">
                  <c:v>166.10000600000001</c:v>
                </c:pt>
                <c:pt idx="417">
                  <c:v>166.08999600000001</c:v>
                </c:pt>
                <c:pt idx="418">
                  <c:v>163.58000200000001</c:v>
                </c:pt>
                <c:pt idx="419">
                  <c:v>167.240005</c:v>
                </c:pt>
                <c:pt idx="420">
                  <c:v>179.63000500000001</c:v>
                </c:pt>
                <c:pt idx="421">
                  <c:v>181.179993</c:v>
                </c:pt>
                <c:pt idx="422">
                  <c:v>180.66000399999999</c:v>
                </c:pt>
                <c:pt idx="423">
                  <c:v>179.83000200000001</c:v>
                </c:pt>
                <c:pt idx="424">
                  <c:v>189.550003</c:v>
                </c:pt>
                <c:pt idx="425">
                  <c:v>191.85000600000001</c:v>
                </c:pt>
                <c:pt idx="426">
                  <c:v>190.91999799999999</c:v>
                </c:pt>
                <c:pt idx="427">
                  <c:v>188.63000500000001</c:v>
                </c:pt>
                <c:pt idx="428">
                  <c:v>182.08000200000001</c:v>
                </c:pt>
                <c:pt idx="429">
                  <c:v>189.820007</c:v>
                </c:pt>
                <c:pt idx="430">
                  <c:v>202.16999799999999</c:v>
                </c:pt>
                <c:pt idx="431">
                  <c:v>211.279999</c:v>
                </c:pt>
                <c:pt idx="432">
                  <c:v>211.779999</c:v>
                </c:pt>
                <c:pt idx="433">
                  <c:v>226.91999799999999</c:v>
                </c:pt>
                <c:pt idx="434">
                  <c:v>238.89999399999999</c:v>
                </c:pt>
                <c:pt idx="435">
                  <c:v>235.520004</c:v>
                </c:pt>
                <c:pt idx="436">
                  <c:v>247.35000600000001</c:v>
                </c:pt>
                <c:pt idx="437">
                  <c:v>250.83999600000001</c:v>
                </c:pt>
                <c:pt idx="438">
                  <c:v>236.11999499999999</c:v>
                </c:pt>
                <c:pt idx="439">
                  <c:v>252.929993</c:v>
                </c:pt>
                <c:pt idx="440">
                  <c:v>231.320007</c:v>
                </c:pt>
                <c:pt idx="441">
                  <c:v>243.979996</c:v>
                </c:pt>
                <c:pt idx="442">
                  <c:v>249.220001</c:v>
                </c:pt>
                <c:pt idx="443">
                  <c:v>242.16999799999999</c:v>
                </c:pt>
                <c:pt idx="444">
                  <c:v>274.07998700000002</c:v>
                </c:pt>
                <c:pt idx="445">
                  <c:v>284.20001200000002</c:v>
                </c:pt>
                <c:pt idx="446">
                  <c:v>291.70001200000002</c:v>
                </c:pt>
                <c:pt idx="447">
                  <c:v>288.35998499999999</c:v>
                </c:pt>
                <c:pt idx="448">
                  <c:v>290.10000600000001</c:v>
                </c:pt>
                <c:pt idx="449">
                  <c:v>304</c:v>
                </c:pt>
                <c:pt idx="450">
                  <c:v>318.66000400000001</c:v>
                </c:pt>
                <c:pt idx="451">
                  <c:v>329.79998799999998</c:v>
                </c:pt>
                <c:pt idx="452">
                  <c:v>321.82998700000002</c:v>
                </c:pt>
                <c:pt idx="453">
                  <c:v>251.78999300000001</c:v>
                </c:pt>
                <c:pt idx="454">
                  <c:v>230.300003</c:v>
                </c:pt>
                <c:pt idx="455">
                  <c:v>247.08000200000001</c:v>
                </c:pt>
                <c:pt idx="456">
                  <c:v>257.07000699999998</c:v>
                </c:pt>
                <c:pt idx="457">
                  <c:v>267.82000699999998</c:v>
                </c:pt>
                <c:pt idx="458">
                  <c:v>258.89001500000001</c:v>
                </c:pt>
                <c:pt idx="459">
                  <c:v>261.32998700000002</c:v>
                </c:pt>
                <c:pt idx="460">
                  <c:v>262.16000400000001</c:v>
                </c:pt>
                <c:pt idx="461">
                  <c:v>273.5</c:v>
                </c:pt>
                <c:pt idx="462">
                  <c:v>272.01998900000001</c:v>
                </c:pt>
                <c:pt idx="463">
                  <c:v>261.51998900000001</c:v>
                </c:pt>
                <c:pt idx="464">
                  <c:v>271.91000400000001</c:v>
                </c:pt>
                <c:pt idx="465">
                  <c:v>278.97000100000002</c:v>
                </c:pt>
                <c:pt idx="466">
                  <c:v>273.70001200000002</c:v>
                </c:pt>
                <c:pt idx="467">
                  <c:v>277.72000100000002</c:v>
                </c:pt>
                <c:pt idx="468">
                  <c:v>297.47000100000002</c:v>
                </c:pt>
                <c:pt idx="469">
                  <c:v>288.85998499999999</c:v>
                </c:pt>
                <c:pt idx="470">
                  <c:v>294.86999500000002</c:v>
                </c:pt>
                <c:pt idx="471">
                  <c:v>309.64001500000001</c:v>
                </c:pt>
                <c:pt idx="472">
                  <c:v>320.51998900000001</c:v>
                </c:pt>
                <c:pt idx="473">
                  <c:v>317.98001099999999</c:v>
                </c:pt>
                <c:pt idx="474">
                  <c:v>346.07998700000002</c:v>
                </c:pt>
                <c:pt idx="475">
                  <c:v>351.45001200000002</c:v>
                </c:pt>
                <c:pt idx="476">
                  <c:v>349.14999399999999</c:v>
                </c:pt>
                <c:pt idx="477">
                  <c:v>340.35998499999999</c:v>
                </c:pt>
                <c:pt idx="478">
                  <c:v>345.98998999999998</c:v>
                </c:pt>
                <c:pt idx="479">
                  <c:v>353.39999399999999</c:v>
                </c:pt>
                <c:pt idx="480">
                  <c:v>329.07998700000002</c:v>
                </c:pt>
                <c:pt idx="481">
                  <c:v>331.89001500000001</c:v>
                </c:pt>
                <c:pt idx="482">
                  <c:v>339.94000199999999</c:v>
                </c:pt>
                <c:pt idx="483">
                  <c:v>330.79998799999998</c:v>
                </c:pt>
                <c:pt idx="484">
                  <c:v>361.23001099999999</c:v>
                </c:pt>
                <c:pt idx="485">
                  <c:v>358.01998900000001</c:v>
                </c:pt>
                <c:pt idx="486">
                  <c:v>356.14999399999999</c:v>
                </c:pt>
                <c:pt idx="487">
                  <c:v>322.55999800000001</c:v>
                </c:pt>
                <c:pt idx="488">
                  <c:v>306.04998799999998</c:v>
                </c:pt>
                <c:pt idx="489">
                  <c:v>304</c:v>
                </c:pt>
                <c:pt idx="490">
                  <c:v>322.22000100000002</c:v>
                </c:pt>
                <c:pt idx="491">
                  <c:v>330.22000100000002</c:v>
                </c:pt>
                <c:pt idx="492">
                  <c:v>343.92999300000002</c:v>
                </c:pt>
                <c:pt idx="493">
                  <c:v>367.07000699999998</c:v>
                </c:pt>
                <c:pt idx="494">
                  <c:v>375.22000100000002</c:v>
                </c:pt>
                <c:pt idx="495">
                  <c:v>375.33999599999999</c:v>
                </c:pt>
                <c:pt idx="496">
                  <c:v>389.82998700000002</c:v>
                </c:pt>
                <c:pt idx="497">
                  <c:v>371.16000400000001</c:v>
                </c:pt>
                <c:pt idx="498">
                  <c:v>387.80999800000001</c:v>
                </c:pt>
                <c:pt idx="499">
                  <c:v>395.42999300000002</c:v>
                </c:pt>
                <c:pt idx="500">
                  <c:v>387.85998499999999</c:v>
                </c:pt>
                <c:pt idx="501">
                  <c:v>392.45001200000002</c:v>
                </c:pt>
                <c:pt idx="502">
                  <c:v>375.22000100000002</c:v>
                </c:pt>
                <c:pt idx="503">
                  <c:v>417.08999599999999</c:v>
                </c:pt>
                <c:pt idx="504">
                  <c:v>408.77999899999998</c:v>
                </c:pt>
                <c:pt idx="505">
                  <c:v>412.70001200000002</c:v>
                </c:pt>
                <c:pt idx="506">
                  <c:v>403.69000199999999</c:v>
                </c:pt>
                <c:pt idx="507">
                  <c:v>414.95001200000002</c:v>
                </c:pt>
                <c:pt idx="508">
                  <c:v>415.35000600000001</c:v>
                </c:pt>
                <c:pt idx="509">
                  <c:v>408.14001500000001</c:v>
                </c:pt>
                <c:pt idx="510">
                  <c:v>424.209991</c:v>
                </c:pt>
                <c:pt idx="511">
                  <c:v>414.02999899999998</c:v>
                </c:pt>
                <c:pt idx="512">
                  <c:v>417.79998799999998</c:v>
                </c:pt>
                <c:pt idx="513">
                  <c:v>418.67999300000002</c:v>
                </c:pt>
                <c:pt idx="514">
                  <c:v>431.35000600000001</c:v>
                </c:pt>
                <c:pt idx="515">
                  <c:v>435.709991</c:v>
                </c:pt>
                <c:pt idx="516">
                  <c:v>438.77999899999998</c:v>
                </c:pt>
                <c:pt idx="517">
                  <c:v>443.38000499999998</c:v>
                </c:pt>
                <c:pt idx="518">
                  <c:v>451.67001299999998</c:v>
                </c:pt>
                <c:pt idx="519">
                  <c:v>440.19000199999999</c:v>
                </c:pt>
                <c:pt idx="520">
                  <c:v>450.19000199999999</c:v>
                </c:pt>
                <c:pt idx="521">
                  <c:v>450.52999899999998</c:v>
                </c:pt>
                <c:pt idx="522">
                  <c:v>448.13000499999998</c:v>
                </c:pt>
                <c:pt idx="523">
                  <c:v>463.55999800000001</c:v>
                </c:pt>
                <c:pt idx="524">
                  <c:v>458.92999300000002</c:v>
                </c:pt>
                <c:pt idx="525">
                  <c:v>467.82998700000002</c:v>
                </c:pt>
                <c:pt idx="526">
                  <c:v>461.790009</c:v>
                </c:pt>
                <c:pt idx="527">
                  <c:v>466.45001200000002</c:v>
                </c:pt>
                <c:pt idx="528">
                  <c:v>481.60998499999999</c:v>
                </c:pt>
                <c:pt idx="529">
                  <c:v>467.14001500000001</c:v>
                </c:pt>
                <c:pt idx="530">
                  <c:v>445.76998900000001</c:v>
                </c:pt>
                <c:pt idx="531">
                  <c:v>450.91000400000001</c:v>
                </c:pt>
                <c:pt idx="532">
                  <c:v>456.5</c:v>
                </c:pt>
                <c:pt idx="533">
                  <c:v>444.26998900000001</c:v>
                </c:pt>
                <c:pt idx="534">
                  <c:v>458.26001000000002</c:v>
                </c:pt>
                <c:pt idx="535">
                  <c:v>475.48998999999998</c:v>
                </c:pt>
                <c:pt idx="536">
                  <c:v>462.709991</c:v>
                </c:pt>
                <c:pt idx="537">
                  <c:v>472.35000600000001</c:v>
                </c:pt>
                <c:pt idx="538">
                  <c:v>453.69000199999999</c:v>
                </c:pt>
                <c:pt idx="539">
                  <c:v>459.26998900000001</c:v>
                </c:pt>
                <c:pt idx="540">
                  <c:v>470.42001299999998</c:v>
                </c:pt>
                <c:pt idx="541">
                  <c:v>487.39001500000001</c:v>
                </c:pt>
                <c:pt idx="542">
                  <c:v>500.709991</c:v>
                </c:pt>
                <c:pt idx="543">
                  <c:v>514.71002199999998</c:v>
                </c:pt>
                <c:pt idx="544">
                  <c:v>533.40002400000003</c:v>
                </c:pt>
                <c:pt idx="545">
                  <c:v>544.75</c:v>
                </c:pt>
                <c:pt idx="546">
                  <c:v>562.05999799999995</c:v>
                </c:pt>
                <c:pt idx="547">
                  <c:v>561.88000499999998</c:v>
                </c:pt>
                <c:pt idx="548">
                  <c:v>584.40997300000004</c:v>
                </c:pt>
                <c:pt idx="549">
                  <c:v>581.5</c:v>
                </c:pt>
                <c:pt idx="550">
                  <c:v>605.36999500000002</c:v>
                </c:pt>
                <c:pt idx="551">
                  <c:v>615.92999299999997</c:v>
                </c:pt>
                <c:pt idx="552">
                  <c:v>636.02002000000005</c:v>
                </c:pt>
                <c:pt idx="553">
                  <c:v>640.42999299999997</c:v>
                </c:pt>
                <c:pt idx="554">
                  <c:v>645.5</c:v>
                </c:pt>
                <c:pt idx="555">
                  <c:v>654.169983</c:v>
                </c:pt>
                <c:pt idx="556">
                  <c:v>669.11999500000002</c:v>
                </c:pt>
                <c:pt idx="557">
                  <c:v>670.63000499999998</c:v>
                </c:pt>
                <c:pt idx="558">
                  <c:v>639.95001200000002</c:v>
                </c:pt>
                <c:pt idx="559">
                  <c:v>651.98999000000003</c:v>
                </c:pt>
                <c:pt idx="560">
                  <c:v>687.330017</c:v>
                </c:pt>
                <c:pt idx="561">
                  <c:v>705.27002000000005</c:v>
                </c:pt>
                <c:pt idx="562">
                  <c:v>757.02002000000005</c:v>
                </c:pt>
                <c:pt idx="563">
                  <c:v>740.73999000000003</c:v>
                </c:pt>
                <c:pt idx="564">
                  <c:v>786.15997300000004</c:v>
                </c:pt>
                <c:pt idx="565">
                  <c:v>790.82000700000003</c:v>
                </c:pt>
                <c:pt idx="566">
                  <c:v>757.11999500000002</c:v>
                </c:pt>
                <c:pt idx="567">
                  <c:v>801.34002699999996</c:v>
                </c:pt>
                <c:pt idx="568">
                  <c:v>848.28002900000001</c:v>
                </c:pt>
                <c:pt idx="569">
                  <c:v>885.14001499999995</c:v>
                </c:pt>
                <c:pt idx="570">
                  <c:v>954.30999799999995</c:v>
                </c:pt>
                <c:pt idx="571">
                  <c:v>899.46997099999999</c:v>
                </c:pt>
                <c:pt idx="572">
                  <c:v>947.28002900000001</c:v>
                </c:pt>
                <c:pt idx="573">
                  <c:v>914.61999500000002</c:v>
                </c:pt>
                <c:pt idx="574">
                  <c:v>955.40002400000003</c:v>
                </c:pt>
                <c:pt idx="575">
                  <c:v>970.42999299999997</c:v>
                </c:pt>
                <c:pt idx="576">
                  <c:v>980.28002900000001</c:v>
                </c:pt>
                <c:pt idx="577">
                  <c:v>1049.339966</c:v>
                </c:pt>
                <c:pt idx="578">
                  <c:v>1101.75</c:v>
                </c:pt>
                <c:pt idx="579">
                  <c:v>1111.75</c:v>
                </c:pt>
                <c:pt idx="580">
                  <c:v>1090.8199460000001</c:v>
                </c:pt>
                <c:pt idx="581">
                  <c:v>1133.839966</c:v>
                </c:pt>
                <c:pt idx="582">
                  <c:v>1120.670044</c:v>
                </c:pt>
                <c:pt idx="583">
                  <c:v>957.28002900000001</c:v>
                </c:pt>
                <c:pt idx="584">
                  <c:v>1017.01001</c:v>
                </c:pt>
                <c:pt idx="585">
                  <c:v>1098.670044</c:v>
                </c:pt>
                <c:pt idx="586">
                  <c:v>1163.630005</c:v>
                </c:pt>
                <c:pt idx="587">
                  <c:v>1229.2299800000001</c:v>
                </c:pt>
                <c:pt idx="588">
                  <c:v>1279.6400149999999</c:v>
                </c:pt>
                <c:pt idx="589">
                  <c:v>1238.329956</c:v>
                </c:pt>
                <c:pt idx="590">
                  <c:v>1286.369995</c:v>
                </c:pt>
                <c:pt idx="591">
                  <c:v>1335.1800539999999</c:v>
                </c:pt>
                <c:pt idx="592">
                  <c:v>1301.839966</c:v>
                </c:pt>
                <c:pt idx="593">
                  <c:v>1372.709961</c:v>
                </c:pt>
                <c:pt idx="594">
                  <c:v>1328.719971</c:v>
                </c:pt>
                <c:pt idx="595">
                  <c:v>1320.410034</c:v>
                </c:pt>
                <c:pt idx="596">
                  <c:v>1282.709961</c:v>
                </c:pt>
                <c:pt idx="597">
                  <c:v>1362.9300539999999</c:v>
                </c:pt>
                <c:pt idx="598">
                  <c:v>1388.910034</c:v>
                </c:pt>
                <c:pt idx="599">
                  <c:v>1469.25</c:v>
                </c:pt>
                <c:pt idx="600">
                  <c:v>1394.459961</c:v>
                </c:pt>
                <c:pt idx="601">
                  <c:v>1366.420044</c:v>
                </c:pt>
                <c:pt idx="602">
                  <c:v>1498.579956</c:v>
                </c:pt>
                <c:pt idx="603">
                  <c:v>1452.4300539999999</c:v>
                </c:pt>
                <c:pt idx="604">
                  <c:v>1420.599976</c:v>
                </c:pt>
                <c:pt idx="605">
                  <c:v>1454.599976</c:v>
                </c:pt>
                <c:pt idx="606">
                  <c:v>1430.829956</c:v>
                </c:pt>
                <c:pt idx="607">
                  <c:v>1517.6800539999999</c:v>
                </c:pt>
                <c:pt idx="608">
                  <c:v>1436.51001</c:v>
                </c:pt>
                <c:pt idx="609">
                  <c:v>1429.400024</c:v>
                </c:pt>
                <c:pt idx="610">
                  <c:v>1314.9499510000001</c:v>
                </c:pt>
                <c:pt idx="611">
                  <c:v>1320.280029</c:v>
                </c:pt>
                <c:pt idx="612">
                  <c:v>1366.01001</c:v>
                </c:pt>
                <c:pt idx="613">
                  <c:v>1239.9399410000001</c:v>
                </c:pt>
                <c:pt idx="614">
                  <c:v>1160.329956</c:v>
                </c:pt>
                <c:pt idx="615">
                  <c:v>1249.459961</c:v>
                </c:pt>
                <c:pt idx="616">
                  <c:v>1255.8199460000001</c:v>
                </c:pt>
                <c:pt idx="617">
                  <c:v>1224.380005</c:v>
                </c:pt>
                <c:pt idx="618">
                  <c:v>1211.2299800000001</c:v>
                </c:pt>
                <c:pt idx="619">
                  <c:v>1133.579956</c:v>
                </c:pt>
                <c:pt idx="620">
                  <c:v>1040.9399410000001</c:v>
                </c:pt>
                <c:pt idx="621">
                  <c:v>1059.780029</c:v>
                </c:pt>
                <c:pt idx="622">
                  <c:v>1139.4499510000001</c:v>
                </c:pt>
                <c:pt idx="623">
                  <c:v>1148.079956</c:v>
                </c:pt>
                <c:pt idx="624">
                  <c:v>1130.1999510000001</c:v>
                </c:pt>
                <c:pt idx="625">
                  <c:v>1106.7299800000001</c:v>
                </c:pt>
                <c:pt idx="626">
                  <c:v>1147.3900149999999</c:v>
                </c:pt>
                <c:pt idx="627">
                  <c:v>1076.920044</c:v>
                </c:pt>
                <c:pt idx="628">
                  <c:v>1067.1400149999999</c:v>
                </c:pt>
                <c:pt idx="629">
                  <c:v>989.82000700000003</c:v>
                </c:pt>
                <c:pt idx="630">
                  <c:v>911.61999500000002</c:v>
                </c:pt>
                <c:pt idx="631">
                  <c:v>916.07000700000003</c:v>
                </c:pt>
                <c:pt idx="632">
                  <c:v>815.28002900000001</c:v>
                </c:pt>
                <c:pt idx="633">
                  <c:v>885.76000999999997</c:v>
                </c:pt>
                <c:pt idx="634">
                  <c:v>936.30999799999995</c:v>
                </c:pt>
                <c:pt idx="635">
                  <c:v>879.82000700000003</c:v>
                </c:pt>
                <c:pt idx="636">
                  <c:v>855.70001200000002</c:v>
                </c:pt>
                <c:pt idx="637">
                  <c:v>841.15002400000003</c:v>
                </c:pt>
                <c:pt idx="638">
                  <c:v>848.17999299999997</c:v>
                </c:pt>
                <c:pt idx="639">
                  <c:v>916.919983</c:v>
                </c:pt>
                <c:pt idx="640">
                  <c:v>963.59002699999996</c:v>
                </c:pt>
                <c:pt idx="641">
                  <c:v>974.5</c:v>
                </c:pt>
                <c:pt idx="642">
                  <c:v>990.30999799999995</c:v>
                </c:pt>
                <c:pt idx="643">
                  <c:v>1008.01001</c:v>
                </c:pt>
                <c:pt idx="644">
                  <c:v>995.96997099999999</c:v>
                </c:pt>
                <c:pt idx="645">
                  <c:v>1050.709961</c:v>
                </c:pt>
                <c:pt idx="646">
                  <c:v>1058.1999510000001</c:v>
                </c:pt>
                <c:pt idx="647">
                  <c:v>1111.920044</c:v>
                </c:pt>
                <c:pt idx="648">
                  <c:v>1131.130005</c:v>
                </c:pt>
                <c:pt idx="649">
                  <c:v>1144.9399410000001</c:v>
                </c:pt>
                <c:pt idx="650">
                  <c:v>1126.209961</c:v>
                </c:pt>
                <c:pt idx="651">
                  <c:v>1107.3000489999999</c:v>
                </c:pt>
                <c:pt idx="652">
                  <c:v>1120.6800539999999</c:v>
                </c:pt>
                <c:pt idx="653">
                  <c:v>1140.839966</c:v>
                </c:pt>
                <c:pt idx="654">
                  <c:v>1101.719971</c:v>
                </c:pt>
                <c:pt idx="655">
                  <c:v>1104.23999</c:v>
                </c:pt>
                <c:pt idx="656">
                  <c:v>1114.579956</c:v>
                </c:pt>
                <c:pt idx="657">
                  <c:v>1130.1999510000001</c:v>
                </c:pt>
                <c:pt idx="658">
                  <c:v>1173.8199460000001</c:v>
                </c:pt>
                <c:pt idx="659">
                  <c:v>1211.920044</c:v>
                </c:pt>
                <c:pt idx="660">
                  <c:v>1181.2700199999999</c:v>
                </c:pt>
                <c:pt idx="661">
                  <c:v>1203.599976</c:v>
                </c:pt>
                <c:pt idx="662">
                  <c:v>1180.589966</c:v>
                </c:pt>
                <c:pt idx="663">
                  <c:v>1156.849976</c:v>
                </c:pt>
                <c:pt idx="664">
                  <c:v>1191.5</c:v>
                </c:pt>
                <c:pt idx="665">
                  <c:v>1191.329956</c:v>
                </c:pt>
                <c:pt idx="666">
                  <c:v>1234.1800539999999</c:v>
                </c:pt>
                <c:pt idx="667">
                  <c:v>1220.329956</c:v>
                </c:pt>
                <c:pt idx="668">
                  <c:v>1228.8100589999999</c:v>
                </c:pt>
                <c:pt idx="669">
                  <c:v>1207.01001</c:v>
                </c:pt>
                <c:pt idx="670">
                  <c:v>1249.4799800000001</c:v>
                </c:pt>
                <c:pt idx="671">
                  <c:v>1248.290039</c:v>
                </c:pt>
                <c:pt idx="672">
                  <c:v>1280.079956</c:v>
                </c:pt>
                <c:pt idx="673">
                  <c:v>1280.660034</c:v>
                </c:pt>
                <c:pt idx="674">
                  <c:v>1294.869995</c:v>
                </c:pt>
                <c:pt idx="675">
                  <c:v>1310.6099850000001</c:v>
                </c:pt>
                <c:pt idx="676">
                  <c:v>1270.089966</c:v>
                </c:pt>
                <c:pt idx="677">
                  <c:v>1270.1999510000001</c:v>
                </c:pt>
                <c:pt idx="678">
                  <c:v>1276.660034</c:v>
                </c:pt>
                <c:pt idx="679">
                  <c:v>1303.8199460000001</c:v>
                </c:pt>
                <c:pt idx="680">
                  <c:v>1335.849976</c:v>
                </c:pt>
                <c:pt idx="681">
                  <c:v>1377.9399410000001</c:v>
                </c:pt>
                <c:pt idx="682">
                  <c:v>1400.630005</c:v>
                </c:pt>
                <c:pt idx="683">
                  <c:v>1418.3000489999999</c:v>
                </c:pt>
                <c:pt idx="684">
                  <c:v>1438.23999</c:v>
                </c:pt>
                <c:pt idx="685">
                  <c:v>1406.8199460000001</c:v>
                </c:pt>
                <c:pt idx="686">
                  <c:v>1420.8599850000001</c:v>
                </c:pt>
                <c:pt idx="687">
                  <c:v>1482.369995</c:v>
                </c:pt>
                <c:pt idx="688">
                  <c:v>1530.619995</c:v>
                </c:pt>
                <c:pt idx="689">
                  <c:v>1503.349976</c:v>
                </c:pt>
                <c:pt idx="690">
                  <c:v>1455.2700199999999</c:v>
                </c:pt>
                <c:pt idx="691">
                  <c:v>1473.98999</c:v>
                </c:pt>
                <c:pt idx="692">
                  <c:v>1526.75</c:v>
                </c:pt>
                <c:pt idx="693">
                  <c:v>1549.380005</c:v>
                </c:pt>
                <c:pt idx="694">
                  <c:v>1481.1400149999999</c:v>
                </c:pt>
                <c:pt idx="695">
                  <c:v>1468.3599850000001</c:v>
                </c:pt>
                <c:pt idx="696">
                  <c:v>1378.5500489999999</c:v>
                </c:pt>
                <c:pt idx="697">
                  <c:v>1330.630005</c:v>
                </c:pt>
                <c:pt idx="698">
                  <c:v>1322.6999510000001</c:v>
                </c:pt>
                <c:pt idx="699">
                  <c:v>1385.589966</c:v>
                </c:pt>
                <c:pt idx="700">
                  <c:v>1400.380005</c:v>
                </c:pt>
                <c:pt idx="701">
                  <c:v>1280</c:v>
                </c:pt>
                <c:pt idx="702">
                  <c:v>1267.380005</c:v>
                </c:pt>
                <c:pt idx="703">
                  <c:v>1282.829956</c:v>
                </c:pt>
                <c:pt idx="704">
                  <c:v>1166.3599850000001</c:v>
                </c:pt>
                <c:pt idx="705">
                  <c:v>968.75</c:v>
                </c:pt>
                <c:pt idx="706">
                  <c:v>896.23999000000003</c:v>
                </c:pt>
                <c:pt idx="707">
                  <c:v>903.25</c:v>
                </c:pt>
                <c:pt idx="708">
                  <c:v>825.88000499999998</c:v>
                </c:pt>
                <c:pt idx="709">
                  <c:v>735.09002699999996</c:v>
                </c:pt>
                <c:pt idx="710">
                  <c:v>797.86999500000002</c:v>
                </c:pt>
                <c:pt idx="711">
                  <c:v>872.80999799999995</c:v>
                </c:pt>
                <c:pt idx="712">
                  <c:v>919.14001499999995</c:v>
                </c:pt>
                <c:pt idx="713">
                  <c:v>919.32000700000003</c:v>
                </c:pt>
                <c:pt idx="714">
                  <c:v>987.47997999999995</c:v>
                </c:pt>
                <c:pt idx="715">
                  <c:v>1020.619995</c:v>
                </c:pt>
                <c:pt idx="716">
                  <c:v>1057.079956</c:v>
                </c:pt>
                <c:pt idx="717">
                  <c:v>1036.1899410000001</c:v>
                </c:pt>
                <c:pt idx="718">
                  <c:v>1095.630005</c:v>
                </c:pt>
                <c:pt idx="719">
                  <c:v>1115.099976</c:v>
                </c:pt>
                <c:pt idx="720">
                  <c:v>1073.869995</c:v>
                </c:pt>
                <c:pt idx="721">
                  <c:v>1104.48999</c:v>
                </c:pt>
                <c:pt idx="722">
                  <c:v>1169.4300539999999</c:v>
                </c:pt>
                <c:pt idx="723">
                  <c:v>1186.6899410000001</c:v>
                </c:pt>
                <c:pt idx="724">
                  <c:v>1089.410034</c:v>
                </c:pt>
                <c:pt idx="725">
                  <c:v>1030.709961</c:v>
                </c:pt>
                <c:pt idx="726">
                  <c:v>1101.599976</c:v>
                </c:pt>
                <c:pt idx="727">
                  <c:v>1049.329956</c:v>
                </c:pt>
                <c:pt idx="728">
                  <c:v>1141.1999510000001</c:v>
                </c:pt>
                <c:pt idx="729">
                  <c:v>1183.26001</c:v>
                </c:pt>
                <c:pt idx="730">
                  <c:v>1180.5500489999999</c:v>
                </c:pt>
                <c:pt idx="731">
                  <c:v>1257.6400149999999</c:v>
                </c:pt>
                <c:pt idx="732">
                  <c:v>1286.119995</c:v>
                </c:pt>
                <c:pt idx="733">
                  <c:v>1327.219971</c:v>
                </c:pt>
                <c:pt idx="734">
                  <c:v>1325.829956</c:v>
                </c:pt>
                <c:pt idx="735">
                  <c:v>1363.6099850000001</c:v>
                </c:pt>
                <c:pt idx="736">
                  <c:v>1345.1999510000001</c:v>
                </c:pt>
                <c:pt idx="737">
                  <c:v>1320.6400149999999</c:v>
                </c:pt>
                <c:pt idx="738">
                  <c:v>1292.280029</c:v>
                </c:pt>
                <c:pt idx="739">
                  <c:v>1218.8900149999999</c:v>
                </c:pt>
                <c:pt idx="740">
                  <c:v>1131.420044</c:v>
                </c:pt>
                <c:pt idx="741">
                  <c:v>1253.3000489999999</c:v>
                </c:pt>
                <c:pt idx="742">
                  <c:v>1246.959961</c:v>
                </c:pt>
                <c:pt idx="743">
                  <c:v>1257.599976</c:v>
                </c:pt>
                <c:pt idx="744">
                  <c:v>1312.410034</c:v>
                </c:pt>
                <c:pt idx="745">
                  <c:v>1365.6800539999999</c:v>
                </c:pt>
                <c:pt idx="746">
                  <c:v>1408.469971</c:v>
                </c:pt>
                <c:pt idx="747">
                  <c:v>1397.910034</c:v>
                </c:pt>
                <c:pt idx="748">
                  <c:v>1310.329956</c:v>
                </c:pt>
                <c:pt idx="749">
                  <c:v>1362.160034</c:v>
                </c:pt>
                <c:pt idx="750">
                  <c:v>1379.3199460000001</c:v>
                </c:pt>
                <c:pt idx="751">
                  <c:v>1406.579956</c:v>
                </c:pt>
                <c:pt idx="752">
                  <c:v>1440.670044</c:v>
                </c:pt>
                <c:pt idx="753">
                  <c:v>1412.160034</c:v>
                </c:pt>
                <c:pt idx="754">
                  <c:v>1416.1800539999999</c:v>
                </c:pt>
                <c:pt idx="755">
                  <c:v>1426.1899410000001</c:v>
                </c:pt>
                <c:pt idx="756">
                  <c:v>1498.1099850000001</c:v>
                </c:pt>
                <c:pt idx="757">
                  <c:v>1514.6800539999999</c:v>
                </c:pt>
                <c:pt idx="758">
                  <c:v>1569.1899410000001</c:v>
                </c:pt>
                <c:pt idx="759">
                  <c:v>1597.5699460000001</c:v>
                </c:pt>
                <c:pt idx="760">
                  <c:v>1630.73999</c:v>
                </c:pt>
                <c:pt idx="761">
                  <c:v>1606.280029</c:v>
                </c:pt>
                <c:pt idx="762">
                  <c:v>1685.7299800000001</c:v>
                </c:pt>
                <c:pt idx="763">
                  <c:v>1632.969971</c:v>
                </c:pt>
                <c:pt idx="764">
                  <c:v>1681.5500489999999</c:v>
                </c:pt>
                <c:pt idx="765">
                  <c:v>1756.540039</c:v>
                </c:pt>
                <c:pt idx="766">
                  <c:v>1805.8100589999999</c:v>
                </c:pt>
                <c:pt idx="767">
                  <c:v>1848.3599850000001</c:v>
                </c:pt>
                <c:pt idx="768">
                  <c:v>1782.589966</c:v>
                </c:pt>
                <c:pt idx="769">
                  <c:v>1859.4499510000001</c:v>
                </c:pt>
                <c:pt idx="770">
                  <c:v>1872.339966</c:v>
                </c:pt>
                <c:pt idx="771">
                  <c:v>1883.9499510000001</c:v>
                </c:pt>
                <c:pt idx="772">
                  <c:v>1923.5699460000001</c:v>
                </c:pt>
                <c:pt idx="773">
                  <c:v>1960.2299800000001</c:v>
                </c:pt>
                <c:pt idx="774">
                  <c:v>1930.670044</c:v>
                </c:pt>
                <c:pt idx="775">
                  <c:v>2003.369995</c:v>
                </c:pt>
                <c:pt idx="776">
                  <c:v>1972.290039</c:v>
                </c:pt>
                <c:pt idx="777">
                  <c:v>2018.0500489999999</c:v>
                </c:pt>
                <c:pt idx="778">
                  <c:v>2067.5600589999999</c:v>
                </c:pt>
                <c:pt idx="779">
                  <c:v>2058.8999020000001</c:v>
                </c:pt>
                <c:pt idx="780">
                  <c:v>1994.98999</c:v>
                </c:pt>
                <c:pt idx="781">
                  <c:v>2104.5</c:v>
                </c:pt>
                <c:pt idx="782">
                  <c:v>2067.889893</c:v>
                </c:pt>
                <c:pt idx="783">
                  <c:v>2085.51001</c:v>
                </c:pt>
                <c:pt idx="784">
                  <c:v>2107.389893</c:v>
                </c:pt>
                <c:pt idx="785">
                  <c:v>2063.110107</c:v>
                </c:pt>
                <c:pt idx="786">
                  <c:v>2103.8400879999999</c:v>
                </c:pt>
                <c:pt idx="787">
                  <c:v>1972.1800539999999</c:v>
                </c:pt>
                <c:pt idx="788">
                  <c:v>1920.030029</c:v>
                </c:pt>
                <c:pt idx="789">
                  <c:v>2079.360107</c:v>
                </c:pt>
                <c:pt idx="790">
                  <c:v>2080.4099120000001</c:v>
                </c:pt>
                <c:pt idx="791">
                  <c:v>2043.9399410000001</c:v>
                </c:pt>
                <c:pt idx="792">
                  <c:v>1940.23999</c:v>
                </c:pt>
                <c:pt idx="793">
                  <c:v>1932.2299800000001</c:v>
                </c:pt>
                <c:pt idx="794">
                  <c:v>2059.73999</c:v>
                </c:pt>
                <c:pt idx="795">
                  <c:v>2065.3000489999999</c:v>
                </c:pt>
                <c:pt idx="796">
                  <c:v>2096.9499510000001</c:v>
                </c:pt>
                <c:pt idx="797">
                  <c:v>2098.860107</c:v>
                </c:pt>
                <c:pt idx="798">
                  <c:v>2173.6000979999999</c:v>
                </c:pt>
                <c:pt idx="799">
                  <c:v>2170.9499510000001</c:v>
                </c:pt>
                <c:pt idx="800">
                  <c:v>2168.2700199999999</c:v>
                </c:pt>
                <c:pt idx="801">
                  <c:v>2126.1499020000001</c:v>
                </c:pt>
                <c:pt idx="802">
                  <c:v>2198.8100589999999</c:v>
                </c:pt>
                <c:pt idx="803">
                  <c:v>2238.830078</c:v>
                </c:pt>
                <c:pt idx="804">
                  <c:v>2278.8701169999999</c:v>
                </c:pt>
                <c:pt idx="805">
                  <c:v>2363.639893</c:v>
                </c:pt>
                <c:pt idx="806">
                  <c:v>2362.719971</c:v>
                </c:pt>
                <c:pt idx="807">
                  <c:v>2384.1999510000001</c:v>
                </c:pt>
                <c:pt idx="808">
                  <c:v>2411.8000489999999</c:v>
                </c:pt>
                <c:pt idx="809">
                  <c:v>2423.4099120000001</c:v>
                </c:pt>
                <c:pt idx="810">
                  <c:v>2470.3000489999999</c:v>
                </c:pt>
                <c:pt idx="811">
                  <c:v>2471.6499020000001</c:v>
                </c:pt>
                <c:pt idx="812">
                  <c:v>2519.360107</c:v>
                </c:pt>
                <c:pt idx="813">
                  <c:v>2575.26001</c:v>
                </c:pt>
                <c:pt idx="814">
                  <c:v>2584.8400879999999</c:v>
                </c:pt>
                <c:pt idx="815">
                  <c:v>2673.610107</c:v>
                </c:pt>
                <c:pt idx="816">
                  <c:v>2823.8100589999999</c:v>
                </c:pt>
                <c:pt idx="817">
                  <c:v>2713.830078</c:v>
                </c:pt>
                <c:pt idx="818">
                  <c:v>2640.8701169999999</c:v>
                </c:pt>
                <c:pt idx="819">
                  <c:v>2648.0500489999999</c:v>
                </c:pt>
                <c:pt idx="820">
                  <c:v>2705.2700199999999</c:v>
                </c:pt>
                <c:pt idx="821">
                  <c:v>2718.3701169999999</c:v>
                </c:pt>
                <c:pt idx="822">
                  <c:v>2816.290039</c:v>
                </c:pt>
                <c:pt idx="823">
                  <c:v>2901.5200199999999</c:v>
                </c:pt>
                <c:pt idx="824">
                  <c:v>2913.9799800000001</c:v>
                </c:pt>
                <c:pt idx="825">
                  <c:v>2711.73999</c:v>
                </c:pt>
                <c:pt idx="826">
                  <c:v>2760.169922</c:v>
                </c:pt>
                <c:pt idx="827">
                  <c:v>2506.8500979999999</c:v>
                </c:pt>
                <c:pt idx="828">
                  <c:v>2704.1000979999999</c:v>
                </c:pt>
                <c:pt idx="829">
                  <c:v>2784.48999</c:v>
                </c:pt>
                <c:pt idx="830">
                  <c:v>2834.3999020000001</c:v>
                </c:pt>
                <c:pt idx="831">
                  <c:v>2907.0600589999999</c:v>
                </c:pt>
              </c:numCache>
            </c:numRef>
          </c:val>
          <c:smooth val="0"/>
          <c:extLst>
            <c:ext xmlns:c16="http://schemas.microsoft.com/office/drawing/2014/chart" uri="{C3380CC4-5D6E-409C-BE32-E72D297353CC}">
              <c16:uniqueId val="{00000002-8840-C54E-AFA7-3D9F908804EB}"/>
            </c:ext>
          </c:extLst>
        </c:ser>
        <c:dLbls>
          <c:showLegendKey val="0"/>
          <c:showVal val="0"/>
          <c:showCatName val="0"/>
          <c:showSerName val="0"/>
          <c:showPercent val="0"/>
          <c:showBubbleSize val="0"/>
        </c:dLbls>
        <c:marker val="1"/>
        <c:smooth val="0"/>
        <c:axId val="407391103"/>
        <c:axId val="814032143"/>
      </c:lineChart>
      <c:lineChart>
        <c:grouping val="standard"/>
        <c:varyColors val="0"/>
        <c:ser>
          <c:idx val="0"/>
          <c:order val="1"/>
          <c:tx>
            <c:strRef>
              <c:f>'PMI Analysis'!$AB$1</c:f>
              <c:strCache>
                <c:ptCount val="1"/>
                <c:pt idx="0">
                  <c:v>PMI(lagged)</c:v>
                </c:pt>
              </c:strCache>
            </c:strRef>
          </c:tx>
          <c:spPr>
            <a:ln w="3175" cap="rnd">
              <a:solidFill>
                <a:srgbClr val="941100"/>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Analysis'!$AB$2:$AB$834</c:f>
              <c:numCache>
                <c:formatCode>General</c:formatCode>
                <c:ptCount val="833"/>
                <c:pt idx="13">
                  <c:v>59.1</c:v>
                </c:pt>
                <c:pt idx="14">
                  <c:v>60.5</c:v>
                </c:pt>
                <c:pt idx="15">
                  <c:v>62.1</c:v>
                </c:pt>
                <c:pt idx="16">
                  <c:v>68.099999999999994</c:v>
                </c:pt>
                <c:pt idx="17">
                  <c:v>74.7</c:v>
                </c:pt>
                <c:pt idx="18">
                  <c:v>76.599999999999994</c:v>
                </c:pt>
                <c:pt idx="19">
                  <c:v>77.5</c:v>
                </c:pt>
                <c:pt idx="20">
                  <c:v>75.8</c:v>
                </c:pt>
                <c:pt idx="21">
                  <c:v>68.099999999999994</c:v>
                </c:pt>
                <c:pt idx="22">
                  <c:v>59.2</c:v>
                </c:pt>
                <c:pt idx="23">
                  <c:v>63.1</c:v>
                </c:pt>
                <c:pt idx="24">
                  <c:v>67.099999999999994</c:v>
                </c:pt>
                <c:pt idx="25">
                  <c:v>67.8</c:v>
                </c:pt>
                <c:pt idx="26">
                  <c:v>69.3</c:v>
                </c:pt>
                <c:pt idx="27">
                  <c:v>65.5</c:v>
                </c:pt>
                <c:pt idx="28">
                  <c:v>53.5</c:v>
                </c:pt>
                <c:pt idx="29">
                  <c:v>50.7</c:v>
                </c:pt>
                <c:pt idx="30">
                  <c:v>45.5</c:v>
                </c:pt>
                <c:pt idx="31">
                  <c:v>42.1</c:v>
                </c:pt>
                <c:pt idx="32">
                  <c:v>43.6</c:v>
                </c:pt>
                <c:pt idx="33">
                  <c:v>48.1</c:v>
                </c:pt>
                <c:pt idx="34">
                  <c:v>49.6</c:v>
                </c:pt>
                <c:pt idx="35">
                  <c:v>47.2</c:v>
                </c:pt>
                <c:pt idx="36">
                  <c:v>46.5</c:v>
                </c:pt>
                <c:pt idx="37">
                  <c:v>44.7</c:v>
                </c:pt>
                <c:pt idx="38">
                  <c:v>41.8</c:v>
                </c:pt>
                <c:pt idx="39">
                  <c:v>40</c:v>
                </c:pt>
                <c:pt idx="40">
                  <c:v>36.700000000000003</c:v>
                </c:pt>
                <c:pt idx="41">
                  <c:v>39.5</c:v>
                </c:pt>
                <c:pt idx="42">
                  <c:v>43.3</c:v>
                </c:pt>
                <c:pt idx="43">
                  <c:v>48.3</c:v>
                </c:pt>
                <c:pt idx="44">
                  <c:v>60.4</c:v>
                </c:pt>
                <c:pt idx="45">
                  <c:v>56.1</c:v>
                </c:pt>
                <c:pt idx="46">
                  <c:v>56.2</c:v>
                </c:pt>
                <c:pt idx="47">
                  <c:v>56.8</c:v>
                </c:pt>
                <c:pt idx="48">
                  <c:v>55.8</c:v>
                </c:pt>
                <c:pt idx="49">
                  <c:v>59.4</c:v>
                </c:pt>
                <c:pt idx="50">
                  <c:v>55.4</c:v>
                </c:pt>
                <c:pt idx="51">
                  <c:v>50.5</c:v>
                </c:pt>
                <c:pt idx="52">
                  <c:v>51.1</c:v>
                </c:pt>
                <c:pt idx="53">
                  <c:v>48.9</c:v>
                </c:pt>
                <c:pt idx="54">
                  <c:v>48.5</c:v>
                </c:pt>
                <c:pt idx="55">
                  <c:v>46.3</c:v>
                </c:pt>
                <c:pt idx="56">
                  <c:v>43.5</c:v>
                </c:pt>
                <c:pt idx="57">
                  <c:v>40.200000000000003</c:v>
                </c:pt>
                <c:pt idx="58">
                  <c:v>37.4</c:v>
                </c:pt>
                <c:pt idx="59">
                  <c:v>36.9</c:v>
                </c:pt>
                <c:pt idx="60">
                  <c:v>35.6</c:v>
                </c:pt>
                <c:pt idx="61">
                  <c:v>37.4</c:v>
                </c:pt>
                <c:pt idx="62">
                  <c:v>40.700000000000003</c:v>
                </c:pt>
                <c:pt idx="63">
                  <c:v>44.7</c:v>
                </c:pt>
                <c:pt idx="64">
                  <c:v>47.7</c:v>
                </c:pt>
                <c:pt idx="65">
                  <c:v>50.1</c:v>
                </c:pt>
                <c:pt idx="66">
                  <c:v>52.1</c:v>
                </c:pt>
                <c:pt idx="67">
                  <c:v>51.7</c:v>
                </c:pt>
                <c:pt idx="68">
                  <c:v>54.4</c:v>
                </c:pt>
                <c:pt idx="69">
                  <c:v>53.5</c:v>
                </c:pt>
                <c:pt idx="70">
                  <c:v>58.2</c:v>
                </c:pt>
                <c:pt idx="71">
                  <c:v>58.8</c:v>
                </c:pt>
                <c:pt idx="72">
                  <c:v>63.8</c:v>
                </c:pt>
                <c:pt idx="73">
                  <c:v>63</c:v>
                </c:pt>
                <c:pt idx="74">
                  <c:v>67.8</c:v>
                </c:pt>
                <c:pt idx="75">
                  <c:v>67.5</c:v>
                </c:pt>
                <c:pt idx="76">
                  <c:v>68.7</c:v>
                </c:pt>
                <c:pt idx="77">
                  <c:v>69.5</c:v>
                </c:pt>
                <c:pt idx="78">
                  <c:v>63.3</c:v>
                </c:pt>
                <c:pt idx="79">
                  <c:v>66.2</c:v>
                </c:pt>
                <c:pt idx="80">
                  <c:v>64.8</c:v>
                </c:pt>
                <c:pt idx="81">
                  <c:v>62.4</c:v>
                </c:pt>
                <c:pt idx="82">
                  <c:v>63.7</c:v>
                </c:pt>
                <c:pt idx="83">
                  <c:v>62</c:v>
                </c:pt>
                <c:pt idx="84">
                  <c:v>65.599999999999994</c:v>
                </c:pt>
                <c:pt idx="85">
                  <c:v>60.2</c:v>
                </c:pt>
                <c:pt idx="86">
                  <c:v>58.2</c:v>
                </c:pt>
                <c:pt idx="87">
                  <c:v>57.2</c:v>
                </c:pt>
                <c:pt idx="88">
                  <c:v>55.9</c:v>
                </c:pt>
                <c:pt idx="89">
                  <c:v>51.2</c:v>
                </c:pt>
                <c:pt idx="90">
                  <c:v>47.7</c:v>
                </c:pt>
                <c:pt idx="91">
                  <c:v>44.2</c:v>
                </c:pt>
                <c:pt idx="92">
                  <c:v>51.5</c:v>
                </c:pt>
                <c:pt idx="93">
                  <c:v>55.5</c:v>
                </c:pt>
                <c:pt idx="94">
                  <c:v>52.7</c:v>
                </c:pt>
                <c:pt idx="95">
                  <c:v>55</c:v>
                </c:pt>
                <c:pt idx="96">
                  <c:v>52.7</c:v>
                </c:pt>
                <c:pt idx="97">
                  <c:v>53.6</c:v>
                </c:pt>
                <c:pt idx="98">
                  <c:v>51</c:v>
                </c:pt>
                <c:pt idx="99">
                  <c:v>47.5</c:v>
                </c:pt>
                <c:pt idx="100">
                  <c:v>43.1</c:v>
                </c:pt>
                <c:pt idx="101">
                  <c:v>43.4</c:v>
                </c:pt>
                <c:pt idx="102">
                  <c:v>45.9</c:v>
                </c:pt>
                <c:pt idx="103">
                  <c:v>45.7</c:v>
                </c:pt>
                <c:pt idx="104">
                  <c:v>45.3</c:v>
                </c:pt>
                <c:pt idx="105">
                  <c:v>45.8</c:v>
                </c:pt>
                <c:pt idx="106">
                  <c:v>41.1</c:v>
                </c:pt>
                <c:pt idx="107">
                  <c:v>40.4</c:v>
                </c:pt>
                <c:pt idx="108">
                  <c:v>36.799999999999997</c:v>
                </c:pt>
                <c:pt idx="109">
                  <c:v>33.4</c:v>
                </c:pt>
                <c:pt idx="110">
                  <c:v>37.200000000000003</c:v>
                </c:pt>
                <c:pt idx="111">
                  <c:v>39.799999999999997</c:v>
                </c:pt>
                <c:pt idx="112">
                  <c:v>39.1</c:v>
                </c:pt>
                <c:pt idx="113">
                  <c:v>46.6</c:v>
                </c:pt>
                <c:pt idx="114">
                  <c:v>51.4</c:v>
                </c:pt>
                <c:pt idx="115">
                  <c:v>54.7</c:v>
                </c:pt>
                <c:pt idx="116">
                  <c:v>57.3</c:v>
                </c:pt>
                <c:pt idx="117">
                  <c:v>59.8</c:v>
                </c:pt>
                <c:pt idx="118">
                  <c:v>62.3</c:v>
                </c:pt>
                <c:pt idx="119">
                  <c:v>62.7</c:v>
                </c:pt>
                <c:pt idx="120">
                  <c:v>60.5</c:v>
                </c:pt>
                <c:pt idx="121">
                  <c:v>64.400000000000006</c:v>
                </c:pt>
                <c:pt idx="122">
                  <c:v>66.900000000000006</c:v>
                </c:pt>
                <c:pt idx="123">
                  <c:v>67.099999999999994</c:v>
                </c:pt>
                <c:pt idx="124">
                  <c:v>66.900000000000006</c:v>
                </c:pt>
                <c:pt idx="125">
                  <c:v>68.2</c:v>
                </c:pt>
                <c:pt idx="126">
                  <c:v>64.400000000000006</c:v>
                </c:pt>
                <c:pt idx="127">
                  <c:v>61.5</c:v>
                </c:pt>
                <c:pt idx="128">
                  <c:v>55.1</c:v>
                </c:pt>
                <c:pt idx="129">
                  <c:v>48.3</c:v>
                </c:pt>
                <c:pt idx="130">
                  <c:v>49.7</c:v>
                </c:pt>
                <c:pt idx="131">
                  <c:v>50.6</c:v>
                </c:pt>
                <c:pt idx="132">
                  <c:v>58.2</c:v>
                </c:pt>
                <c:pt idx="133">
                  <c:v>61.5</c:v>
                </c:pt>
                <c:pt idx="134">
                  <c:v>52.3</c:v>
                </c:pt>
                <c:pt idx="135">
                  <c:v>47.8</c:v>
                </c:pt>
                <c:pt idx="136">
                  <c:v>45.3</c:v>
                </c:pt>
                <c:pt idx="137">
                  <c:v>42.6</c:v>
                </c:pt>
                <c:pt idx="138">
                  <c:v>44.4</c:v>
                </c:pt>
                <c:pt idx="139">
                  <c:v>43.7</c:v>
                </c:pt>
                <c:pt idx="140">
                  <c:v>47.6</c:v>
                </c:pt>
                <c:pt idx="141">
                  <c:v>45.4</c:v>
                </c:pt>
                <c:pt idx="142">
                  <c:v>46</c:v>
                </c:pt>
                <c:pt idx="143">
                  <c:v>44.3</c:v>
                </c:pt>
                <c:pt idx="144">
                  <c:v>44.3</c:v>
                </c:pt>
                <c:pt idx="145">
                  <c:v>43.9</c:v>
                </c:pt>
                <c:pt idx="146">
                  <c:v>43.6</c:v>
                </c:pt>
                <c:pt idx="147">
                  <c:v>49.1</c:v>
                </c:pt>
                <c:pt idx="148">
                  <c:v>57.6</c:v>
                </c:pt>
                <c:pt idx="149">
                  <c:v>58.9</c:v>
                </c:pt>
                <c:pt idx="150">
                  <c:v>58.1</c:v>
                </c:pt>
                <c:pt idx="151">
                  <c:v>58.2</c:v>
                </c:pt>
                <c:pt idx="152">
                  <c:v>60.7</c:v>
                </c:pt>
                <c:pt idx="153">
                  <c:v>63</c:v>
                </c:pt>
                <c:pt idx="154">
                  <c:v>62.2</c:v>
                </c:pt>
                <c:pt idx="155">
                  <c:v>59</c:v>
                </c:pt>
                <c:pt idx="156">
                  <c:v>64.2</c:v>
                </c:pt>
                <c:pt idx="157">
                  <c:v>60.9</c:v>
                </c:pt>
                <c:pt idx="158">
                  <c:v>61.1</c:v>
                </c:pt>
                <c:pt idx="159">
                  <c:v>60.6</c:v>
                </c:pt>
                <c:pt idx="160">
                  <c:v>55.1</c:v>
                </c:pt>
                <c:pt idx="161">
                  <c:v>52.2</c:v>
                </c:pt>
                <c:pt idx="162">
                  <c:v>50.8</c:v>
                </c:pt>
                <c:pt idx="163">
                  <c:v>51</c:v>
                </c:pt>
                <c:pt idx="164">
                  <c:v>49.5</c:v>
                </c:pt>
                <c:pt idx="165">
                  <c:v>50</c:v>
                </c:pt>
                <c:pt idx="166">
                  <c:v>51.2</c:v>
                </c:pt>
                <c:pt idx="167">
                  <c:v>53.8</c:v>
                </c:pt>
                <c:pt idx="168">
                  <c:v>57.2</c:v>
                </c:pt>
                <c:pt idx="169">
                  <c:v>55.2</c:v>
                </c:pt>
                <c:pt idx="170">
                  <c:v>55.1</c:v>
                </c:pt>
                <c:pt idx="171">
                  <c:v>54.7</c:v>
                </c:pt>
                <c:pt idx="172">
                  <c:v>57.6</c:v>
                </c:pt>
                <c:pt idx="173">
                  <c:v>59.8</c:v>
                </c:pt>
                <c:pt idx="174">
                  <c:v>58.2</c:v>
                </c:pt>
                <c:pt idx="175">
                  <c:v>55.5</c:v>
                </c:pt>
                <c:pt idx="176">
                  <c:v>55.1</c:v>
                </c:pt>
                <c:pt idx="177">
                  <c:v>56.9</c:v>
                </c:pt>
                <c:pt idx="178">
                  <c:v>57.7</c:v>
                </c:pt>
                <c:pt idx="179">
                  <c:v>57.5</c:v>
                </c:pt>
                <c:pt idx="180">
                  <c:v>54</c:v>
                </c:pt>
                <c:pt idx="181">
                  <c:v>57.1</c:v>
                </c:pt>
                <c:pt idx="182">
                  <c:v>57.9</c:v>
                </c:pt>
                <c:pt idx="183">
                  <c:v>60.2</c:v>
                </c:pt>
                <c:pt idx="184">
                  <c:v>59.2</c:v>
                </c:pt>
                <c:pt idx="185">
                  <c:v>58.7</c:v>
                </c:pt>
                <c:pt idx="186">
                  <c:v>60.1</c:v>
                </c:pt>
                <c:pt idx="187">
                  <c:v>62.9</c:v>
                </c:pt>
                <c:pt idx="188">
                  <c:v>63.3</c:v>
                </c:pt>
                <c:pt idx="189">
                  <c:v>63.3</c:v>
                </c:pt>
                <c:pt idx="190">
                  <c:v>60.7</c:v>
                </c:pt>
                <c:pt idx="191">
                  <c:v>61.8</c:v>
                </c:pt>
                <c:pt idx="192">
                  <c:v>62.4</c:v>
                </c:pt>
                <c:pt idx="193">
                  <c:v>61</c:v>
                </c:pt>
                <c:pt idx="194">
                  <c:v>62.1</c:v>
                </c:pt>
                <c:pt idx="195">
                  <c:v>64.900000000000006</c:v>
                </c:pt>
                <c:pt idx="196">
                  <c:v>62</c:v>
                </c:pt>
                <c:pt idx="197">
                  <c:v>61.3</c:v>
                </c:pt>
                <c:pt idx="198">
                  <c:v>58.7</c:v>
                </c:pt>
                <c:pt idx="199">
                  <c:v>58.1</c:v>
                </c:pt>
                <c:pt idx="200">
                  <c:v>58.1</c:v>
                </c:pt>
                <c:pt idx="201">
                  <c:v>61</c:v>
                </c:pt>
                <c:pt idx="202">
                  <c:v>58.6</c:v>
                </c:pt>
                <c:pt idx="203">
                  <c:v>59.4</c:v>
                </c:pt>
                <c:pt idx="204">
                  <c:v>62.8</c:v>
                </c:pt>
                <c:pt idx="205">
                  <c:v>65.8</c:v>
                </c:pt>
                <c:pt idx="206">
                  <c:v>65.5</c:v>
                </c:pt>
                <c:pt idx="207">
                  <c:v>65.7</c:v>
                </c:pt>
                <c:pt idx="208">
                  <c:v>64.2</c:v>
                </c:pt>
                <c:pt idx="209">
                  <c:v>57.7</c:v>
                </c:pt>
                <c:pt idx="210">
                  <c:v>59</c:v>
                </c:pt>
                <c:pt idx="211">
                  <c:v>60.3</c:v>
                </c:pt>
                <c:pt idx="212">
                  <c:v>58.5</c:v>
                </c:pt>
                <c:pt idx="213">
                  <c:v>58.7</c:v>
                </c:pt>
                <c:pt idx="214">
                  <c:v>57.2</c:v>
                </c:pt>
                <c:pt idx="215">
                  <c:v>53.7</c:v>
                </c:pt>
                <c:pt idx="216">
                  <c:v>52.4</c:v>
                </c:pt>
                <c:pt idx="217">
                  <c:v>49.1</c:v>
                </c:pt>
                <c:pt idx="218">
                  <c:v>47.6</c:v>
                </c:pt>
                <c:pt idx="219">
                  <c:v>45.3</c:v>
                </c:pt>
                <c:pt idx="220">
                  <c:v>42.8</c:v>
                </c:pt>
                <c:pt idx="221">
                  <c:v>44.5</c:v>
                </c:pt>
                <c:pt idx="222">
                  <c:v>46.8</c:v>
                </c:pt>
                <c:pt idx="223">
                  <c:v>49.5</c:v>
                </c:pt>
                <c:pt idx="224">
                  <c:v>52.2</c:v>
                </c:pt>
                <c:pt idx="225">
                  <c:v>54.9</c:v>
                </c:pt>
                <c:pt idx="226">
                  <c:v>54.1</c:v>
                </c:pt>
                <c:pt idx="227">
                  <c:v>54.2</c:v>
                </c:pt>
                <c:pt idx="228">
                  <c:v>55.6</c:v>
                </c:pt>
                <c:pt idx="229">
                  <c:v>56.6</c:v>
                </c:pt>
                <c:pt idx="230">
                  <c:v>55</c:v>
                </c:pt>
                <c:pt idx="231">
                  <c:v>53.8</c:v>
                </c:pt>
                <c:pt idx="232">
                  <c:v>58</c:v>
                </c:pt>
                <c:pt idx="233">
                  <c:v>55.3</c:v>
                </c:pt>
                <c:pt idx="234">
                  <c:v>53.5</c:v>
                </c:pt>
                <c:pt idx="235">
                  <c:v>54.1</c:v>
                </c:pt>
                <c:pt idx="236">
                  <c:v>52.7</c:v>
                </c:pt>
                <c:pt idx="237">
                  <c:v>51.8</c:v>
                </c:pt>
                <c:pt idx="238">
                  <c:v>55.8</c:v>
                </c:pt>
                <c:pt idx="239">
                  <c:v>58.1</c:v>
                </c:pt>
                <c:pt idx="240">
                  <c:v>56.1</c:v>
                </c:pt>
                <c:pt idx="241">
                  <c:v>54.9</c:v>
                </c:pt>
                <c:pt idx="242">
                  <c:v>57</c:v>
                </c:pt>
                <c:pt idx="243">
                  <c:v>57.1</c:v>
                </c:pt>
                <c:pt idx="244">
                  <c:v>55.2</c:v>
                </c:pt>
                <c:pt idx="245">
                  <c:v>56.7</c:v>
                </c:pt>
                <c:pt idx="246">
                  <c:v>55.5</c:v>
                </c:pt>
                <c:pt idx="247">
                  <c:v>53.1</c:v>
                </c:pt>
                <c:pt idx="248">
                  <c:v>54.8</c:v>
                </c:pt>
                <c:pt idx="249">
                  <c:v>54.1</c:v>
                </c:pt>
                <c:pt idx="250">
                  <c:v>54.6</c:v>
                </c:pt>
                <c:pt idx="251">
                  <c:v>53.2</c:v>
                </c:pt>
                <c:pt idx="252">
                  <c:v>52</c:v>
                </c:pt>
                <c:pt idx="253">
                  <c:v>48.7</c:v>
                </c:pt>
                <c:pt idx="254">
                  <c:v>47.4</c:v>
                </c:pt>
                <c:pt idx="255">
                  <c:v>46.9</c:v>
                </c:pt>
                <c:pt idx="256">
                  <c:v>45</c:v>
                </c:pt>
                <c:pt idx="257">
                  <c:v>47.2</c:v>
                </c:pt>
                <c:pt idx="258">
                  <c:v>51.1</c:v>
                </c:pt>
                <c:pt idx="259">
                  <c:v>49.5</c:v>
                </c:pt>
                <c:pt idx="260">
                  <c:v>47.3</c:v>
                </c:pt>
                <c:pt idx="261">
                  <c:v>44.1</c:v>
                </c:pt>
                <c:pt idx="262">
                  <c:v>42.4</c:v>
                </c:pt>
                <c:pt idx="263">
                  <c:v>39.700000000000003</c:v>
                </c:pt>
                <c:pt idx="264">
                  <c:v>45.4</c:v>
                </c:pt>
                <c:pt idx="265">
                  <c:v>47.9</c:v>
                </c:pt>
                <c:pt idx="266">
                  <c:v>54.8</c:v>
                </c:pt>
                <c:pt idx="267">
                  <c:v>51.2</c:v>
                </c:pt>
                <c:pt idx="268">
                  <c:v>54.5</c:v>
                </c:pt>
                <c:pt idx="269">
                  <c:v>54.2</c:v>
                </c:pt>
                <c:pt idx="270">
                  <c:v>53.8</c:v>
                </c:pt>
                <c:pt idx="271">
                  <c:v>54.4</c:v>
                </c:pt>
                <c:pt idx="272">
                  <c:v>53.6</c:v>
                </c:pt>
                <c:pt idx="273">
                  <c:v>55.1</c:v>
                </c:pt>
                <c:pt idx="274">
                  <c:v>55</c:v>
                </c:pt>
                <c:pt idx="275">
                  <c:v>52.3</c:v>
                </c:pt>
                <c:pt idx="276">
                  <c:v>57.6</c:v>
                </c:pt>
                <c:pt idx="277">
                  <c:v>59.6</c:v>
                </c:pt>
                <c:pt idx="278">
                  <c:v>60.6</c:v>
                </c:pt>
                <c:pt idx="279">
                  <c:v>59.8</c:v>
                </c:pt>
                <c:pt idx="280">
                  <c:v>59.3</c:v>
                </c:pt>
                <c:pt idx="281">
                  <c:v>61.4</c:v>
                </c:pt>
                <c:pt idx="282">
                  <c:v>58.6</c:v>
                </c:pt>
                <c:pt idx="283">
                  <c:v>60.1</c:v>
                </c:pt>
                <c:pt idx="284">
                  <c:v>61.7</c:v>
                </c:pt>
                <c:pt idx="285">
                  <c:v>65.099999999999994</c:v>
                </c:pt>
                <c:pt idx="286">
                  <c:v>67</c:v>
                </c:pt>
                <c:pt idx="287">
                  <c:v>69.900000000000006</c:v>
                </c:pt>
                <c:pt idx="288">
                  <c:v>70.5</c:v>
                </c:pt>
                <c:pt idx="289">
                  <c:v>72.099999999999994</c:v>
                </c:pt>
                <c:pt idx="290">
                  <c:v>69.599999999999994</c:v>
                </c:pt>
                <c:pt idx="291">
                  <c:v>69.599999999999994</c:v>
                </c:pt>
                <c:pt idx="292">
                  <c:v>67.7</c:v>
                </c:pt>
                <c:pt idx="293">
                  <c:v>64.8</c:v>
                </c:pt>
                <c:pt idx="294">
                  <c:v>65</c:v>
                </c:pt>
                <c:pt idx="295">
                  <c:v>57.8</c:v>
                </c:pt>
                <c:pt idx="296">
                  <c:v>62.7</c:v>
                </c:pt>
                <c:pt idx="297">
                  <c:v>63.5</c:v>
                </c:pt>
                <c:pt idx="298">
                  <c:v>66.2</c:v>
                </c:pt>
                <c:pt idx="299">
                  <c:v>68.099999999999994</c:v>
                </c:pt>
                <c:pt idx="300">
                  <c:v>63.6</c:v>
                </c:pt>
                <c:pt idx="301">
                  <c:v>62.1</c:v>
                </c:pt>
                <c:pt idx="302">
                  <c:v>58.6</c:v>
                </c:pt>
                <c:pt idx="303">
                  <c:v>61.8</c:v>
                </c:pt>
                <c:pt idx="304">
                  <c:v>59.9</c:v>
                </c:pt>
                <c:pt idx="305">
                  <c:v>55.7</c:v>
                </c:pt>
                <c:pt idx="306">
                  <c:v>54.7</c:v>
                </c:pt>
                <c:pt idx="307">
                  <c:v>54.8</c:v>
                </c:pt>
                <c:pt idx="308">
                  <c:v>52.9</c:v>
                </c:pt>
                <c:pt idx="309">
                  <c:v>46.2</c:v>
                </c:pt>
                <c:pt idx="310">
                  <c:v>42.7</c:v>
                </c:pt>
                <c:pt idx="311">
                  <c:v>37.9</c:v>
                </c:pt>
                <c:pt idx="312">
                  <c:v>30.9</c:v>
                </c:pt>
                <c:pt idx="313">
                  <c:v>30.7</c:v>
                </c:pt>
                <c:pt idx="314">
                  <c:v>34.4</c:v>
                </c:pt>
                <c:pt idx="315">
                  <c:v>31.6</c:v>
                </c:pt>
                <c:pt idx="316">
                  <c:v>37.5</c:v>
                </c:pt>
                <c:pt idx="317">
                  <c:v>41.2</c:v>
                </c:pt>
                <c:pt idx="318">
                  <c:v>45.1</c:v>
                </c:pt>
                <c:pt idx="319">
                  <c:v>47.2</c:v>
                </c:pt>
                <c:pt idx="320">
                  <c:v>51.4</c:v>
                </c:pt>
                <c:pt idx="321">
                  <c:v>54.4</c:v>
                </c:pt>
                <c:pt idx="322">
                  <c:v>55.5</c:v>
                </c:pt>
                <c:pt idx="323">
                  <c:v>54.5</c:v>
                </c:pt>
                <c:pt idx="324">
                  <c:v>54.9</c:v>
                </c:pt>
                <c:pt idx="325">
                  <c:v>58.8</c:v>
                </c:pt>
                <c:pt idx="326">
                  <c:v>61.5</c:v>
                </c:pt>
                <c:pt idx="327">
                  <c:v>58.4</c:v>
                </c:pt>
                <c:pt idx="328">
                  <c:v>60.6</c:v>
                </c:pt>
                <c:pt idx="329">
                  <c:v>58.8</c:v>
                </c:pt>
                <c:pt idx="330">
                  <c:v>58.2</c:v>
                </c:pt>
                <c:pt idx="331">
                  <c:v>55.9</c:v>
                </c:pt>
                <c:pt idx="332">
                  <c:v>54.5</c:v>
                </c:pt>
                <c:pt idx="333">
                  <c:v>53.6</c:v>
                </c:pt>
                <c:pt idx="334">
                  <c:v>53.5</c:v>
                </c:pt>
                <c:pt idx="335">
                  <c:v>51.7</c:v>
                </c:pt>
                <c:pt idx="336">
                  <c:v>56.6</c:v>
                </c:pt>
                <c:pt idx="337">
                  <c:v>54.8</c:v>
                </c:pt>
                <c:pt idx="338">
                  <c:v>55</c:v>
                </c:pt>
                <c:pt idx="339">
                  <c:v>58.4</c:v>
                </c:pt>
                <c:pt idx="340">
                  <c:v>56.9</c:v>
                </c:pt>
                <c:pt idx="341">
                  <c:v>59.7</c:v>
                </c:pt>
                <c:pt idx="342">
                  <c:v>56.8</c:v>
                </c:pt>
                <c:pt idx="343">
                  <c:v>57.7</c:v>
                </c:pt>
                <c:pt idx="344">
                  <c:v>54.9</c:v>
                </c:pt>
                <c:pt idx="345">
                  <c:v>53.9</c:v>
                </c:pt>
                <c:pt idx="346">
                  <c:v>55.4</c:v>
                </c:pt>
                <c:pt idx="347">
                  <c:v>56.1</c:v>
                </c:pt>
                <c:pt idx="348">
                  <c:v>59.8</c:v>
                </c:pt>
                <c:pt idx="349">
                  <c:v>57.4</c:v>
                </c:pt>
                <c:pt idx="350">
                  <c:v>55.9</c:v>
                </c:pt>
                <c:pt idx="351">
                  <c:v>55</c:v>
                </c:pt>
                <c:pt idx="352">
                  <c:v>57.7</c:v>
                </c:pt>
                <c:pt idx="353">
                  <c:v>60.2</c:v>
                </c:pt>
                <c:pt idx="354">
                  <c:v>60.5</c:v>
                </c:pt>
                <c:pt idx="355">
                  <c:v>62.2</c:v>
                </c:pt>
                <c:pt idx="356">
                  <c:v>60.3</c:v>
                </c:pt>
                <c:pt idx="357">
                  <c:v>60.5</c:v>
                </c:pt>
                <c:pt idx="358">
                  <c:v>60.1</c:v>
                </c:pt>
                <c:pt idx="359">
                  <c:v>61.3</c:v>
                </c:pt>
                <c:pt idx="360">
                  <c:v>59.4</c:v>
                </c:pt>
                <c:pt idx="361">
                  <c:v>58.5</c:v>
                </c:pt>
                <c:pt idx="362">
                  <c:v>58.2</c:v>
                </c:pt>
                <c:pt idx="363">
                  <c:v>57.7</c:v>
                </c:pt>
                <c:pt idx="364">
                  <c:v>56.2</c:v>
                </c:pt>
                <c:pt idx="365">
                  <c:v>54.4</c:v>
                </c:pt>
                <c:pt idx="366">
                  <c:v>52.7</c:v>
                </c:pt>
                <c:pt idx="367">
                  <c:v>51.3</c:v>
                </c:pt>
                <c:pt idx="368">
                  <c:v>49.5</c:v>
                </c:pt>
                <c:pt idx="369">
                  <c:v>49.6</c:v>
                </c:pt>
                <c:pt idx="370">
                  <c:v>49</c:v>
                </c:pt>
                <c:pt idx="371">
                  <c:v>48</c:v>
                </c:pt>
                <c:pt idx="372">
                  <c:v>44.8</c:v>
                </c:pt>
                <c:pt idx="373">
                  <c:v>46.2</c:v>
                </c:pt>
                <c:pt idx="374">
                  <c:v>50.2</c:v>
                </c:pt>
                <c:pt idx="375">
                  <c:v>43.6</c:v>
                </c:pt>
                <c:pt idx="376">
                  <c:v>37.4</c:v>
                </c:pt>
                <c:pt idx="377">
                  <c:v>29.4</c:v>
                </c:pt>
                <c:pt idx="378">
                  <c:v>30.3</c:v>
                </c:pt>
                <c:pt idx="379">
                  <c:v>35</c:v>
                </c:pt>
                <c:pt idx="380">
                  <c:v>45.5</c:v>
                </c:pt>
                <c:pt idx="381">
                  <c:v>50.1</c:v>
                </c:pt>
                <c:pt idx="382">
                  <c:v>55.5</c:v>
                </c:pt>
                <c:pt idx="383">
                  <c:v>58.2</c:v>
                </c:pt>
                <c:pt idx="384">
                  <c:v>53</c:v>
                </c:pt>
                <c:pt idx="385">
                  <c:v>49.2</c:v>
                </c:pt>
                <c:pt idx="386">
                  <c:v>48.8</c:v>
                </c:pt>
                <c:pt idx="387">
                  <c:v>49.6</c:v>
                </c:pt>
                <c:pt idx="388">
                  <c:v>51.6</c:v>
                </c:pt>
                <c:pt idx="389">
                  <c:v>53.5</c:v>
                </c:pt>
                <c:pt idx="390">
                  <c:v>50.7</c:v>
                </c:pt>
                <c:pt idx="391">
                  <c:v>46.7</c:v>
                </c:pt>
                <c:pt idx="392">
                  <c:v>48.3</c:v>
                </c:pt>
                <c:pt idx="393">
                  <c:v>42.5</c:v>
                </c:pt>
                <c:pt idx="394">
                  <c:v>40</c:v>
                </c:pt>
                <c:pt idx="395">
                  <c:v>36.1</c:v>
                </c:pt>
                <c:pt idx="396">
                  <c:v>37.799999999999997</c:v>
                </c:pt>
                <c:pt idx="397">
                  <c:v>38.200000000000003</c:v>
                </c:pt>
                <c:pt idx="398">
                  <c:v>38.299999999999997</c:v>
                </c:pt>
                <c:pt idx="399">
                  <c:v>36.799999999999997</c:v>
                </c:pt>
                <c:pt idx="400">
                  <c:v>37.799999999999997</c:v>
                </c:pt>
                <c:pt idx="401">
                  <c:v>35.5</c:v>
                </c:pt>
                <c:pt idx="402">
                  <c:v>38.299999999999997</c:v>
                </c:pt>
                <c:pt idx="403">
                  <c:v>38.4</c:v>
                </c:pt>
                <c:pt idx="404">
                  <c:v>38.299999999999997</c:v>
                </c:pt>
                <c:pt idx="405">
                  <c:v>38.799999999999997</c:v>
                </c:pt>
                <c:pt idx="406">
                  <c:v>39.4</c:v>
                </c:pt>
                <c:pt idx="407">
                  <c:v>39.200000000000003</c:v>
                </c:pt>
                <c:pt idx="408">
                  <c:v>42.8</c:v>
                </c:pt>
                <c:pt idx="409">
                  <c:v>46</c:v>
                </c:pt>
                <c:pt idx="410">
                  <c:v>54.4</c:v>
                </c:pt>
                <c:pt idx="411">
                  <c:v>53.9</c:v>
                </c:pt>
                <c:pt idx="412">
                  <c:v>54.2</c:v>
                </c:pt>
                <c:pt idx="413">
                  <c:v>56.1</c:v>
                </c:pt>
                <c:pt idx="414">
                  <c:v>57.5</c:v>
                </c:pt>
                <c:pt idx="415">
                  <c:v>63.6</c:v>
                </c:pt>
                <c:pt idx="416">
                  <c:v>63.1</c:v>
                </c:pt>
                <c:pt idx="417">
                  <c:v>62.5</c:v>
                </c:pt>
                <c:pt idx="418">
                  <c:v>64.400000000000006</c:v>
                </c:pt>
                <c:pt idx="419">
                  <c:v>66</c:v>
                </c:pt>
                <c:pt idx="420">
                  <c:v>69.900000000000006</c:v>
                </c:pt>
                <c:pt idx="421">
                  <c:v>60.5</c:v>
                </c:pt>
                <c:pt idx="422">
                  <c:v>61.3</c:v>
                </c:pt>
                <c:pt idx="423">
                  <c:v>58.9</c:v>
                </c:pt>
                <c:pt idx="424">
                  <c:v>61</c:v>
                </c:pt>
                <c:pt idx="425">
                  <c:v>58.6</c:v>
                </c:pt>
                <c:pt idx="426">
                  <c:v>58.1</c:v>
                </c:pt>
                <c:pt idx="427">
                  <c:v>56.1</c:v>
                </c:pt>
                <c:pt idx="428">
                  <c:v>53</c:v>
                </c:pt>
                <c:pt idx="429">
                  <c:v>50</c:v>
                </c:pt>
                <c:pt idx="430">
                  <c:v>50.8</c:v>
                </c:pt>
                <c:pt idx="431">
                  <c:v>50.3</c:v>
                </c:pt>
                <c:pt idx="432">
                  <c:v>50.6</c:v>
                </c:pt>
                <c:pt idx="433">
                  <c:v>50.3</c:v>
                </c:pt>
                <c:pt idx="434">
                  <c:v>49.9</c:v>
                </c:pt>
                <c:pt idx="435">
                  <c:v>47.8</c:v>
                </c:pt>
                <c:pt idx="436">
                  <c:v>48.2</c:v>
                </c:pt>
                <c:pt idx="437">
                  <c:v>47.1</c:v>
                </c:pt>
                <c:pt idx="438">
                  <c:v>47.8</c:v>
                </c:pt>
                <c:pt idx="439">
                  <c:v>47.9</c:v>
                </c:pt>
                <c:pt idx="440">
                  <c:v>47.7</c:v>
                </c:pt>
                <c:pt idx="441">
                  <c:v>49.9</c:v>
                </c:pt>
                <c:pt idx="442">
                  <c:v>50.9</c:v>
                </c:pt>
                <c:pt idx="443">
                  <c:v>52</c:v>
                </c:pt>
                <c:pt idx="444">
                  <c:v>50.7</c:v>
                </c:pt>
                <c:pt idx="445">
                  <c:v>51.2</c:v>
                </c:pt>
                <c:pt idx="446">
                  <c:v>51</c:v>
                </c:pt>
                <c:pt idx="447">
                  <c:v>51</c:v>
                </c:pt>
                <c:pt idx="448">
                  <c:v>49.7</c:v>
                </c:pt>
                <c:pt idx="449">
                  <c:v>53.4</c:v>
                </c:pt>
                <c:pt idx="450">
                  <c:v>50.5</c:v>
                </c:pt>
                <c:pt idx="451">
                  <c:v>48</c:v>
                </c:pt>
                <c:pt idx="452">
                  <c:v>52.6</c:v>
                </c:pt>
                <c:pt idx="453">
                  <c:v>52.4</c:v>
                </c:pt>
                <c:pt idx="454">
                  <c:v>51.2</c:v>
                </c:pt>
                <c:pt idx="455">
                  <c:v>51.2</c:v>
                </c:pt>
                <c:pt idx="456">
                  <c:v>50.5</c:v>
                </c:pt>
                <c:pt idx="457">
                  <c:v>54.9</c:v>
                </c:pt>
                <c:pt idx="458">
                  <c:v>52.6</c:v>
                </c:pt>
                <c:pt idx="459">
                  <c:v>55</c:v>
                </c:pt>
                <c:pt idx="460">
                  <c:v>55.5</c:v>
                </c:pt>
                <c:pt idx="461">
                  <c:v>57.2</c:v>
                </c:pt>
                <c:pt idx="462">
                  <c:v>57.4</c:v>
                </c:pt>
                <c:pt idx="463">
                  <c:v>57.5</c:v>
                </c:pt>
                <c:pt idx="464">
                  <c:v>59.3</c:v>
                </c:pt>
                <c:pt idx="465">
                  <c:v>60</c:v>
                </c:pt>
                <c:pt idx="466">
                  <c:v>60.7</c:v>
                </c:pt>
                <c:pt idx="467">
                  <c:v>58.8</c:v>
                </c:pt>
                <c:pt idx="468">
                  <c:v>61</c:v>
                </c:pt>
                <c:pt idx="469">
                  <c:v>57.5</c:v>
                </c:pt>
                <c:pt idx="470">
                  <c:v>56.2</c:v>
                </c:pt>
                <c:pt idx="471">
                  <c:v>54.6</c:v>
                </c:pt>
                <c:pt idx="472">
                  <c:v>55.8</c:v>
                </c:pt>
                <c:pt idx="473">
                  <c:v>55.5</c:v>
                </c:pt>
                <c:pt idx="474">
                  <c:v>59.3</c:v>
                </c:pt>
                <c:pt idx="475">
                  <c:v>58.2</c:v>
                </c:pt>
                <c:pt idx="476">
                  <c:v>56</c:v>
                </c:pt>
                <c:pt idx="477">
                  <c:v>54.5</c:v>
                </c:pt>
                <c:pt idx="478">
                  <c:v>55.4</c:v>
                </c:pt>
                <c:pt idx="479">
                  <c:v>55.6</c:v>
                </c:pt>
                <c:pt idx="480">
                  <c:v>56</c:v>
                </c:pt>
                <c:pt idx="481">
                  <c:v>54.7</c:v>
                </c:pt>
                <c:pt idx="482">
                  <c:v>54.1</c:v>
                </c:pt>
                <c:pt idx="483">
                  <c:v>51.5</c:v>
                </c:pt>
                <c:pt idx="484">
                  <c:v>52.2</c:v>
                </c:pt>
                <c:pt idx="485">
                  <c:v>49.3</c:v>
                </c:pt>
                <c:pt idx="486">
                  <c:v>47.3</c:v>
                </c:pt>
                <c:pt idx="487">
                  <c:v>45.9</c:v>
                </c:pt>
                <c:pt idx="488">
                  <c:v>45.1</c:v>
                </c:pt>
                <c:pt idx="489">
                  <c:v>46</c:v>
                </c:pt>
                <c:pt idx="490">
                  <c:v>46.8</c:v>
                </c:pt>
                <c:pt idx="491">
                  <c:v>46.8</c:v>
                </c:pt>
                <c:pt idx="492">
                  <c:v>47.4</c:v>
                </c:pt>
                <c:pt idx="493">
                  <c:v>47.2</c:v>
                </c:pt>
                <c:pt idx="494">
                  <c:v>49.1</c:v>
                </c:pt>
                <c:pt idx="495">
                  <c:v>49.9</c:v>
                </c:pt>
                <c:pt idx="496">
                  <c:v>50</c:v>
                </c:pt>
                <c:pt idx="497">
                  <c:v>49.5</c:v>
                </c:pt>
                <c:pt idx="498">
                  <c:v>49.2</c:v>
                </c:pt>
                <c:pt idx="499">
                  <c:v>46.6</c:v>
                </c:pt>
                <c:pt idx="500">
                  <c:v>46.1</c:v>
                </c:pt>
                <c:pt idx="501">
                  <c:v>44.5</c:v>
                </c:pt>
                <c:pt idx="502">
                  <c:v>43.2</c:v>
                </c:pt>
                <c:pt idx="503">
                  <c:v>41.3</c:v>
                </c:pt>
                <c:pt idx="504">
                  <c:v>40.799999999999997</c:v>
                </c:pt>
                <c:pt idx="505">
                  <c:v>39.200000000000003</c:v>
                </c:pt>
                <c:pt idx="506">
                  <c:v>39.4</c:v>
                </c:pt>
                <c:pt idx="507">
                  <c:v>40.700000000000003</c:v>
                </c:pt>
                <c:pt idx="508">
                  <c:v>42.8</c:v>
                </c:pt>
                <c:pt idx="509">
                  <c:v>44.5</c:v>
                </c:pt>
                <c:pt idx="510">
                  <c:v>50.3</c:v>
                </c:pt>
                <c:pt idx="511">
                  <c:v>50.6</c:v>
                </c:pt>
                <c:pt idx="512">
                  <c:v>52.9</c:v>
                </c:pt>
                <c:pt idx="513">
                  <c:v>54.9</c:v>
                </c:pt>
                <c:pt idx="514">
                  <c:v>53.1</c:v>
                </c:pt>
                <c:pt idx="515">
                  <c:v>49.5</c:v>
                </c:pt>
                <c:pt idx="516">
                  <c:v>46.8</c:v>
                </c:pt>
                <c:pt idx="517">
                  <c:v>47.3</c:v>
                </c:pt>
                <c:pt idx="518">
                  <c:v>52.7</c:v>
                </c:pt>
                <c:pt idx="519">
                  <c:v>54.6</c:v>
                </c:pt>
                <c:pt idx="520">
                  <c:v>52.6</c:v>
                </c:pt>
                <c:pt idx="521">
                  <c:v>55.7</c:v>
                </c:pt>
                <c:pt idx="522">
                  <c:v>53.6</c:v>
                </c:pt>
                <c:pt idx="523">
                  <c:v>53.9</c:v>
                </c:pt>
                <c:pt idx="524">
                  <c:v>53.4</c:v>
                </c:pt>
                <c:pt idx="525">
                  <c:v>49.7</c:v>
                </c:pt>
                <c:pt idx="526">
                  <c:v>50.3</c:v>
                </c:pt>
                <c:pt idx="527">
                  <c:v>53.6</c:v>
                </c:pt>
                <c:pt idx="528">
                  <c:v>54.2</c:v>
                </c:pt>
                <c:pt idx="529">
                  <c:v>55.8</c:v>
                </c:pt>
                <c:pt idx="530">
                  <c:v>55.2</c:v>
                </c:pt>
                <c:pt idx="531">
                  <c:v>53.5</c:v>
                </c:pt>
                <c:pt idx="532">
                  <c:v>50.2</c:v>
                </c:pt>
                <c:pt idx="533">
                  <c:v>51.2</c:v>
                </c:pt>
                <c:pt idx="534">
                  <c:v>49.6</c:v>
                </c:pt>
                <c:pt idx="535">
                  <c:v>50.2</c:v>
                </c:pt>
                <c:pt idx="536">
                  <c:v>50.7</c:v>
                </c:pt>
                <c:pt idx="537">
                  <c:v>50.8</c:v>
                </c:pt>
                <c:pt idx="538">
                  <c:v>53.4</c:v>
                </c:pt>
                <c:pt idx="539">
                  <c:v>53.8</c:v>
                </c:pt>
                <c:pt idx="540">
                  <c:v>55.6</c:v>
                </c:pt>
                <c:pt idx="541">
                  <c:v>56</c:v>
                </c:pt>
                <c:pt idx="542">
                  <c:v>56.5</c:v>
                </c:pt>
                <c:pt idx="543">
                  <c:v>56.9</c:v>
                </c:pt>
                <c:pt idx="544">
                  <c:v>57.4</c:v>
                </c:pt>
                <c:pt idx="545">
                  <c:v>58.2</c:v>
                </c:pt>
                <c:pt idx="546">
                  <c:v>58.8</c:v>
                </c:pt>
                <c:pt idx="547">
                  <c:v>58.5</c:v>
                </c:pt>
                <c:pt idx="548">
                  <c:v>58</c:v>
                </c:pt>
                <c:pt idx="549">
                  <c:v>59</c:v>
                </c:pt>
                <c:pt idx="550">
                  <c:v>59.4</c:v>
                </c:pt>
                <c:pt idx="551">
                  <c:v>59.2</c:v>
                </c:pt>
                <c:pt idx="552">
                  <c:v>56.1</c:v>
                </c:pt>
                <c:pt idx="553">
                  <c:v>57.4</c:v>
                </c:pt>
                <c:pt idx="554">
                  <c:v>55.1</c:v>
                </c:pt>
                <c:pt idx="555">
                  <c:v>52.1</c:v>
                </c:pt>
                <c:pt idx="556">
                  <c:v>51.5</c:v>
                </c:pt>
                <c:pt idx="557">
                  <c:v>46.7</c:v>
                </c:pt>
                <c:pt idx="558">
                  <c:v>45.9</c:v>
                </c:pt>
                <c:pt idx="559">
                  <c:v>50.7</c:v>
                </c:pt>
                <c:pt idx="560">
                  <c:v>47.1</c:v>
                </c:pt>
                <c:pt idx="561">
                  <c:v>48.1</c:v>
                </c:pt>
                <c:pt idx="562">
                  <c:v>46.7</c:v>
                </c:pt>
                <c:pt idx="563">
                  <c:v>45.9</c:v>
                </c:pt>
                <c:pt idx="564">
                  <c:v>46.2</c:v>
                </c:pt>
                <c:pt idx="565">
                  <c:v>45.5</c:v>
                </c:pt>
                <c:pt idx="566">
                  <c:v>45.9</c:v>
                </c:pt>
                <c:pt idx="567">
                  <c:v>46.9</c:v>
                </c:pt>
                <c:pt idx="568">
                  <c:v>49.3</c:v>
                </c:pt>
                <c:pt idx="569">
                  <c:v>49.1</c:v>
                </c:pt>
                <c:pt idx="570">
                  <c:v>53.6</c:v>
                </c:pt>
                <c:pt idx="571">
                  <c:v>49.7</c:v>
                </c:pt>
                <c:pt idx="572">
                  <c:v>51.6</c:v>
                </c:pt>
                <c:pt idx="573">
                  <c:v>51.1</c:v>
                </c:pt>
                <c:pt idx="574">
                  <c:v>50.5</c:v>
                </c:pt>
                <c:pt idx="575">
                  <c:v>53</c:v>
                </c:pt>
                <c:pt idx="576">
                  <c:v>55.2</c:v>
                </c:pt>
                <c:pt idx="577">
                  <c:v>53.8</c:v>
                </c:pt>
                <c:pt idx="578">
                  <c:v>53.1</c:v>
                </c:pt>
                <c:pt idx="579">
                  <c:v>53.8</c:v>
                </c:pt>
                <c:pt idx="580">
                  <c:v>53.7</c:v>
                </c:pt>
                <c:pt idx="581">
                  <c:v>56.1</c:v>
                </c:pt>
                <c:pt idx="582">
                  <c:v>54.9</c:v>
                </c:pt>
                <c:pt idx="583">
                  <c:v>57.7</c:v>
                </c:pt>
                <c:pt idx="584">
                  <c:v>56.3</c:v>
                </c:pt>
                <c:pt idx="585">
                  <c:v>53.9</c:v>
                </c:pt>
                <c:pt idx="586">
                  <c:v>56.4</c:v>
                </c:pt>
                <c:pt idx="587">
                  <c:v>55.7</c:v>
                </c:pt>
                <c:pt idx="588">
                  <c:v>54.5</c:v>
                </c:pt>
                <c:pt idx="589">
                  <c:v>53.8</c:v>
                </c:pt>
                <c:pt idx="590">
                  <c:v>52.9</c:v>
                </c:pt>
                <c:pt idx="591">
                  <c:v>52.9</c:v>
                </c:pt>
                <c:pt idx="592">
                  <c:v>52.2</c:v>
                </c:pt>
                <c:pt idx="593">
                  <c:v>50.9</c:v>
                </c:pt>
                <c:pt idx="594">
                  <c:v>48.9</c:v>
                </c:pt>
                <c:pt idx="595">
                  <c:v>49.2</c:v>
                </c:pt>
                <c:pt idx="596">
                  <c:v>49.3</c:v>
                </c:pt>
                <c:pt idx="597">
                  <c:v>48.7</c:v>
                </c:pt>
                <c:pt idx="598">
                  <c:v>48.7</c:v>
                </c:pt>
                <c:pt idx="599">
                  <c:v>48.2</c:v>
                </c:pt>
                <c:pt idx="600">
                  <c:v>46.8</c:v>
                </c:pt>
                <c:pt idx="601">
                  <c:v>50.6</c:v>
                </c:pt>
                <c:pt idx="602">
                  <c:v>51.7</c:v>
                </c:pt>
                <c:pt idx="603">
                  <c:v>52.4</c:v>
                </c:pt>
                <c:pt idx="604">
                  <c:v>52.3</c:v>
                </c:pt>
                <c:pt idx="605">
                  <c:v>54.3</c:v>
                </c:pt>
                <c:pt idx="606">
                  <c:v>55.8</c:v>
                </c:pt>
                <c:pt idx="607">
                  <c:v>53.6</c:v>
                </c:pt>
                <c:pt idx="608">
                  <c:v>54.8</c:v>
                </c:pt>
                <c:pt idx="609">
                  <c:v>57</c:v>
                </c:pt>
                <c:pt idx="610">
                  <c:v>57.2</c:v>
                </c:pt>
                <c:pt idx="611">
                  <c:v>58.1</c:v>
                </c:pt>
                <c:pt idx="612">
                  <c:v>57.8</c:v>
                </c:pt>
                <c:pt idx="613">
                  <c:v>56.7</c:v>
                </c:pt>
                <c:pt idx="614">
                  <c:v>55.8</c:v>
                </c:pt>
                <c:pt idx="615">
                  <c:v>54.9</c:v>
                </c:pt>
                <c:pt idx="616">
                  <c:v>54.7</c:v>
                </c:pt>
                <c:pt idx="617">
                  <c:v>53.2</c:v>
                </c:pt>
                <c:pt idx="618">
                  <c:v>51.4</c:v>
                </c:pt>
                <c:pt idx="619">
                  <c:v>52.5</c:v>
                </c:pt>
                <c:pt idx="620">
                  <c:v>49.9</c:v>
                </c:pt>
                <c:pt idx="621">
                  <c:v>49.7</c:v>
                </c:pt>
                <c:pt idx="622">
                  <c:v>48.7</c:v>
                </c:pt>
                <c:pt idx="623">
                  <c:v>48.5</c:v>
                </c:pt>
                <c:pt idx="624">
                  <c:v>43.9</c:v>
                </c:pt>
                <c:pt idx="625">
                  <c:v>42.3</c:v>
                </c:pt>
                <c:pt idx="626">
                  <c:v>42.1</c:v>
                </c:pt>
                <c:pt idx="627">
                  <c:v>43.1</c:v>
                </c:pt>
                <c:pt idx="628">
                  <c:v>42.7</c:v>
                </c:pt>
                <c:pt idx="629">
                  <c:v>41.3</c:v>
                </c:pt>
                <c:pt idx="630">
                  <c:v>43.2</c:v>
                </c:pt>
                <c:pt idx="631">
                  <c:v>43.5</c:v>
                </c:pt>
                <c:pt idx="632">
                  <c:v>46.3</c:v>
                </c:pt>
                <c:pt idx="633">
                  <c:v>46.2</c:v>
                </c:pt>
                <c:pt idx="634">
                  <c:v>40.799999999999997</c:v>
                </c:pt>
                <c:pt idx="635">
                  <c:v>44.1</c:v>
                </c:pt>
                <c:pt idx="636">
                  <c:v>45.3</c:v>
                </c:pt>
                <c:pt idx="637">
                  <c:v>47.5</c:v>
                </c:pt>
                <c:pt idx="638">
                  <c:v>50.7</c:v>
                </c:pt>
                <c:pt idx="639">
                  <c:v>52.4</c:v>
                </c:pt>
                <c:pt idx="640">
                  <c:v>52.4</c:v>
                </c:pt>
                <c:pt idx="641">
                  <c:v>53.1</c:v>
                </c:pt>
                <c:pt idx="642">
                  <c:v>53.6</c:v>
                </c:pt>
                <c:pt idx="643">
                  <c:v>50.2</c:v>
                </c:pt>
                <c:pt idx="644">
                  <c:v>50.3</c:v>
                </c:pt>
                <c:pt idx="645">
                  <c:v>50.5</c:v>
                </c:pt>
                <c:pt idx="646">
                  <c:v>49</c:v>
                </c:pt>
                <c:pt idx="647">
                  <c:v>48.5</c:v>
                </c:pt>
                <c:pt idx="648">
                  <c:v>51.6</c:v>
                </c:pt>
                <c:pt idx="649">
                  <c:v>51.3</c:v>
                </c:pt>
                <c:pt idx="650">
                  <c:v>48.8</c:v>
                </c:pt>
                <c:pt idx="651">
                  <c:v>46.3</c:v>
                </c:pt>
                <c:pt idx="652">
                  <c:v>46.1</c:v>
                </c:pt>
                <c:pt idx="653">
                  <c:v>49</c:v>
                </c:pt>
                <c:pt idx="654">
                  <c:v>49</c:v>
                </c:pt>
                <c:pt idx="655">
                  <c:v>51</c:v>
                </c:pt>
                <c:pt idx="656">
                  <c:v>53.2</c:v>
                </c:pt>
                <c:pt idx="657">
                  <c:v>52.4</c:v>
                </c:pt>
                <c:pt idx="658">
                  <c:v>55.2</c:v>
                </c:pt>
                <c:pt idx="659">
                  <c:v>58.4</c:v>
                </c:pt>
                <c:pt idx="660">
                  <c:v>60.1</c:v>
                </c:pt>
                <c:pt idx="661">
                  <c:v>60.8</c:v>
                </c:pt>
                <c:pt idx="662">
                  <c:v>59.9</c:v>
                </c:pt>
                <c:pt idx="663">
                  <c:v>60.6</c:v>
                </c:pt>
                <c:pt idx="664">
                  <c:v>60.6</c:v>
                </c:pt>
                <c:pt idx="665">
                  <c:v>61.4</c:v>
                </c:pt>
                <c:pt idx="666">
                  <c:v>60.5</c:v>
                </c:pt>
                <c:pt idx="667">
                  <c:v>59.9</c:v>
                </c:pt>
                <c:pt idx="668">
                  <c:v>58.5</c:v>
                </c:pt>
                <c:pt idx="669">
                  <c:v>57.4</c:v>
                </c:pt>
                <c:pt idx="670">
                  <c:v>56.3</c:v>
                </c:pt>
                <c:pt idx="671">
                  <c:v>56.2</c:v>
                </c:pt>
                <c:pt idx="672">
                  <c:v>57.2</c:v>
                </c:pt>
                <c:pt idx="673">
                  <c:v>56.8</c:v>
                </c:pt>
                <c:pt idx="674">
                  <c:v>55.5</c:v>
                </c:pt>
                <c:pt idx="675">
                  <c:v>55.2</c:v>
                </c:pt>
                <c:pt idx="676">
                  <c:v>52.2</c:v>
                </c:pt>
                <c:pt idx="677">
                  <c:v>50.8</c:v>
                </c:pt>
                <c:pt idx="678">
                  <c:v>52.4</c:v>
                </c:pt>
                <c:pt idx="679">
                  <c:v>52.8</c:v>
                </c:pt>
                <c:pt idx="680">
                  <c:v>52.4</c:v>
                </c:pt>
                <c:pt idx="681">
                  <c:v>56.8</c:v>
                </c:pt>
                <c:pt idx="682">
                  <c:v>57.2</c:v>
                </c:pt>
                <c:pt idx="683">
                  <c:v>56.7</c:v>
                </c:pt>
                <c:pt idx="684">
                  <c:v>55.1</c:v>
                </c:pt>
                <c:pt idx="685">
                  <c:v>55</c:v>
                </c:pt>
                <c:pt idx="686">
                  <c:v>55.8</c:v>
                </c:pt>
                <c:pt idx="687">
                  <c:v>54.3</c:v>
                </c:pt>
                <c:pt idx="688">
                  <c:v>55.2</c:v>
                </c:pt>
                <c:pt idx="689">
                  <c:v>53.7</c:v>
                </c:pt>
                <c:pt idx="690">
                  <c:v>52</c:v>
                </c:pt>
                <c:pt idx="691">
                  <c:v>53</c:v>
                </c:pt>
                <c:pt idx="692">
                  <c:v>53.7</c:v>
                </c:pt>
                <c:pt idx="693">
                  <c:v>52.2</c:v>
                </c:pt>
                <c:pt idx="694">
                  <c:v>51.4</c:v>
                </c:pt>
                <c:pt idx="695">
                  <c:v>50.3</c:v>
                </c:pt>
                <c:pt idx="696">
                  <c:v>51.4</c:v>
                </c:pt>
                <c:pt idx="697">
                  <c:v>49.5</c:v>
                </c:pt>
                <c:pt idx="698">
                  <c:v>51.9</c:v>
                </c:pt>
                <c:pt idx="699">
                  <c:v>50.7</c:v>
                </c:pt>
                <c:pt idx="700">
                  <c:v>52.6</c:v>
                </c:pt>
                <c:pt idx="701">
                  <c:v>52.5</c:v>
                </c:pt>
                <c:pt idx="702">
                  <c:v>52.6</c:v>
                </c:pt>
                <c:pt idx="703">
                  <c:v>52.4</c:v>
                </c:pt>
                <c:pt idx="704">
                  <c:v>50.9</c:v>
                </c:pt>
                <c:pt idx="705">
                  <c:v>51</c:v>
                </c:pt>
                <c:pt idx="706">
                  <c:v>51.1</c:v>
                </c:pt>
                <c:pt idx="707">
                  <c:v>50.5</c:v>
                </c:pt>
                <c:pt idx="708">
                  <c:v>49</c:v>
                </c:pt>
                <c:pt idx="709">
                  <c:v>50.3</c:v>
                </c:pt>
                <c:pt idx="710">
                  <c:v>47.6</c:v>
                </c:pt>
                <c:pt idx="711">
                  <c:v>48.3</c:v>
                </c:pt>
                <c:pt idx="712">
                  <c:v>48.8</c:v>
                </c:pt>
                <c:pt idx="713">
                  <c:v>48.8</c:v>
                </c:pt>
                <c:pt idx="714">
                  <c:v>49.8</c:v>
                </c:pt>
                <c:pt idx="715">
                  <c:v>50</c:v>
                </c:pt>
                <c:pt idx="716">
                  <c:v>49.2</c:v>
                </c:pt>
                <c:pt idx="717">
                  <c:v>44.8</c:v>
                </c:pt>
                <c:pt idx="718">
                  <c:v>38.9</c:v>
                </c:pt>
                <c:pt idx="719">
                  <c:v>36.5</c:v>
                </c:pt>
                <c:pt idx="720">
                  <c:v>33.1</c:v>
                </c:pt>
                <c:pt idx="721">
                  <c:v>34.9</c:v>
                </c:pt>
                <c:pt idx="722">
                  <c:v>35.5</c:v>
                </c:pt>
                <c:pt idx="723">
                  <c:v>36</c:v>
                </c:pt>
                <c:pt idx="724">
                  <c:v>39.5</c:v>
                </c:pt>
                <c:pt idx="725">
                  <c:v>41.7</c:v>
                </c:pt>
                <c:pt idx="726">
                  <c:v>45.8</c:v>
                </c:pt>
                <c:pt idx="727">
                  <c:v>49.9</c:v>
                </c:pt>
                <c:pt idx="728">
                  <c:v>53.5</c:v>
                </c:pt>
                <c:pt idx="729">
                  <c:v>54.4</c:v>
                </c:pt>
                <c:pt idx="730">
                  <c:v>56</c:v>
                </c:pt>
                <c:pt idx="731">
                  <c:v>54.4</c:v>
                </c:pt>
                <c:pt idx="732">
                  <c:v>55.3</c:v>
                </c:pt>
                <c:pt idx="733">
                  <c:v>57.2</c:v>
                </c:pt>
                <c:pt idx="734">
                  <c:v>55.8</c:v>
                </c:pt>
                <c:pt idx="735">
                  <c:v>58.8</c:v>
                </c:pt>
                <c:pt idx="736">
                  <c:v>58.1</c:v>
                </c:pt>
                <c:pt idx="737">
                  <c:v>58.3</c:v>
                </c:pt>
                <c:pt idx="738">
                  <c:v>56.4</c:v>
                </c:pt>
                <c:pt idx="739">
                  <c:v>56.4</c:v>
                </c:pt>
                <c:pt idx="740">
                  <c:v>58</c:v>
                </c:pt>
                <c:pt idx="741">
                  <c:v>56.3</c:v>
                </c:pt>
                <c:pt idx="742">
                  <c:v>57.7</c:v>
                </c:pt>
                <c:pt idx="743">
                  <c:v>57.6</c:v>
                </c:pt>
                <c:pt idx="744">
                  <c:v>57.5</c:v>
                </c:pt>
                <c:pt idx="745">
                  <c:v>59</c:v>
                </c:pt>
                <c:pt idx="746">
                  <c:v>59.3</c:v>
                </c:pt>
                <c:pt idx="747">
                  <c:v>59.1</c:v>
                </c:pt>
                <c:pt idx="748">
                  <c:v>58.9</c:v>
                </c:pt>
                <c:pt idx="749">
                  <c:v>53.7</c:v>
                </c:pt>
                <c:pt idx="750">
                  <c:v>56.6</c:v>
                </c:pt>
                <c:pt idx="751">
                  <c:v>52.9</c:v>
                </c:pt>
                <c:pt idx="752">
                  <c:v>53</c:v>
                </c:pt>
                <c:pt idx="753">
                  <c:v>52.8</c:v>
                </c:pt>
                <c:pt idx="754">
                  <c:v>51.8</c:v>
                </c:pt>
                <c:pt idx="755">
                  <c:v>52.1</c:v>
                </c:pt>
                <c:pt idx="756">
                  <c:v>53.1</c:v>
                </c:pt>
                <c:pt idx="757">
                  <c:v>52.8</c:v>
                </c:pt>
                <c:pt idx="758">
                  <c:v>52.4</c:v>
                </c:pt>
                <c:pt idx="759">
                  <c:v>53</c:v>
                </c:pt>
                <c:pt idx="760">
                  <c:v>53.7</c:v>
                </c:pt>
                <c:pt idx="761">
                  <c:v>53.2</c:v>
                </c:pt>
                <c:pt idx="762">
                  <c:v>51</c:v>
                </c:pt>
                <c:pt idx="763">
                  <c:v>50.6</c:v>
                </c:pt>
                <c:pt idx="764">
                  <c:v>51.1</c:v>
                </c:pt>
                <c:pt idx="765">
                  <c:v>52.2</c:v>
                </c:pt>
                <c:pt idx="766">
                  <c:v>51.2</c:v>
                </c:pt>
                <c:pt idx="767">
                  <c:v>49.5</c:v>
                </c:pt>
                <c:pt idx="768">
                  <c:v>50.4</c:v>
                </c:pt>
                <c:pt idx="769">
                  <c:v>52.3</c:v>
                </c:pt>
                <c:pt idx="770">
                  <c:v>53.1</c:v>
                </c:pt>
                <c:pt idx="771">
                  <c:v>51.5</c:v>
                </c:pt>
                <c:pt idx="772">
                  <c:v>50</c:v>
                </c:pt>
                <c:pt idx="773">
                  <c:v>50</c:v>
                </c:pt>
                <c:pt idx="774">
                  <c:v>52.5</c:v>
                </c:pt>
                <c:pt idx="775">
                  <c:v>54.9</c:v>
                </c:pt>
                <c:pt idx="776">
                  <c:v>56.3</c:v>
                </c:pt>
                <c:pt idx="777">
                  <c:v>56</c:v>
                </c:pt>
                <c:pt idx="778">
                  <c:v>56.6</c:v>
                </c:pt>
                <c:pt idx="779">
                  <c:v>57</c:v>
                </c:pt>
                <c:pt idx="780">
                  <c:v>56.5</c:v>
                </c:pt>
                <c:pt idx="781">
                  <c:v>51.3</c:v>
                </c:pt>
                <c:pt idx="782">
                  <c:v>54.3</c:v>
                </c:pt>
                <c:pt idx="783">
                  <c:v>54.4</c:v>
                </c:pt>
                <c:pt idx="784">
                  <c:v>55.3</c:v>
                </c:pt>
                <c:pt idx="785">
                  <c:v>55.6</c:v>
                </c:pt>
                <c:pt idx="786">
                  <c:v>55.7</c:v>
                </c:pt>
                <c:pt idx="787">
                  <c:v>56.4</c:v>
                </c:pt>
                <c:pt idx="788">
                  <c:v>58.1</c:v>
                </c:pt>
                <c:pt idx="789">
                  <c:v>56.1</c:v>
                </c:pt>
                <c:pt idx="790">
                  <c:v>57.9</c:v>
                </c:pt>
                <c:pt idx="791">
                  <c:v>57.6</c:v>
                </c:pt>
                <c:pt idx="792">
                  <c:v>55.1</c:v>
                </c:pt>
                <c:pt idx="793">
                  <c:v>53.5</c:v>
                </c:pt>
                <c:pt idx="794">
                  <c:v>52.9</c:v>
                </c:pt>
                <c:pt idx="795">
                  <c:v>51.5</c:v>
                </c:pt>
                <c:pt idx="796">
                  <c:v>51.5</c:v>
                </c:pt>
                <c:pt idx="797">
                  <c:v>52.8</c:v>
                </c:pt>
                <c:pt idx="798">
                  <c:v>53.5</c:v>
                </c:pt>
                <c:pt idx="799">
                  <c:v>52.7</c:v>
                </c:pt>
                <c:pt idx="800">
                  <c:v>51.1</c:v>
                </c:pt>
                <c:pt idx="801">
                  <c:v>50.2</c:v>
                </c:pt>
                <c:pt idx="802">
                  <c:v>49.4</c:v>
                </c:pt>
                <c:pt idx="803">
                  <c:v>48.4</c:v>
                </c:pt>
                <c:pt idx="804">
                  <c:v>48</c:v>
                </c:pt>
                <c:pt idx="805">
                  <c:v>48.2</c:v>
                </c:pt>
                <c:pt idx="806">
                  <c:v>49.7</c:v>
                </c:pt>
                <c:pt idx="807">
                  <c:v>51.7</c:v>
                </c:pt>
                <c:pt idx="808">
                  <c:v>50.7</c:v>
                </c:pt>
                <c:pt idx="809">
                  <c:v>51</c:v>
                </c:pt>
                <c:pt idx="810">
                  <c:v>52.8</c:v>
                </c:pt>
                <c:pt idx="811">
                  <c:v>52.3</c:v>
                </c:pt>
                <c:pt idx="812">
                  <c:v>49.4</c:v>
                </c:pt>
                <c:pt idx="813">
                  <c:v>51.7</c:v>
                </c:pt>
                <c:pt idx="814">
                  <c:v>52</c:v>
                </c:pt>
                <c:pt idx="815">
                  <c:v>53.5</c:v>
                </c:pt>
                <c:pt idx="816">
                  <c:v>54.5</c:v>
                </c:pt>
                <c:pt idx="817">
                  <c:v>56</c:v>
                </c:pt>
                <c:pt idx="818">
                  <c:v>57.6</c:v>
                </c:pt>
                <c:pt idx="819">
                  <c:v>56.6</c:v>
                </c:pt>
                <c:pt idx="820">
                  <c:v>55.3</c:v>
                </c:pt>
                <c:pt idx="821">
                  <c:v>55.5</c:v>
                </c:pt>
                <c:pt idx="822">
                  <c:v>56.7</c:v>
                </c:pt>
                <c:pt idx="823">
                  <c:v>56.5</c:v>
                </c:pt>
                <c:pt idx="824">
                  <c:v>59.3</c:v>
                </c:pt>
                <c:pt idx="825">
                  <c:v>60.2</c:v>
                </c:pt>
                <c:pt idx="826">
                  <c:v>58.5</c:v>
                </c:pt>
                <c:pt idx="827">
                  <c:v>58.2</c:v>
                </c:pt>
                <c:pt idx="828">
                  <c:v>59.3</c:v>
                </c:pt>
                <c:pt idx="829">
                  <c:v>59.1</c:v>
                </c:pt>
                <c:pt idx="830">
                  <c:v>60.7</c:v>
                </c:pt>
                <c:pt idx="831">
                  <c:v>59.3</c:v>
                </c:pt>
                <c:pt idx="832">
                  <c:v>57.9</c:v>
                </c:pt>
              </c:numCache>
            </c:numRef>
          </c:val>
          <c:smooth val="0"/>
          <c:extLst>
            <c:ext xmlns:c16="http://schemas.microsoft.com/office/drawing/2014/chart" uri="{C3380CC4-5D6E-409C-BE32-E72D297353CC}">
              <c16:uniqueId val="{00000004-8840-C54E-AFA7-3D9F908804EB}"/>
            </c:ext>
          </c:extLst>
        </c:ser>
        <c:ser>
          <c:idx val="1"/>
          <c:order val="2"/>
          <c:tx>
            <c:strRef>
              <c:f>'PMI Analysis'!$AA$1</c:f>
              <c:strCache>
                <c:ptCount val="1"/>
                <c:pt idx="0">
                  <c:v>PMI INDEX</c:v>
                </c:pt>
              </c:strCache>
            </c:strRef>
          </c:tx>
          <c:spPr>
            <a:ln w="9525" cap="rnd">
              <a:solidFill>
                <a:srgbClr val="009193"/>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Analysis'!$AA$2:$AA$833</c:f>
              <c:numCache>
                <c:formatCode>General</c:formatCode>
                <c:ptCount val="832"/>
                <c:pt idx="1">
                  <c:v>59.1</c:v>
                </c:pt>
                <c:pt idx="2">
                  <c:v>60.5</c:v>
                </c:pt>
                <c:pt idx="3">
                  <c:v>62.1</c:v>
                </c:pt>
                <c:pt idx="4">
                  <c:v>68.099999999999994</c:v>
                </c:pt>
                <c:pt idx="5">
                  <c:v>74.7</c:v>
                </c:pt>
                <c:pt idx="6">
                  <c:v>76.599999999999994</c:v>
                </c:pt>
                <c:pt idx="7">
                  <c:v>77.5</c:v>
                </c:pt>
                <c:pt idx="8">
                  <c:v>75.8</c:v>
                </c:pt>
                <c:pt idx="9">
                  <c:v>68.099999999999994</c:v>
                </c:pt>
                <c:pt idx="10">
                  <c:v>59.2</c:v>
                </c:pt>
                <c:pt idx="11">
                  <c:v>63.1</c:v>
                </c:pt>
                <c:pt idx="12">
                  <c:v>67.099999999999994</c:v>
                </c:pt>
                <c:pt idx="13">
                  <c:v>67.8</c:v>
                </c:pt>
                <c:pt idx="14">
                  <c:v>69.3</c:v>
                </c:pt>
                <c:pt idx="15">
                  <c:v>65.5</c:v>
                </c:pt>
                <c:pt idx="16">
                  <c:v>53.5</c:v>
                </c:pt>
                <c:pt idx="17">
                  <c:v>50.7</c:v>
                </c:pt>
                <c:pt idx="18">
                  <c:v>45.5</c:v>
                </c:pt>
                <c:pt idx="19">
                  <c:v>42.1</c:v>
                </c:pt>
                <c:pt idx="20">
                  <c:v>43.6</c:v>
                </c:pt>
                <c:pt idx="21">
                  <c:v>48.1</c:v>
                </c:pt>
                <c:pt idx="22">
                  <c:v>49.6</c:v>
                </c:pt>
                <c:pt idx="23">
                  <c:v>47.2</c:v>
                </c:pt>
                <c:pt idx="24">
                  <c:v>46.5</c:v>
                </c:pt>
                <c:pt idx="25">
                  <c:v>44.7</c:v>
                </c:pt>
                <c:pt idx="26">
                  <c:v>41.8</c:v>
                </c:pt>
                <c:pt idx="27">
                  <c:v>40</c:v>
                </c:pt>
                <c:pt idx="28">
                  <c:v>36.700000000000003</c:v>
                </c:pt>
                <c:pt idx="29">
                  <c:v>39.5</c:v>
                </c:pt>
                <c:pt idx="30">
                  <c:v>43.3</c:v>
                </c:pt>
                <c:pt idx="31">
                  <c:v>48.3</c:v>
                </c:pt>
                <c:pt idx="32">
                  <c:v>60.4</c:v>
                </c:pt>
                <c:pt idx="33">
                  <c:v>56.1</c:v>
                </c:pt>
                <c:pt idx="34">
                  <c:v>56.2</c:v>
                </c:pt>
                <c:pt idx="35">
                  <c:v>56.8</c:v>
                </c:pt>
                <c:pt idx="36">
                  <c:v>55.8</c:v>
                </c:pt>
                <c:pt idx="37">
                  <c:v>59.4</c:v>
                </c:pt>
                <c:pt idx="38">
                  <c:v>55.4</c:v>
                </c:pt>
                <c:pt idx="39">
                  <c:v>50.5</c:v>
                </c:pt>
                <c:pt idx="40">
                  <c:v>51.1</c:v>
                </c:pt>
                <c:pt idx="41">
                  <c:v>48.9</c:v>
                </c:pt>
                <c:pt idx="42">
                  <c:v>48.5</c:v>
                </c:pt>
                <c:pt idx="43">
                  <c:v>46.3</c:v>
                </c:pt>
                <c:pt idx="44">
                  <c:v>43.5</c:v>
                </c:pt>
                <c:pt idx="45">
                  <c:v>40.200000000000003</c:v>
                </c:pt>
                <c:pt idx="46">
                  <c:v>37.4</c:v>
                </c:pt>
                <c:pt idx="47">
                  <c:v>36.9</c:v>
                </c:pt>
                <c:pt idx="48">
                  <c:v>35.6</c:v>
                </c:pt>
                <c:pt idx="49">
                  <c:v>37.4</c:v>
                </c:pt>
                <c:pt idx="50">
                  <c:v>40.700000000000003</c:v>
                </c:pt>
                <c:pt idx="51">
                  <c:v>44.7</c:v>
                </c:pt>
                <c:pt idx="52">
                  <c:v>47.7</c:v>
                </c:pt>
                <c:pt idx="53">
                  <c:v>50.1</c:v>
                </c:pt>
                <c:pt idx="54">
                  <c:v>52.1</c:v>
                </c:pt>
                <c:pt idx="55">
                  <c:v>51.7</c:v>
                </c:pt>
                <c:pt idx="56">
                  <c:v>54.4</c:v>
                </c:pt>
                <c:pt idx="57">
                  <c:v>53.5</c:v>
                </c:pt>
                <c:pt idx="58">
                  <c:v>58.2</c:v>
                </c:pt>
                <c:pt idx="59">
                  <c:v>58.8</c:v>
                </c:pt>
                <c:pt idx="60">
                  <c:v>63.8</c:v>
                </c:pt>
                <c:pt idx="61">
                  <c:v>63</c:v>
                </c:pt>
                <c:pt idx="62">
                  <c:v>67.8</c:v>
                </c:pt>
                <c:pt idx="63">
                  <c:v>67.5</c:v>
                </c:pt>
                <c:pt idx="64">
                  <c:v>68.7</c:v>
                </c:pt>
                <c:pt idx="65">
                  <c:v>69.5</c:v>
                </c:pt>
                <c:pt idx="66">
                  <c:v>63.3</c:v>
                </c:pt>
                <c:pt idx="67">
                  <c:v>66.2</c:v>
                </c:pt>
                <c:pt idx="68">
                  <c:v>64.8</c:v>
                </c:pt>
                <c:pt idx="69">
                  <c:v>62.4</c:v>
                </c:pt>
                <c:pt idx="70">
                  <c:v>63.7</c:v>
                </c:pt>
                <c:pt idx="71">
                  <c:v>62</c:v>
                </c:pt>
                <c:pt idx="72">
                  <c:v>65.599999999999994</c:v>
                </c:pt>
                <c:pt idx="73">
                  <c:v>60.2</c:v>
                </c:pt>
                <c:pt idx="74">
                  <c:v>58.2</c:v>
                </c:pt>
                <c:pt idx="75">
                  <c:v>57.2</c:v>
                </c:pt>
                <c:pt idx="76">
                  <c:v>55.9</c:v>
                </c:pt>
                <c:pt idx="77">
                  <c:v>51.2</c:v>
                </c:pt>
                <c:pt idx="78">
                  <c:v>47.7</c:v>
                </c:pt>
                <c:pt idx="79">
                  <c:v>44.2</c:v>
                </c:pt>
                <c:pt idx="80">
                  <c:v>51.5</c:v>
                </c:pt>
                <c:pt idx="81">
                  <c:v>55.5</c:v>
                </c:pt>
                <c:pt idx="82">
                  <c:v>52.7</c:v>
                </c:pt>
                <c:pt idx="83">
                  <c:v>55</c:v>
                </c:pt>
                <c:pt idx="84">
                  <c:v>52.7</c:v>
                </c:pt>
                <c:pt idx="85">
                  <c:v>53.6</c:v>
                </c:pt>
                <c:pt idx="86">
                  <c:v>51</c:v>
                </c:pt>
                <c:pt idx="87">
                  <c:v>47.5</c:v>
                </c:pt>
                <c:pt idx="88">
                  <c:v>43.1</c:v>
                </c:pt>
                <c:pt idx="89">
                  <c:v>43.4</c:v>
                </c:pt>
                <c:pt idx="90">
                  <c:v>45.9</c:v>
                </c:pt>
                <c:pt idx="91">
                  <c:v>45.7</c:v>
                </c:pt>
                <c:pt idx="92">
                  <c:v>45.3</c:v>
                </c:pt>
                <c:pt idx="93">
                  <c:v>45.8</c:v>
                </c:pt>
                <c:pt idx="94">
                  <c:v>41.1</c:v>
                </c:pt>
                <c:pt idx="95">
                  <c:v>40.4</c:v>
                </c:pt>
                <c:pt idx="96">
                  <c:v>36.799999999999997</c:v>
                </c:pt>
                <c:pt idx="97">
                  <c:v>33.4</c:v>
                </c:pt>
                <c:pt idx="98">
                  <c:v>37.200000000000003</c:v>
                </c:pt>
                <c:pt idx="99">
                  <c:v>39.799999999999997</c:v>
                </c:pt>
                <c:pt idx="100">
                  <c:v>39.1</c:v>
                </c:pt>
                <c:pt idx="101">
                  <c:v>46.6</c:v>
                </c:pt>
                <c:pt idx="102">
                  <c:v>51.4</c:v>
                </c:pt>
                <c:pt idx="103">
                  <c:v>54.7</c:v>
                </c:pt>
                <c:pt idx="104">
                  <c:v>57.3</c:v>
                </c:pt>
                <c:pt idx="105">
                  <c:v>59.8</c:v>
                </c:pt>
                <c:pt idx="106">
                  <c:v>62.3</c:v>
                </c:pt>
                <c:pt idx="107">
                  <c:v>62.7</c:v>
                </c:pt>
                <c:pt idx="108">
                  <c:v>60.5</c:v>
                </c:pt>
                <c:pt idx="109">
                  <c:v>64.400000000000006</c:v>
                </c:pt>
                <c:pt idx="110">
                  <c:v>66.900000000000006</c:v>
                </c:pt>
                <c:pt idx="111">
                  <c:v>67.099999999999994</c:v>
                </c:pt>
                <c:pt idx="112">
                  <c:v>66.900000000000006</c:v>
                </c:pt>
                <c:pt idx="113">
                  <c:v>68.2</c:v>
                </c:pt>
                <c:pt idx="114">
                  <c:v>64.400000000000006</c:v>
                </c:pt>
                <c:pt idx="115">
                  <c:v>61.5</c:v>
                </c:pt>
                <c:pt idx="116">
                  <c:v>55.1</c:v>
                </c:pt>
                <c:pt idx="117">
                  <c:v>48.3</c:v>
                </c:pt>
                <c:pt idx="118">
                  <c:v>49.7</c:v>
                </c:pt>
                <c:pt idx="119">
                  <c:v>50.6</c:v>
                </c:pt>
                <c:pt idx="120">
                  <c:v>58.2</c:v>
                </c:pt>
                <c:pt idx="121">
                  <c:v>61.5</c:v>
                </c:pt>
                <c:pt idx="122">
                  <c:v>52.3</c:v>
                </c:pt>
                <c:pt idx="123">
                  <c:v>47.8</c:v>
                </c:pt>
                <c:pt idx="124">
                  <c:v>45.3</c:v>
                </c:pt>
                <c:pt idx="125">
                  <c:v>42.6</c:v>
                </c:pt>
                <c:pt idx="126">
                  <c:v>44.4</c:v>
                </c:pt>
                <c:pt idx="127">
                  <c:v>43.7</c:v>
                </c:pt>
                <c:pt idx="128">
                  <c:v>47.6</c:v>
                </c:pt>
                <c:pt idx="129">
                  <c:v>45.4</c:v>
                </c:pt>
                <c:pt idx="130">
                  <c:v>46</c:v>
                </c:pt>
                <c:pt idx="131">
                  <c:v>44.3</c:v>
                </c:pt>
                <c:pt idx="132">
                  <c:v>44.3</c:v>
                </c:pt>
                <c:pt idx="133">
                  <c:v>43.9</c:v>
                </c:pt>
                <c:pt idx="134">
                  <c:v>43.6</c:v>
                </c:pt>
                <c:pt idx="135">
                  <c:v>49.1</c:v>
                </c:pt>
                <c:pt idx="136">
                  <c:v>57.6</c:v>
                </c:pt>
                <c:pt idx="137">
                  <c:v>58.9</c:v>
                </c:pt>
                <c:pt idx="138">
                  <c:v>58.1</c:v>
                </c:pt>
                <c:pt idx="139">
                  <c:v>58.2</c:v>
                </c:pt>
                <c:pt idx="140">
                  <c:v>60.7</c:v>
                </c:pt>
                <c:pt idx="141">
                  <c:v>63</c:v>
                </c:pt>
                <c:pt idx="142">
                  <c:v>62.2</c:v>
                </c:pt>
                <c:pt idx="143">
                  <c:v>59</c:v>
                </c:pt>
                <c:pt idx="144">
                  <c:v>64.2</c:v>
                </c:pt>
                <c:pt idx="145">
                  <c:v>60.9</c:v>
                </c:pt>
                <c:pt idx="146">
                  <c:v>61.1</c:v>
                </c:pt>
                <c:pt idx="147">
                  <c:v>60.6</c:v>
                </c:pt>
                <c:pt idx="148">
                  <c:v>55.1</c:v>
                </c:pt>
                <c:pt idx="149">
                  <c:v>52.2</c:v>
                </c:pt>
                <c:pt idx="150">
                  <c:v>50.8</c:v>
                </c:pt>
                <c:pt idx="151">
                  <c:v>51</c:v>
                </c:pt>
                <c:pt idx="152">
                  <c:v>49.5</c:v>
                </c:pt>
                <c:pt idx="153">
                  <c:v>50</c:v>
                </c:pt>
                <c:pt idx="154">
                  <c:v>51.2</c:v>
                </c:pt>
                <c:pt idx="155">
                  <c:v>53.8</c:v>
                </c:pt>
                <c:pt idx="156">
                  <c:v>57.2</c:v>
                </c:pt>
                <c:pt idx="157">
                  <c:v>55.2</c:v>
                </c:pt>
                <c:pt idx="158">
                  <c:v>55.1</c:v>
                </c:pt>
                <c:pt idx="159">
                  <c:v>54.7</c:v>
                </c:pt>
                <c:pt idx="160">
                  <c:v>57.6</c:v>
                </c:pt>
                <c:pt idx="161">
                  <c:v>59.8</c:v>
                </c:pt>
                <c:pt idx="162">
                  <c:v>58.2</c:v>
                </c:pt>
                <c:pt idx="163">
                  <c:v>55.5</c:v>
                </c:pt>
                <c:pt idx="164">
                  <c:v>55.1</c:v>
                </c:pt>
                <c:pt idx="165">
                  <c:v>56.9</c:v>
                </c:pt>
                <c:pt idx="166">
                  <c:v>57.7</c:v>
                </c:pt>
                <c:pt idx="167">
                  <c:v>57.5</c:v>
                </c:pt>
                <c:pt idx="168">
                  <c:v>54</c:v>
                </c:pt>
                <c:pt idx="169">
                  <c:v>57.1</c:v>
                </c:pt>
                <c:pt idx="170">
                  <c:v>57.9</c:v>
                </c:pt>
                <c:pt idx="171">
                  <c:v>60.2</c:v>
                </c:pt>
                <c:pt idx="172">
                  <c:v>59.2</c:v>
                </c:pt>
                <c:pt idx="173">
                  <c:v>58.7</c:v>
                </c:pt>
                <c:pt idx="174">
                  <c:v>60.1</c:v>
                </c:pt>
                <c:pt idx="175">
                  <c:v>62.9</c:v>
                </c:pt>
                <c:pt idx="176">
                  <c:v>63.3</c:v>
                </c:pt>
                <c:pt idx="177">
                  <c:v>63.3</c:v>
                </c:pt>
                <c:pt idx="178">
                  <c:v>60.7</c:v>
                </c:pt>
                <c:pt idx="179">
                  <c:v>61.8</c:v>
                </c:pt>
                <c:pt idx="180">
                  <c:v>62.4</c:v>
                </c:pt>
                <c:pt idx="181">
                  <c:v>61</c:v>
                </c:pt>
                <c:pt idx="182">
                  <c:v>62.1</c:v>
                </c:pt>
                <c:pt idx="183">
                  <c:v>64.900000000000006</c:v>
                </c:pt>
                <c:pt idx="184">
                  <c:v>62</c:v>
                </c:pt>
                <c:pt idx="185">
                  <c:v>61.3</c:v>
                </c:pt>
                <c:pt idx="186">
                  <c:v>58.7</c:v>
                </c:pt>
                <c:pt idx="187">
                  <c:v>58.1</c:v>
                </c:pt>
                <c:pt idx="188">
                  <c:v>58.1</c:v>
                </c:pt>
                <c:pt idx="189">
                  <c:v>61</c:v>
                </c:pt>
                <c:pt idx="190">
                  <c:v>58.6</c:v>
                </c:pt>
                <c:pt idx="191">
                  <c:v>59.4</c:v>
                </c:pt>
                <c:pt idx="192">
                  <c:v>62.8</c:v>
                </c:pt>
                <c:pt idx="193">
                  <c:v>65.8</c:v>
                </c:pt>
                <c:pt idx="194">
                  <c:v>65.5</c:v>
                </c:pt>
                <c:pt idx="195">
                  <c:v>65.7</c:v>
                </c:pt>
                <c:pt idx="196">
                  <c:v>64.2</c:v>
                </c:pt>
                <c:pt idx="197">
                  <c:v>57.7</c:v>
                </c:pt>
                <c:pt idx="198">
                  <c:v>59</c:v>
                </c:pt>
                <c:pt idx="199">
                  <c:v>60.3</c:v>
                </c:pt>
                <c:pt idx="200">
                  <c:v>58.5</c:v>
                </c:pt>
                <c:pt idx="201">
                  <c:v>58.7</c:v>
                </c:pt>
                <c:pt idx="202">
                  <c:v>57.2</c:v>
                </c:pt>
                <c:pt idx="203">
                  <c:v>53.7</c:v>
                </c:pt>
                <c:pt idx="204">
                  <c:v>52.4</c:v>
                </c:pt>
                <c:pt idx="205">
                  <c:v>49.1</c:v>
                </c:pt>
                <c:pt idx="206">
                  <c:v>47.6</c:v>
                </c:pt>
                <c:pt idx="207">
                  <c:v>45.3</c:v>
                </c:pt>
                <c:pt idx="208">
                  <c:v>42.8</c:v>
                </c:pt>
                <c:pt idx="209">
                  <c:v>44.5</c:v>
                </c:pt>
                <c:pt idx="210">
                  <c:v>46.8</c:v>
                </c:pt>
                <c:pt idx="211">
                  <c:v>49.5</c:v>
                </c:pt>
                <c:pt idx="212">
                  <c:v>52.2</c:v>
                </c:pt>
                <c:pt idx="213">
                  <c:v>54.9</c:v>
                </c:pt>
                <c:pt idx="214">
                  <c:v>54.1</c:v>
                </c:pt>
                <c:pt idx="215">
                  <c:v>54.2</c:v>
                </c:pt>
                <c:pt idx="216">
                  <c:v>55.6</c:v>
                </c:pt>
                <c:pt idx="217">
                  <c:v>56.6</c:v>
                </c:pt>
                <c:pt idx="218">
                  <c:v>55</c:v>
                </c:pt>
                <c:pt idx="219">
                  <c:v>53.8</c:v>
                </c:pt>
                <c:pt idx="220">
                  <c:v>58</c:v>
                </c:pt>
                <c:pt idx="221">
                  <c:v>55.3</c:v>
                </c:pt>
                <c:pt idx="222">
                  <c:v>53.5</c:v>
                </c:pt>
                <c:pt idx="223">
                  <c:v>54.1</c:v>
                </c:pt>
                <c:pt idx="224">
                  <c:v>52.7</c:v>
                </c:pt>
                <c:pt idx="225">
                  <c:v>51.8</c:v>
                </c:pt>
                <c:pt idx="226">
                  <c:v>55.8</c:v>
                </c:pt>
                <c:pt idx="227">
                  <c:v>58.1</c:v>
                </c:pt>
                <c:pt idx="228">
                  <c:v>56.1</c:v>
                </c:pt>
                <c:pt idx="229">
                  <c:v>54.9</c:v>
                </c:pt>
                <c:pt idx="230">
                  <c:v>57</c:v>
                </c:pt>
                <c:pt idx="231">
                  <c:v>57.1</c:v>
                </c:pt>
                <c:pt idx="232">
                  <c:v>55.2</c:v>
                </c:pt>
                <c:pt idx="233">
                  <c:v>56.7</c:v>
                </c:pt>
                <c:pt idx="234">
                  <c:v>55.5</c:v>
                </c:pt>
                <c:pt idx="235">
                  <c:v>53.1</c:v>
                </c:pt>
                <c:pt idx="236">
                  <c:v>54.8</c:v>
                </c:pt>
                <c:pt idx="237">
                  <c:v>54.1</c:v>
                </c:pt>
                <c:pt idx="238">
                  <c:v>54.6</c:v>
                </c:pt>
                <c:pt idx="239">
                  <c:v>53.2</c:v>
                </c:pt>
                <c:pt idx="240">
                  <c:v>52</c:v>
                </c:pt>
                <c:pt idx="241">
                  <c:v>48.7</c:v>
                </c:pt>
                <c:pt idx="242">
                  <c:v>47.4</c:v>
                </c:pt>
                <c:pt idx="243">
                  <c:v>46.9</c:v>
                </c:pt>
                <c:pt idx="244">
                  <c:v>45</c:v>
                </c:pt>
                <c:pt idx="245">
                  <c:v>47.2</c:v>
                </c:pt>
                <c:pt idx="246">
                  <c:v>51.1</c:v>
                </c:pt>
                <c:pt idx="247">
                  <c:v>49.5</c:v>
                </c:pt>
                <c:pt idx="248">
                  <c:v>47.3</c:v>
                </c:pt>
                <c:pt idx="249">
                  <c:v>44.1</c:v>
                </c:pt>
                <c:pt idx="250">
                  <c:v>42.4</c:v>
                </c:pt>
                <c:pt idx="251">
                  <c:v>39.700000000000003</c:v>
                </c:pt>
                <c:pt idx="252">
                  <c:v>45.4</c:v>
                </c:pt>
                <c:pt idx="253">
                  <c:v>47.9</c:v>
                </c:pt>
                <c:pt idx="254">
                  <c:v>54.8</c:v>
                </c:pt>
                <c:pt idx="255">
                  <c:v>51.2</c:v>
                </c:pt>
                <c:pt idx="256">
                  <c:v>54.5</c:v>
                </c:pt>
                <c:pt idx="257">
                  <c:v>54.2</c:v>
                </c:pt>
                <c:pt idx="258">
                  <c:v>53.8</c:v>
                </c:pt>
                <c:pt idx="259">
                  <c:v>54.4</c:v>
                </c:pt>
                <c:pt idx="260">
                  <c:v>53.6</c:v>
                </c:pt>
                <c:pt idx="261">
                  <c:v>55.1</c:v>
                </c:pt>
                <c:pt idx="262">
                  <c:v>55</c:v>
                </c:pt>
                <c:pt idx="263">
                  <c:v>52.3</c:v>
                </c:pt>
                <c:pt idx="264">
                  <c:v>57.6</c:v>
                </c:pt>
                <c:pt idx="265">
                  <c:v>59.6</c:v>
                </c:pt>
                <c:pt idx="266">
                  <c:v>60.6</c:v>
                </c:pt>
                <c:pt idx="267">
                  <c:v>59.8</c:v>
                </c:pt>
                <c:pt idx="268">
                  <c:v>59.3</c:v>
                </c:pt>
                <c:pt idx="269">
                  <c:v>61.4</c:v>
                </c:pt>
                <c:pt idx="270">
                  <c:v>58.6</c:v>
                </c:pt>
                <c:pt idx="271">
                  <c:v>60.1</c:v>
                </c:pt>
                <c:pt idx="272">
                  <c:v>61.7</c:v>
                </c:pt>
                <c:pt idx="273">
                  <c:v>65.099999999999994</c:v>
                </c:pt>
                <c:pt idx="274">
                  <c:v>67</c:v>
                </c:pt>
                <c:pt idx="275">
                  <c:v>69.900000000000006</c:v>
                </c:pt>
                <c:pt idx="276">
                  <c:v>70.5</c:v>
                </c:pt>
                <c:pt idx="277">
                  <c:v>72.099999999999994</c:v>
                </c:pt>
                <c:pt idx="278">
                  <c:v>69.599999999999994</c:v>
                </c:pt>
                <c:pt idx="279">
                  <c:v>69.599999999999994</c:v>
                </c:pt>
                <c:pt idx="280">
                  <c:v>67.7</c:v>
                </c:pt>
                <c:pt idx="281">
                  <c:v>64.8</c:v>
                </c:pt>
                <c:pt idx="282">
                  <c:v>65</c:v>
                </c:pt>
                <c:pt idx="283">
                  <c:v>57.8</c:v>
                </c:pt>
                <c:pt idx="284">
                  <c:v>62.7</c:v>
                </c:pt>
                <c:pt idx="285">
                  <c:v>63.5</c:v>
                </c:pt>
                <c:pt idx="286">
                  <c:v>66.2</c:v>
                </c:pt>
                <c:pt idx="287">
                  <c:v>68.099999999999994</c:v>
                </c:pt>
                <c:pt idx="288">
                  <c:v>63.6</c:v>
                </c:pt>
                <c:pt idx="289">
                  <c:v>62.1</c:v>
                </c:pt>
                <c:pt idx="290">
                  <c:v>58.6</c:v>
                </c:pt>
                <c:pt idx="291">
                  <c:v>61.8</c:v>
                </c:pt>
                <c:pt idx="292">
                  <c:v>59.9</c:v>
                </c:pt>
                <c:pt idx="293">
                  <c:v>55.7</c:v>
                </c:pt>
                <c:pt idx="294">
                  <c:v>54.7</c:v>
                </c:pt>
                <c:pt idx="295">
                  <c:v>54.8</c:v>
                </c:pt>
                <c:pt idx="296">
                  <c:v>52.9</c:v>
                </c:pt>
                <c:pt idx="297">
                  <c:v>46.2</c:v>
                </c:pt>
                <c:pt idx="298">
                  <c:v>42.7</c:v>
                </c:pt>
                <c:pt idx="299">
                  <c:v>37.9</c:v>
                </c:pt>
                <c:pt idx="300">
                  <c:v>30.9</c:v>
                </c:pt>
                <c:pt idx="301">
                  <c:v>30.7</c:v>
                </c:pt>
                <c:pt idx="302">
                  <c:v>34.4</c:v>
                </c:pt>
                <c:pt idx="303">
                  <c:v>31.6</c:v>
                </c:pt>
                <c:pt idx="304">
                  <c:v>37.5</c:v>
                </c:pt>
                <c:pt idx="305">
                  <c:v>41.2</c:v>
                </c:pt>
                <c:pt idx="306">
                  <c:v>45.1</c:v>
                </c:pt>
                <c:pt idx="307">
                  <c:v>47.2</c:v>
                </c:pt>
                <c:pt idx="308">
                  <c:v>51.4</c:v>
                </c:pt>
                <c:pt idx="309">
                  <c:v>54.4</c:v>
                </c:pt>
                <c:pt idx="310">
                  <c:v>55.5</c:v>
                </c:pt>
                <c:pt idx="311">
                  <c:v>54.5</c:v>
                </c:pt>
                <c:pt idx="312">
                  <c:v>54.9</c:v>
                </c:pt>
                <c:pt idx="313">
                  <c:v>58.8</c:v>
                </c:pt>
                <c:pt idx="314">
                  <c:v>61.5</c:v>
                </c:pt>
                <c:pt idx="315">
                  <c:v>58.4</c:v>
                </c:pt>
                <c:pt idx="316">
                  <c:v>60.6</c:v>
                </c:pt>
                <c:pt idx="317">
                  <c:v>58.8</c:v>
                </c:pt>
                <c:pt idx="318">
                  <c:v>58.2</c:v>
                </c:pt>
                <c:pt idx="319">
                  <c:v>55.9</c:v>
                </c:pt>
                <c:pt idx="320">
                  <c:v>54.5</c:v>
                </c:pt>
                <c:pt idx="321">
                  <c:v>53.6</c:v>
                </c:pt>
                <c:pt idx="322">
                  <c:v>53.5</c:v>
                </c:pt>
                <c:pt idx="323">
                  <c:v>51.7</c:v>
                </c:pt>
                <c:pt idx="324">
                  <c:v>56.6</c:v>
                </c:pt>
                <c:pt idx="325">
                  <c:v>54.8</c:v>
                </c:pt>
                <c:pt idx="326">
                  <c:v>55</c:v>
                </c:pt>
                <c:pt idx="327">
                  <c:v>58.4</c:v>
                </c:pt>
                <c:pt idx="328">
                  <c:v>56.9</c:v>
                </c:pt>
                <c:pt idx="329">
                  <c:v>59.7</c:v>
                </c:pt>
                <c:pt idx="330">
                  <c:v>56.8</c:v>
                </c:pt>
                <c:pt idx="331">
                  <c:v>57.7</c:v>
                </c:pt>
                <c:pt idx="332">
                  <c:v>54.9</c:v>
                </c:pt>
                <c:pt idx="333">
                  <c:v>53.9</c:v>
                </c:pt>
                <c:pt idx="334">
                  <c:v>55.4</c:v>
                </c:pt>
                <c:pt idx="335">
                  <c:v>56.1</c:v>
                </c:pt>
                <c:pt idx="336">
                  <c:v>59.8</c:v>
                </c:pt>
                <c:pt idx="337">
                  <c:v>57.4</c:v>
                </c:pt>
                <c:pt idx="338">
                  <c:v>55.9</c:v>
                </c:pt>
                <c:pt idx="339">
                  <c:v>55</c:v>
                </c:pt>
                <c:pt idx="340">
                  <c:v>57.7</c:v>
                </c:pt>
                <c:pt idx="341">
                  <c:v>60.2</c:v>
                </c:pt>
                <c:pt idx="342">
                  <c:v>60.5</c:v>
                </c:pt>
                <c:pt idx="343">
                  <c:v>62.2</c:v>
                </c:pt>
                <c:pt idx="344">
                  <c:v>60.3</c:v>
                </c:pt>
                <c:pt idx="345">
                  <c:v>60.5</c:v>
                </c:pt>
                <c:pt idx="346">
                  <c:v>60.1</c:v>
                </c:pt>
                <c:pt idx="347">
                  <c:v>61.3</c:v>
                </c:pt>
                <c:pt idx="348">
                  <c:v>59.4</c:v>
                </c:pt>
                <c:pt idx="349">
                  <c:v>58.5</c:v>
                </c:pt>
                <c:pt idx="350">
                  <c:v>58.2</c:v>
                </c:pt>
                <c:pt idx="351">
                  <c:v>57.7</c:v>
                </c:pt>
                <c:pt idx="352">
                  <c:v>56.2</c:v>
                </c:pt>
                <c:pt idx="353">
                  <c:v>54.4</c:v>
                </c:pt>
                <c:pt idx="354">
                  <c:v>52.7</c:v>
                </c:pt>
                <c:pt idx="355">
                  <c:v>51.3</c:v>
                </c:pt>
                <c:pt idx="356">
                  <c:v>49.5</c:v>
                </c:pt>
                <c:pt idx="357">
                  <c:v>49.6</c:v>
                </c:pt>
                <c:pt idx="358">
                  <c:v>49</c:v>
                </c:pt>
                <c:pt idx="359">
                  <c:v>48</c:v>
                </c:pt>
                <c:pt idx="360">
                  <c:v>44.8</c:v>
                </c:pt>
                <c:pt idx="361">
                  <c:v>46.2</c:v>
                </c:pt>
                <c:pt idx="362">
                  <c:v>50.2</c:v>
                </c:pt>
                <c:pt idx="363">
                  <c:v>43.6</c:v>
                </c:pt>
                <c:pt idx="364">
                  <c:v>37.4</c:v>
                </c:pt>
                <c:pt idx="365">
                  <c:v>29.4</c:v>
                </c:pt>
                <c:pt idx="366">
                  <c:v>30.3</c:v>
                </c:pt>
                <c:pt idx="367">
                  <c:v>35</c:v>
                </c:pt>
                <c:pt idx="368">
                  <c:v>45.5</c:v>
                </c:pt>
                <c:pt idx="369">
                  <c:v>50.1</c:v>
                </c:pt>
                <c:pt idx="370">
                  <c:v>55.5</c:v>
                </c:pt>
                <c:pt idx="371">
                  <c:v>58.2</c:v>
                </c:pt>
                <c:pt idx="372">
                  <c:v>53</c:v>
                </c:pt>
                <c:pt idx="373">
                  <c:v>49.2</c:v>
                </c:pt>
                <c:pt idx="374">
                  <c:v>48.8</c:v>
                </c:pt>
                <c:pt idx="375">
                  <c:v>49.6</c:v>
                </c:pt>
                <c:pt idx="376">
                  <c:v>51.6</c:v>
                </c:pt>
                <c:pt idx="377">
                  <c:v>53.5</c:v>
                </c:pt>
                <c:pt idx="378">
                  <c:v>50.7</c:v>
                </c:pt>
                <c:pt idx="379">
                  <c:v>46.7</c:v>
                </c:pt>
                <c:pt idx="380">
                  <c:v>48.3</c:v>
                </c:pt>
                <c:pt idx="381">
                  <c:v>42.5</c:v>
                </c:pt>
                <c:pt idx="382">
                  <c:v>40</c:v>
                </c:pt>
                <c:pt idx="383">
                  <c:v>36.1</c:v>
                </c:pt>
                <c:pt idx="384">
                  <c:v>37.799999999999997</c:v>
                </c:pt>
                <c:pt idx="385">
                  <c:v>38.200000000000003</c:v>
                </c:pt>
                <c:pt idx="386">
                  <c:v>38.299999999999997</c:v>
                </c:pt>
                <c:pt idx="387">
                  <c:v>36.799999999999997</c:v>
                </c:pt>
                <c:pt idx="388">
                  <c:v>37.799999999999997</c:v>
                </c:pt>
                <c:pt idx="389">
                  <c:v>35.5</c:v>
                </c:pt>
                <c:pt idx="390">
                  <c:v>38.299999999999997</c:v>
                </c:pt>
                <c:pt idx="391">
                  <c:v>38.4</c:v>
                </c:pt>
                <c:pt idx="392">
                  <c:v>38.299999999999997</c:v>
                </c:pt>
                <c:pt idx="393">
                  <c:v>38.799999999999997</c:v>
                </c:pt>
                <c:pt idx="394">
                  <c:v>39.4</c:v>
                </c:pt>
                <c:pt idx="395">
                  <c:v>39.200000000000003</c:v>
                </c:pt>
                <c:pt idx="396">
                  <c:v>42.8</c:v>
                </c:pt>
                <c:pt idx="397">
                  <c:v>46</c:v>
                </c:pt>
                <c:pt idx="398">
                  <c:v>54.4</c:v>
                </c:pt>
                <c:pt idx="399">
                  <c:v>53.9</c:v>
                </c:pt>
                <c:pt idx="400">
                  <c:v>54.2</c:v>
                </c:pt>
                <c:pt idx="401">
                  <c:v>56.1</c:v>
                </c:pt>
                <c:pt idx="402">
                  <c:v>57.5</c:v>
                </c:pt>
                <c:pt idx="403">
                  <c:v>63.6</c:v>
                </c:pt>
                <c:pt idx="404">
                  <c:v>63.1</c:v>
                </c:pt>
                <c:pt idx="405">
                  <c:v>62.5</c:v>
                </c:pt>
                <c:pt idx="406">
                  <c:v>64.400000000000006</c:v>
                </c:pt>
                <c:pt idx="407">
                  <c:v>66</c:v>
                </c:pt>
                <c:pt idx="408">
                  <c:v>69.900000000000006</c:v>
                </c:pt>
                <c:pt idx="409">
                  <c:v>60.5</c:v>
                </c:pt>
                <c:pt idx="410">
                  <c:v>61.3</c:v>
                </c:pt>
                <c:pt idx="411">
                  <c:v>58.9</c:v>
                </c:pt>
                <c:pt idx="412">
                  <c:v>61</c:v>
                </c:pt>
                <c:pt idx="413">
                  <c:v>58.6</c:v>
                </c:pt>
                <c:pt idx="414">
                  <c:v>58.1</c:v>
                </c:pt>
                <c:pt idx="415">
                  <c:v>56.1</c:v>
                </c:pt>
                <c:pt idx="416">
                  <c:v>53</c:v>
                </c:pt>
                <c:pt idx="417">
                  <c:v>50</c:v>
                </c:pt>
                <c:pt idx="418">
                  <c:v>50.8</c:v>
                </c:pt>
                <c:pt idx="419">
                  <c:v>50.3</c:v>
                </c:pt>
                <c:pt idx="420">
                  <c:v>50.6</c:v>
                </c:pt>
                <c:pt idx="421">
                  <c:v>50.3</c:v>
                </c:pt>
                <c:pt idx="422">
                  <c:v>49.9</c:v>
                </c:pt>
                <c:pt idx="423">
                  <c:v>47.8</c:v>
                </c:pt>
                <c:pt idx="424">
                  <c:v>48.2</c:v>
                </c:pt>
                <c:pt idx="425">
                  <c:v>47.1</c:v>
                </c:pt>
                <c:pt idx="426">
                  <c:v>47.8</c:v>
                </c:pt>
                <c:pt idx="427">
                  <c:v>47.9</c:v>
                </c:pt>
                <c:pt idx="428">
                  <c:v>47.7</c:v>
                </c:pt>
                <c:pt idx="429">
                  <c:v>49.9</c:v>
                </c:pt>
                <c:pt idx="430">
                  <c:v>50.9</c:v>
                </c:pt>
                <c:pt idx="431">
                  <c:v>52</c:v>
                </c:pt>
                <c:pt idx="432">
                  <c:v>50.7</c:v>
                </c:pt>
                <c:pt idx="433">
                  <c:v>51.2</c:v>
                </c:pt>
                <c:pt idx="434">
                  <c:v>51</c:v>
                </c:pt>
                <c:pt idx="435">
                  <c:v>51</c:v>
                </c:pt>
                <c:pt idx="436">
                  <c:v>49.7</c:v>
                </c:pt>
                <c:pt idx="437">
                  <c:v>53.4</c:v>
                </c:pt>
                <c:pt idx="438">
                  <c:v>50.5</c:v>
                </c:pt>
                <c:pt idx="439">
                  <c:v>48</c:v>
                </c:pt>
                <c:pt idx="440">
                  <c:v>52.6</c:v>
                </c:pt>
                <c:pt idx="441">
                  <c:v>52.4</c:v>
                </c:pt>
                <c:pt idx="442">
                  <c:v>51.2</c:v>
                </c:pt>
                <c:pt idx="443">
                  <c:v>51.2</c:v>
                </c:pt>
                <c:pt idx="444">
                  <c:v>50.5</c:v>
                </c:pt>
                <c:pt idx="445">
                  <c:v>54.9</c:v>
                </c:pt>
                <c:pt idx="446">
                  <c:v>52.6</c:v>
                </c:pt>
                <c:pt idx="447">
                  <c:v>55</c:v>
                </c:pt>
                <c:pt idx="448">
                  <c:v>55.5</c:v>
                </c:pt>
                <c:pt idx="449">
                  <c:v>57.2</c:v>
                </c:pt>
                <c:pt idx="450">
                  <c:v>57.4</c:v>
                </c:pt>
                <c:pt idx="451">
                  <c:v>57.5</c:v>
                </c:pt>
                <c:pt idx="452">
                  <c:v>59.3</c:v>
                </c:pt>
                <c:pt idx="453">
                  <c:v>60</c:v>
                </c:pt>
                <c:pt idx="454">
                  <c:v>60.7</c:v>
                </c:pt>
                <c:pt idx="455">
                  <c:v>58.8</c:v>
                </c:pt>
                <c:pt idx="456">
                  <c:v>61</c:v>
                </c:pt>
                <c:pt idx="457">
                  <c:v>57.5</c:v>
                </c:pt>
                <c:pt idx="458">
                  <c:v>56.2</c:v>
                </c:pt>
                <c:pt idx="459">
                  <c:v>54.6</c:v>
                </c:pt>
                <c:pt idx="460">
                  <c:v>55.8</c:v>
                </c:pt>
                <c:pt idx="461">
                  <c:v>55.5</c:v>
                </c:pt>
                <c:pt idx="462">
                  <c:v>59.3</c:v>
                </c:pt>
                <c:pt idx="463">
                  <c:v>58.2</c:v>
                </c:pt>
                <c:pt idx="464">
                  <c:v>56</c:v>
                </c:pt>
                <c:pt idx="465">
                  <c:v>54.5</c:v>
                </c:pt>
                <c:pt idx="466">
                  <c:v>55.4</c:v>
                </c:pt>
                <c:pt idx="467">
                  <c:v>55.6</c:v>
                </c:pt>
                <c:pt idx="468">
                  <c:v>56</c:v>
                </c:pt>
                <c:pt idx="469">
                  <c:v>54.7</c:v>
                </c:pt>
                <c:pt idx="470">
                  <c:v>54.1</c:v>
                </c:pt>
                <c:pt idx="471">
                  <c:v>51.5</c:v>
                </c:pt>
                <c:pt idx="472">
                  <c:v>52.2</c:v>
                </c:pt>
                <c:pt idx="473">
                  <c:v>49.3</c:v>
                </c:pt>
                <c:pt idx="474">
                  <c:v>47.3</c:v>
                </c:pt>
                <c:pt idx="475">
                  <c:v>45.9</c:v>
                </c:pt>
                <c:pt idx="476">
                  <c:v>45.1</c:v>
                </c:pt>
                <c:pt idx="477">
                  <c:v>46</c:v>
                </c:pt>
                <c:pt idx="478">
                  <c:v>46.8</c:v>
                </c:pt>
                <c:pt idx="479">
                  <c:v>46.8</c:v>
                </c:pt>
                <c:pt idx="480">
                  <c:v>47.4</c:v>
                </c:pt>
                <c:pt idx="481">
                  <c:v>47.2</c:v>
                </c:pt>
                <c:pt idx="482">
                  <c:v>49.1</c:v>
                </c:pt>
                <c:pt idx="483">
                  <c:v>49.9</c:v>
                </c:pt>
                <c:pt idx="484">
                  <c:v>50</c:v>
                </c:pt>
                <c:pt idx="485">
                  <c:v>49.5</c:v>
                </c:pt>
                <c:pt idx="486">
                  <c:v>49.2</c:v>
                </c:pt>
                <c:pt idx="487">
                  <c:v>46.6</c:v>
                </c:pt>
                <c:pt idx="488">
                  <c:v>46.1</c:v>
                </c:pt>
                <c:pt idx="489">
                  <c:v>44.5</c:v>
                </c:pt>
                <c:pt idx="490">
                  <c:v>43.2</c:v>
                </c:pt>
                <c:pt idx="491">
                  <c:v>41.3</c:v>
                </c:pt>
                <c:pt idx="492">
                  <c:v>40.799999999999997</c:v>
                </c:pt>
                <c:pt idx="493">
                  <c:v>39.200000000000003</c:v>
                </c:pt>
                <c:pt idx="494">
                  <c:v>39.4</c:v>
                </c:pt>
                <c:pt idx="495">
                  <c:v>40.700000000000003</c:v>
                </c:pt>
                <c:pt idx="496">
                  <c:v>42.8</c:v>
                </c:pt>
                <c:pt idx="497">
                  <c:v>44.5</c:v>
                </c:pt>
                <c:pt idx="498">
                  <c:v>50.3</c:v>
                </c:pt>
                <c:pt idx="499">
                  <c:v>50.6</c:v>
                </c:pt>
                <c:pt idx="500">
                  <c:v>52.9</c:v>
                </c:pt>
                <c:pt idx="501">
                  <c:v>54.9</c:v>
                </c:pt>
                <c:pt idx="502">
                  <c:v>53.1</c:v>
                </c:pt>
                <c:pt idx="503">
                  <c:v>49.5</c:v>
                </c:pt>
                <c:pt idx="504">
                  <c:v>46.8</c:v>
                </c:pt>
                <c:pt idx="505">
                  <c:v>47.3</c:v>
                </c:pt>
                <c:pt idx="506">
                  <c:v>52.7</c:v>
                </c:pt>
                <c:pt idx="507">
                  <c:v>54.6</c:v>
                </c:pt>
                <c:pt idx="508">
                  <c:v>52.6</c:v>
                </c:pt>
                <c:pt idx="509">
                  <c:v>55.7</c:v>
                </c:pt>
                <c:pt idx="510">
                  <c:v>53.6</c:v>
                </c:pt>
                <c:pt idx="511">
                  <c:v>53.9</c:v>
                </c:pt>
                <c:pt idx="512">
                  <c:v>53.4</c:v>
                </c:pt>
                <c:pt idx="513">
                  <c:v>49.7</c:v>
                </c:pt>
                <c:pt idx="514">
                  <c:v>50.3</c:v>
                </c:pt>
                <c:pt idx="515">
                  <c:v>53.6</c:v>
                </c:pt>
                <c:pt idx="516">
                  <c:v>54.2</c:v>
                </c:pt>
                <c:pt idx="517">
                  <c:v>55.8</c:v>
                </c:pt>
                <c:pt idx="518">
                  <c:v>55.2</c:v>
                </c:pt>
                <c:pt idx="519">
                  <c:v>53.5</c:v>
                </c:pt>
                <c:pt idx="520">
                  <c:v>50.2</c:v>
                </c:pt>
                <c:pt idx="521">
                  <c:v>51.2</c:v>
                </c:pt>
                <c:pt idx="522">
                  <c:v>49.6</c:v>
                </c:pt>
                <c:pt idx="523">
                  <c:v>50.2</c:v>
                </c:pt>
                <c:pt idx="524">
                  <c:v>50.7</c:v>
                </c:pt>
                <c:pt idx="525">
                  <c:v>50.8</c:v>
                </c:pt>
                <c:pt idx="526">
                  <c:v>53.4</c:v>
                </c:pt>
                <c:pt idx="527">
                  <c:v>53.8</c:v>
                </c:pt>
                <c:pt idx="528">
                  <c:v>55.6</c:v>
                </c:pt>
                <c:pt idx="529">
                  <c:v>56</c:v>
                </c:pt>
                <c:pt idx="530">
                  <c:v>56.5</c:v>
                </c:pt>
                <c:pt idx="531">
                  <c:v>56.9</c:v>
                </c:pt>
                <c:pt idx="532">
                  <c:v>57.4</c:v>
                </c:pt>
                <c:pt idx="533">
                  <c:v>58.2</c:v>
                </c:pt>
                <c:pt idx="534">
                  <c:v>58.8</c:v>
                </c:pt>
                <c:pt idx="535">
                  <c:v>58.5</c:v>
                </c:pt>
                <c:pt idx="536">
                  <c:v>58</c:v>
                </c:pt>
                <c:pt idx="537">
                  <c:v>59</c:v>
                </c:pt>
                <c:pt idx="538">
                  <c:v>59.4</c:v>
                </c:pt>
                <c:pt idx="539">
                  <c:v>59.2</c:v>
                </c:pt>
                <c:pt idx="540">
                  <c:v>56.1</c:v>
                </c:pt>
                <c:pt idx="541">
                  <c:v>57.4</c:v>
                </c:pt>
                <c:pt idx="542">
                  <c:v>55.1</c:v>
                </c:pt>
                <c:pt idx="543">
                  <c:v>52.1</c:v>
                </c:pt>
                <c:pt idx="544">
                  <c:v>51.5</c:v>
                </c:pt>
                <c:pt idx="545">
                  <c:v>46.7</c:v>
                </c:pt>
                <c:pt idx="546">
                  <c:v>45.9</c:v>
                </c:pt>
                <c:pt idx="547">
                  <c:v>50.7</c:v>
                </c:pt>
                <c:pt idx="548">
                  <c:v>47.1</c:v>
                </c:pt>
                <c:pt idx="549">
                  <c:v>48.1</c:v>
                </c:pt>
                <c:pt idx="550">
                  <c:v>46.7</c:v>
                </c:pt>
                <c:pt idx="551">
                  <c:v>45.9</c:v>
                </c:pt>
                <c:pt idx="552">
                  <c:v>46.2</c:v>
                </c:pt>
                <c:pt idx="553">
                  <c:v>45.5</c:v>
                </c:pt>
                <c:pt idx="554">
                  <c:v>45.9</c:v>
                </c:pt>
                <c:pt idx="555">
                  <c:v>46.9</c:v>
                </c:pt>
                <c:pt idx="556">
                  <c:v>49.3</c:v>
                </c:pt>
                <c:pt idx="557">
                  <c:v>49.1</c:v>
                </c:pt>
                <c:pt idx="558">
                  <c:v>53.6</c:v>
                </c:pt>
                <c:pt idx="559">
                  <c:v>49.7</c:v>
                </c:pt>
                <c:pt idx="560">
                  <c:v>51.6</c:v>
                </c:pt>
                <c:pt idx="561">
                  <c:v>51.1</c:v>
                </c:pt>
                <c:pt idx="562">
                  <c:v>50.5</c:v>
                </c:pt>
                <c:pt idx="563">
                  <c:v>53</c:v>
                </c:pt>
                <c:pt idx="564">
                  <c:v>55.2</c:v>
                </c:pt>
                <c:pt idx="565">
                  <c:v>53.8</c:v>
                </c:pt>
                <c:pt idx="566">
                  <c:v>53.1</c:v>
                </c:pt>
                <c:pt idx="567">
                  <c:v>53.8</c:v>
                </c:pt>
                <c:pt idx="568">
                  <c:v>53.7</c:v>
                </c:pt>
                <c:pt idx="569">
                  <c:v>56.1</c:v>
                </c:pt>
                <c:pt idx="570">
                  <c:v>54.9</c:v>
                </c:pt>
                <c:pt idx="571">
                  <c:v>57.7</c:v>
                </c:pt>
                <c:pt idx="572">
                  <c:v>56.3</c:v>
                </c:pt>
                <c:pt idx="573">
                  <c:v>53.9</c:v>
                </c:pt>
                <c:pt idx="574">
                  <c:v>56.4</c:v>
                </c:pt>
                <c:pt idx="575">
                  <c:v>55.7</c:v>
                </c:pt>
                <c:pt idx="576">
                  <c:v>54.5</c:v>
                </c:pt>
                <c:pt idx="577">
                  <c:v>53.8</c:v>
                </c:pt>
                <c:pt idx="578">
                  <c:v>52.9</c:v>
                </c:pt>
                <c:pt idx="579">
                  <c:v>52.9</c:v>
                </c:pt>
                <c:pt idx="580">
                  <c:v>52.2</c:v>
                </c:pt>
                <c:pt idx="581">
                  <c:v>50.9</c:v>
                </c:pt>
                <c:pt idx="582">
                  <c:v>48.9</c:v>
                </c:pt>
                <c:pt idx="583">
                  <c:v>49.2</c:v>
                </c:pt>
                <c:pt idx="584">
                  <c:v>49.3</c:v>
                </c:pt>
                <c:pt idx="585">
                  <c:v>48.7</c:v>
                </c:pt>
                <c:pt idx="586">
                  <c:v>48.7</c:v>
                </c:pt>
                <c:pt idx="587">
                  <c:v>48.2</c:v>
                </c:pt>
                <c:pt idx="588">
                  <c:v>46.8</c:v>
                </c:pt>
                <c:pt idx="589">
                  <c:v>50.6</c:v>
                </c:pt>
                <c:pt idx="590">
                  <c:v>51.7</c:v>
                </c:pt>
                <c:pt idx="591">
                  <c:v>52.4</c:v>
                </c:pt>
                <c:pt idx="592">
                  <c:v>52.3</c:v>
                </c:pt>
                <c:pt idx="593">
                  <c:v>54.3</c:v>
                </c:pt>
                <c:pt idx="594">
                  <c:v>55.8</c:v>
                </c:pt>
                <c:pt idx="595">
                  <c:v>53.6</c:v>
                </c:pt>
                <c:pt idx="596">
                  <c:v>54.8</c:v>
                </c:pt>
                <c:pt idx="597">
                  <c:v>57</c:v>
                </c:pt>
                <c:pt idx="598">
                  <c:v>57.2</c:v>
                </c:pt>
                <c:pt idx="599">
                  <c:v>58.1</c:v>
                </c:pt>
                <c:pt idx="600">
                  <c:v>57.8</c:v>
                </c:pt>
                <c:pt idx="601">
                  <c:v>56.7</c:v>
                </c:pt>
                <c:pt idx="602">
                  <c:v>55.8</c:v>
                </c:pt>
                <c:pt idx="603">
                  <c:v>54.9</c:v>
                </c:pt>
                <c:pt idx="604">
                  <c:v>54.7</c:v>
                </c:pt>
                <c:pt idx="605">
                  <c:v>53.2</c:v>
                </c:pt>
                <c:pt idx="606">
                  <c:v>51.4</c:v>
                </c:pt>
                <c:pt idx="607">
                  <c:v>52.5</c:v>
                </c:pt>
                <c:pt idx="608">
                  <c:v>49.9</c:v>
                </c:pt>
                <c:pt idx="609">
                  <c:v>49.7</c:v>
                </c:pt>
                <c:pt idx="610">
                  <c:v>48.7</c:v>
                </c:pt>
                <c:pt idx="611">
                  <c:v>48.5</c:v>
                </c:pt>
                <c:pt idx="612">
                  <c:v>43.9</c:v>
                </c:pt>
                <c:pt idx="613">
                  <c:v>42.3</c:v>
                </c:pt>
                <c:pt idx="614">
                  <c:v>42.1</c:v>
                </c:pt>
                <c:pt idx="615">
                  <c:v>43.1</c:v>
                </c:pt>
                <c:pt idx="616">
                  <c:v>42.7</c:v>
                </c:pt>
                <c:pt idx="617">
                  <c:v>41.3</c:v>
                </c:pt>
                <c:pt idx="618">
                  <c:v>43.2</c:v>
                </c:pt>
                <c:pt idx="619">
                  <c:v>43.5</c:v>
                </c:pt>
                <c:pt idx="620">
                  <c:v>46.3</c:v>
                </c:pt>
                <c:pt idx="621">
                  <c:v>46.2</c:v>
                </c:pt>
                <c:pt idx="622">
                  <c:v>40.799999999999997</c:v>
                </c:pt>
                <c:pt idx="623">
                  <c:v>44.1</c:v>
                </c:pt>
                <c:pt idx="624">
                  <c:v>45.3</c:v>
                </c:pt>
                <c:pt idx="625">
                  <c:v>47.5</c:v>
                </c:pt>
                <c:pt idx="626">
                  <c:v>50.7</c:v>
                </c:pt>
                <c:pt idx="627">
                  <c:v>52.4</c:v>
                </c:pt>
                <c:pt idx="628">
                  <c:v>52.4</c:v>
                </c:pt>
                <c:pt idx="629">
                  <c:v>53.1</c:v>
                </c:pt>
                <c:pt idx="630">
                  <c:v>53.6</c:v>
                </c:pt>
                <c:pt idx="631">
                  <c:v>50.2</c:v>
                </c:pt>
                <c:pt idx="632">
                  <c:v>50.3</c:v>
                </c:pt>
                <c:pt idx="633">
                  <c:v>50.5</c:v>
                </c:pt>
                <c:pt idx="634">
                  <c:v>49</c:v>
                </c:pt>
                <c:pt idx="635">
                  <c:v>48.5</c:v>
                </c:pt>
                <c:pt idx="636">
                  <c:v>51.6</c:v>
                </c:pt>
                <c:pt idx="637">
                  <c:v>51.3</c:v>
                </c:pt>
                <c:pt idx="638">
                  <c:v>48.8</c:v>
                </c:pt>
                <c:pt idx="639">
                  <c:v>46.3</c:v>
                </c:pt>
                <c:pt idx="640">
                  <c:v>46.1</c:v>
                </c:pt>
                <c:pt idx="641">
                  <c:v>49</c:v>
                </c:pt>
                <c:pt idx="642">
                  <c:v>49</c:v>
                </c:pt>
                <c:pt idx="643">
                  <c:v>51</c:v>
                </c:pt>
                <c:pt idx="644">
                  <c:v>53.2</c:v>
                </c:pt>
                <c:pt idx="645">
                  <c:v>52.4</c:v>
                </c:pt>
                <c:pt idx="646">
                  <c:v>55.2</c:v>
                </c:pt>
                <c:pt idx="647">
                  <c:v>58.4</c:v>
                </c:pt>
                <c:pt idx="648">
                  <c:v>60.1</c:v>
                </c:pt>
                <c:pt idx="649">
                  <c:v>60.8</c:v>
                </c:pt>
                <c:pt idx="650">
                  <c:v>59.9</c:v>
                </c:pt>
                <c:pt idx="651">
                  <c:v>60.6</c:v>
                </c:pt>
                <c:pt idx="652">
                  <c:v>60.6</c:v>
                </c:pt>
                <c:pt idx="653">
                  <c:v>61.4</c:v>
                </c:pt>
                <c:pt idx="654">
                  <c:v>60.5</c:v>
                </c:pt>
                <c:pt idx="655">
                  <c:v>59.9</c:v>
                </c:pt>
                <c:pt idx="656">
                  <c:v>58.5</c:v>
                </c:pt>
                <c:pt idx="657">
                  <c:v>57.4</c:v>
                </c:pt>
                <c:pt idx="658">
                  <c:v>56.3</c:v>
                </c:pt>
                <c:pt idx="659">
                  <c:v>56.2</c:v>
                </c:pt>
                <c:pt idx="660">
                  <c:v>57.2</c:v>
                </c:pt>
                <c:pt idx="661">
                  <c:v>56.8</c:v>
                </c:pt>
                <c:pt idx="662">
                  <c:v>55.5</c:v>
                </c:pt>
                <c:pt idx="663">
                  <c:v>55.2</c:v>
                </c:pt>
                <c:pt idx="664">
                  <c:v>52.2</c:v>
                </c:pt>
                <c:pt idx="665">
                  <c:v>50.8</c:v>
                </c:pt>
                <c:pt idx="666">
                  <c:v>52.4</c:v>
                </c:pt>
                <c:pt idx="667">
                  <c:v>52.8</c:v>
                </c:pt>
                <c:pt idx="668">
                  <c:v>52.4</c:v>
                </c:pt>
                <c:pt idx="669">
                  <c:v>56.8</c:v>
                </c:pt>
                <c:pt idx="670">
                  <c:v>57.2</c:v>
                </c:pt>
                <c:pt idx="671">
                  <c:v>56.7</c:v>
                </c:pt>
                <c:pt idx="672">
                  <c:v>55.1</c:v>
                </c:pt>
                <c:pt idx="673">
                  <c:v>55</c:v>
                </c:pt>
                <c:pt idx="674">
                  <c:v>55.8</c:v>
                </c:pt>
                <c:pt idx="675">
                  <c:v>54.3</c:v>
                </c:pt>
                <c:pt idx="676">
                  <c:v>55.2</c:v>
                </c:pt>
                <c:pt idx="677">
                  <c:v>53.7</c:v>
                </c:pt>
                <c:pt idx="678">
                  <c:v>52</c:v>
                </c:pt>
                <c:pt idx="679">
                  <c:v>53</c:v>
                </c:pt>
                <c:pt idx="680">
                  <c:v>53.7</c:v>
                </c:pt>
                <c:pt idx="681">
                  <c:v>52.2</c:v>
                </c:pt>
                <c:pt idx="682">
                  <c:v>51.4</c:v>
                </c:pt>
                <c:pt idx="683">
                  <c:v>50.3</c:v>
                </c:pt>
                <c:pt idx="684">
                  <c:v>51.4</c:v>
                </c:pt>
                <c:pt idx="685">
                  <c:v>49.5</c:v>
                </c:pt>
                <c:pt idx="686">
                  <c:v>51.9</c:v>
                </c:pt>
                <c:pt idx="687">
                  <c:v>50.7</c:v>
                </c:pt>
                <c:pt idx="688">
                  <c:v>52.6</c:v>
                </c:pt>
                <c:pt idx="689">
                  <c:v>52.5</c:v>
                </c:pt>
                <c:pt idx="690">
                  <c:v>52.6</c:v>
                </c:pt>
                <c:pt idx="691">
                  <c:v>52.4</c:v>
                </c:pt>
                <c:pt idx="692">
                  <c:v>50.9</c:v>
                </c:pt>
                <c:pt idx="693">
                  <c:v>51</c:v>
                </c:pt>
                <c:pt idx="694">
                  <c:v>51.1</c:v>
                </c:pt>
                <c:pt idx="695">
                  <c:v>50.5</c:v>
                </c:pt>
                <c:pt idx="696">
                  <c:v>49</c:v>
                </c:pt>
                <c:pt idx="697">
                  <c:v>50.3</c:v>
                </c:pt>
                <c:pt idx="698">
                  <c:v>47.6</c:v>
                </c:pt>
                <c:pt idx="699">
                  <c:v>48.3</c:v>
                </c:pt>
                <c:pt idx="700">
                  <c:v>48.8</c:v>
                </c:pt>
                <c:pt idx="701">
                  <c:v>48.8</c:v>
                </c:pt>
                <c:pt idx="702">
                  <c:v>49.8</c:v>
                </c:pt>
                <c:pt idx="703">
                  <c:v>50</c:v>
                </c:pt>
                <c:pt idx="704">
                  <c:v>49.2</c:v>
                </c:pt>
                <c:pt idx="705">
                  <c:v>44.8</c:v>
                </c:pt>
                <c:pt idx="706">
                  <c:v>38.9</c:v>
                </c:pt>
                <c:pt idx="707">
                  <c:v>36.5</c:v>
                </c:pt>
                <c:pt idx="708">
                  <c:v>33.1</c:v>
                </c:pt>
                <c:pt idx="709">
                  <c:v>34.9</c:v>
                </c:pt>
                <c:pt idx="710">
                  <c:v>35.5</c:v>
                </c:pt>
                <c:pt idx="711">
                  <c:v>36</c:v>
                </c:pt>
                <c:pt idx="712">
                  <c:v>39.5</c:v>
                </c:pt>
                <c:pt idx="713">
                  <c:v>41.7</c:v>
                </c:pt>
                <c:pt idx="714">
                  <c:v>45.8</c:v>
                </c:pt>
                <c:pt idx="715">
                  <c:v>49.9</c:v>
                </c:pt>
                <c:pt idx="716">
                  <c:v>53.5</c:v>
                </c:pt>
                <c:pt idx="717">
                  <c:v>54.4</c:v>
                </c:pt>
                <c:pt idx="718">
                  <c:v>56</c:v>
                </c:pt>
                <c:pt idx="719">
                  <c:v>54.4</c:v>
                </c:pt>
                <c:pt idx="720">
                  <c:v>55.3</c:v>
                </c:pt>
                <c:pt idx="721">
                  <c:v>57.2</c:v>
                </c:pt>
                <c:pt idx="722">
                  <c:v>55.8</c:v>
                </c:pt>
                <c:pt idx="723">
                  <c:v>58.8</c:v>
                </c:pt>
                <c:pt idx="724">
                  <c:v>58.1</c:v>
                </c:pt>
                <c:pt idx="725">
                  <c:v>58.3</c:v>
                </c:pt>
                <c:pt idx="726">
                  <c:v>56.4</c:v>
                </c:pt>
                <c:pt idx="727">
                  <c:v>56.4</c:v>
                </c:pt>
                <c:pt idx="728">
                  <c:v>58</c:v>
                </c:pt>
                <c:pt idx="729">
                  <c:v>56.3</c:v>
                </c:pt>
                <c:pt idx="730">
                  <c:v>57.7</c:v>
                </c:pt>
                <c:pt idx="731">
                  <c:v>57.6</c:v>
                </c:pt>
                <c:pt idx="732">
                  <c:v>57.5</c:v>
                </c:pt>
                <c:pt idx="733">
                  <c:v>59</c:v>
                </c:pt>
                <c:pt idx="734">
                  <c:v>59.3</c:v>
                </c:pt>
                <c:pt idx="735">
                  <c:v>59.1</c:v>
                </c:pt>
                <c:pt idx="736">
                  <c:v>58.9</c:v>
                </c:pt>
                <c:pt idx="737">
                  <c:v>53.7</c:v>
                </c:pt>
                <c:pt idx="738">
                  <c:v>56.6</c:v>
                </c:pt>
                <c:pt idx="739">
                  <c:v>52.9</c:v>
                </c:pt>
                <c:pt idx="740">
                  <c:v>53</c:v>
                </c:pt>
                <c:pt idx="741">
                  <c:v>52.8</c:v>
                </c:pt>
                <c:pt idx="742">
                  <c:v>51.8</c:v>
                </c:pt>
                <c:pt idx="743">
                  <c:v>52.1</c:v>
                </c:pt>
                <c:pt idx="744">
                  <c:v>53.1</c:v>
                </c:pt>
                <c:pt idx="745">
                  <c:v>52.8</c:v>
                </c:pt>
                <c:pt idx="746">
                  <c:v>52.4</c:v>
                </c:pt>
                <c:pt idx="747">
                  <c:v>53</c:v>
                </c:pt>
                <c:pt idx="748">
                  <c:v>53.7</c:v>
                </c:pt>
                <c:pt idx="749">
                  <c:v>53.2</c:v>
                </c:pt>
                <c:pt idx="750">
                  <c:v>51</c:v>
                </c:pt>
                <c:pt idx="751">
                  <c:v>50.6</c:v>
                </c:pt>
                <c:pt idx="752">
                  <c:v>51.1</c:v>
                </c:pt>
                <c:pt idx="753">
                  <c:v>52.2</c:v>
                </c:pt>
                <c:pt idx="754">
                  <c:v>51.2</c:v>
                </c:pt>
                <c:pt idx="755">
                  <c:v>49.5</c:v>
                </c:pt>
                <c:pt idx="756">
                  <c:v>50.4</c:v>
                </c:pt>
                <c:pt idx="757">
                  <c:v>52.3</c:v>
                </c:pt>
                <c:pt idx="758">
                  <c:v>53.1</c:v>
                </c:pt>
                <c:pt idx="759">
                  <c:v>51.5</c:v>
                </c:pt>
                <c:pt idx="760">
                  <c:v>50</c:v>
                </c:pt>
                <c:pt idx="761">
                  <c:v>50</c:v>
                </c:pt>
                <c:pt idx="762">
                  <c:v>52.5</c:v>
                </c:pt>
                <c:pt idx="763">
                  <c:v>54.9</c:v>
                </c:pt>
                <c:pt idx="764">
                  <c:v>56.3</c:v>
                </c:pt>
                <c:pt idx="765">
                  <c:v>56</c:v>
                </c:pt>
                <c:pt idx="766">
                  <c:v>56.6</c:v>
                </c:pt>
                <c:pt idx="767">
                  <c:v>57</c:v>
                </c:pt>
                <c:pt idx="768">
                  <c:v>56.5</c:v>
                </c:pt>
                <c:pt idx="769">
                  <c:v>51.3</c:v>
                </c:pt>
                <c:pt idx="770">
                  <c:v>54.3</c:v>
                </c:pt>
                <c:pt idx="771">
                  <c:v>54.4</c:v>
                </c:pt>
                <c:pt idx="772">
                  <c:v>55.3</c:v>
                </c:pt>
                <c:pt idx="773">
                  <c:v>55.6</c:v>
                </c:pt>
                <c:pt idx="774">
                  <c:v>55.7</c:v>
                </c:pt>
                <c:pt idx="775">
                  <c:v>56.4</c:v>
                </c:pt>
                <c:pt idx="776">
                  <c:v>58.1</c:v>
                </c:pt>
                <c:pt idx="777">
                  <c:v>56.1</c:v>
                </c:pt>
                <c:pt idx="778">
                  <c:v>57.9</c:v>
                </c:pt>
                <c:pt idx="779">
                  <c:v>57.6</c:v>
                </c:pt>
                <c:pt idx="780">
                  <c:v>55.1</c:v>
                </c:pt>
                <c:pt idx="781">
                  <c:v>53.5</c:v>
                </c:pt>
                <c:pt idx="782">
                  <c:v>52.9</c:v>
                </c:pt>
                <c:pt idx="783">
                  <c:v>51.5</c:v>
                </c:pt>
                <c:pt idx="784">
                  <c:v>51.5</c:v>
                </c:pt>
                <c:pt idx="785">
                  <c:v>52.8</c:v>
                </c:pt>
                <c:pt idx="786">
                  <c:v>53.5</c:v>
                </c:pt>
                <c:pt idx="787">
                  <c:v>52.7</c:v>
                </c:pt>
                <c:pt idx="788">
                  <c:v>51.1</c:v>
                </c:pt>
                <c:pt idx="789">
                  <c:v>50.2</c:v>
                </c:pt>
                <c:pt idx="790">
                  <c:v>49.4</c:v>
                </c:pt>
                <c:pt idx="791">
                  <c:v>48.4</c:v>
                </c:pt>
                <c:pt idx="792">
                  <c:v>48</c:v>
                </c:pt>
                <c:pt idx="793">
                  <c:v>48.2</c:v>
                </c:pt>
                <c:pt idx="794">
                  <c:v>49.7</c:v>
                </c:pt>
                <c:pt idx="795">
                  <c:v>51.7</c:v>
                </c:pt>
                <c:pt idx="796">
                  <c:v>50.7</c:v>
                </c:pt>
                <c:pt idx="797">
                  <c:v>51</c:v>
                </c:pt>
                <c:pt idx="798">
                  <c:v>52.8</c:v>
                </c:pt>
                <c:pt idx="799">
                  <c:v>52.3</c:v>
                </c:pt>
                <c:pt idx="800">
                  <c:v>49.4</c:v>
                </c:pt>
                <c:pt idx="801">
                  <c:v>51.7</c:v>
                </c:pt>
                <c:pt idx="802">
                  <c:v>52</c:v>
                </c:pt>
                <c:pt idx="803">
                  <c:v>53.5</c:v>
                </c:pt>
                <c:pt idx="804">
                  <c:v>54.5</c:v>
                </c:pt>
                <c:pt idx="805">
                  <c:v>56</c:v>
                </c:pt>
                <c:pt idx="806">
                  <c:v>57.6</c:v>
                </c:pt>
                <c:pt idx="807">
                  <c:v>56.6</c:v>
                </c:pt>
                <c:pt idx="808">
                  <c:v>55.3</c:v>
                </c:pt>
                <c:pt idx="809">
                  <c:v>55.5</c:v>
                </c:pt>
                <c:pt idx="810">
                  <c:v>56.7</c:v>
                </c:pt>
                <c:pt idx="811">
                  <c:v>56.5</c:v>
                </c:pt>
                <c:pt idx="812">
                  <c:v>59.3</c:v>
                </c:pt>
                <c:pt idx="813">
                  <c:v>60.2</c:v>
                </c:pt>
                <c:pt idx="814">
                  <c:v>58.5</c:v>
                </c:pt>
                <c:pt idx="815">
                  <c:v>58.2</c:v>
                </c:pt>
                <c:pt idx="816">
                  <c:v>59.3</c:v>
                </c:pt>
                <c:pt idx="817">
                  <c:v>59.1</c:v>
                </c:pt>
                <c:pt idx="818">
                  <c:v>60.7</c:v>
                </c:pt>
                <c:pt idx="819">
                  <c:v>59.3</c:v>
                </c:pt>
                <c:pt idx="820">
                  <c:v>57.9</c:v>
                </c:pt>
                <c:pt idx="821">
                  <c:v>58.7</c:v>
                </c:pt>
                <c:pt idx="822">
                  <c:v>60</c:v>
                </c:pt>
                <c:pt idx="823">
                  <c:v>58.4</c:v>
                </c:pt>
                <c:pt idx="824">
                  <c:v>60.8</c:v>
                </c:pt>
                <c:pt idx="825">
                  <c:v>59.5</c:v>
                </c:pt>
                <c:pt idx="826">
                  <c:v>57.5</c:v>
                </c:pt>
                <c:pt idx="827">
                  <c:v>58.8</c:v>
                </c:pt>
                <c:pt idx="828">
                  <c:v>54.3</c:v>
                </c:pt>
                <c:pt idx="829">
                  <c:v>56.6</c:v>
                </c:pt>
                <c:pt idx="830">
                  <c:v>54.2</c:v>
                </c:pt>
                <c:pt idx="831">
                  <c:v>55.3</c:v>
                </c:pt>
              </c:numCache>
            </c:numRef>
          </c:val>
          <c:smooth val="0"/>
          <c:extLst>
            <c:ext xmlns:c16="http://schemas.microsoft.com/office/drawing/2014/chart" uri="{C3380CC4-5D6E-409C-BE32-E72D297353CC}">
              <c16:uniqueId val="{00000006-8840-C54E-AFA7-3D9F908804EB}"/>
            </c:ext>
          </c:extLst>
        </c:ser>
        <c:dLbls>
          <c:showLegendKey val="0"/>
          <c:showVal val="0"/>
          <c:showCatName val="0"/>
          <c:showSerName val="0"/>
          <c:showPercent val="0"/>
          <c:showBubbleSize val="0"/>
        </c:dLbls>
        <c:marker val="1"/>
        <c:smooth val="0"/>
        <c:axId val="700889231"/>
        <c:axId val="825478719"/>
      </c:lineChart>
      <c:dateAx>
        <c:axId val="407391103"/>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032143"/>
        <c:crosses val="autoZero"/>
        <c:auto val="1"/>
        <c:lblOffset val="100"/>
        <c:baseTimeUnit val="months"/>
      </c:dateAx>
      <c:valAx>
        <c:axId val="814032143"/>
        <c:scaling>
          <c:orientation val="minMax"/>
        </c:scaling>
        <c:delete val="0"/>
        <c:axPos val="l"/>
        <c:majorGridlines>
          <c:spPr>
            <a:ln w="317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391103"/>
        <c:crosses val="autoZero"/>
        <c:crossBetween val="between"/>
      </c:valAx>
      <c:valAx>
        <c:axId val="825478719"/>
        <c:scaling>
          <c:orientation val="minMax"/>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889231"/>
        <c:crosses val="max"/>
        <c:crossBetween val="between"/>
      </c:valAx>
      <c:dateAx>
        <c:axId val="700889231"/>
        <c:scaling>
          <c:orientation val="minMax"/>
        </c:scaling>
        <c:delete val="1"/>
        <c:axPos val="b"/>
        <c:numFmt formatCode="m/d/yy" sourceLinked="1"/>
        <c:majorTickMark val="out"/>
        <c:minorTickMark val="none"/>
        <c:tickLblPos val="nextTo"/>
        <c:crossAx val="825478719"/>
        <c:crosses val="autoZero"/>
        <c:auto val="1"/>
        <c:lblOffset val="100"/>
        <c:baseTimeUnit val="month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PMI</a:t>
            </a:r>
            <a:r>
              <a:rPr lang="en-US" baseline="0"/>
              <a:t> vs Weighted Catagories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'PMI Analysis'!$B$1</c:f>
              <c:strCache>
                <c:ptCount val="1"/>
                <c:pt idx="0">
                  <c:v>PMI INDEX</c:v>
                </c:pt>
              </c:strCache>
            </c:strRef>
          </c:tx>
          <c:spPr>
            <a:ln w="28575" cap="rnd">
              <a:solidFill>
                <a:schemeClr val="accent1"/>
              </a:solidFill>
              <a:round/>
            </a:ln>
            <a:effectLst/>
          </c:spPr>
          <c:marker>
            <c:symbol val="none"/>
          </c:marker>
          <c:cat>
            <c:numRef>
              <c:f>'PMI Analysis'!$A$2:$A$832</c:f>
              <c:numCache>
                <c:formatCode>m/d/yy</c:formatCode>
                <c:ptCount val="831"/>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numCache>
            </c:numRef>
          </c:cat>
          <c:val>
            <c:numRef>
              <c:f>'PMI Analysis'!$B$2:$B$833</c:f>
              <c:numCache>
                <c:formatCode>General</c:formatCode>
                <c:ptCount val="832"/>
                <c:pt idx="1">
                  <c:v>59.1</c:v>
                </c:pt>
                <c:pt idx="2">
                  <c:v>60.5</c:v>
                </c:pt>
                <c:pt idx="3">
                  <c:v>62.1</c:v>
                </c:pt>
                <c:pt idx="4">
                  <c:v>68.099999999999994</c:v>
                </c:pt>
                <c:pt idx="5">
                  <c:v>74.7</c:v>
                </c:pt>
                <c:pt idx="6">
                  <c:v>76.599999999999994</c:v>
                </c:pt>
                <c:pt idx="7">
                  <c:v>77.5</c:v>
                </c:pt>
                <c:pt idx="8">
                  <c:v>75.8</c:v>
                </c:pt>
                <c:pt idx="9">
                  <c:v>68.099999999999994</c:v>
                </c:pt>
                <c:pt idx="10">
                  <c:v>59.2</c:v>
                </c:pt>
                <c:pt idx="11">
                  <c:v>63.1</c:v>
                </c:pt>
                <c:pt idx="12">
                  <c:v>67.099999999999994</c:v>
                </c:pt>
                <c:pt idx="13">
                  <c:v>67.8</c:v>
                </c:pt>
                <c:pt idx="14">
                  <c:v>69.3</c:v>
                </c:pt>
                <c:pt idx="15">
                  <c:v>65.5</c:v>
                </c:pt>
                <c:pt idx="16">
                  <c:v>53.5</c:v>
                </c:pt>
                <c:pt idx="17">
                  <c:v>50.7</c:v>
                </c:pt>
                <c:pt idx="18">
                  <c:v>45.5</c:v>
                </c:pt>
                <c:pt idx="19">
                  <c:v>42.1</c:v>
                </c:pt>
                <c:pt idx="20">
                  <c:v>43.6</c:v>
                </c:pt>
                <c:pt idx="21">
                  <c:v>48.1</c:v>
                </c:pt>
                <c:pt idx="22">
                  <c:v>49.6</c:v>
                </c:pt>
                <c:pt idx="23">
                  <c:v>47.2</c:v>
                </c:pt>
                <c:pt idx="24">
                  <c:v>46.5</c:v>
                </c:pt>
                <c:pt idx="25">
                  <c:v>44.7</c:v>
                </c:pt>
                <c:pt idx="26">
                  <c:v>41.8</c:v>
                </c:pt>
                <c:pt idx="27">
                  <c:v>40</c:v>
                </c:pt>
                <c:pt idx="28">
                  <c:v>36.700000000000003</c:v>
                </c:pt>
                <c:pt idx="29">
                  <c:v>39.5</c:v>
                </c:pt>
                <c:pt idx="30">
                  <c:v>43.3</c:v>
                </c:pt>
                <c:pt idx="31">
                  <c:v>48.3</c:v>
                </c:pt>
                <c:pt idx="32">
                  <c:v>60.4</c:v>
                </c:pt>
                <c:pt idx="33">
                  <c:v>56.1</c:v>
                </c:pt>
                <c:pt idx="34">
                  <c:v>56.2</c:v>
                </c:pt>
                <c:pt idx="35">
                  <c:v>56.8</c:v>
                </c:pt>
                <c:pt idx="36">
                  <c:v>55.8</c:v>
                </c:pt>
                <c:pt idx="37">
                  <c:v>59.4</c:v>
                </c:pt>
                <c:pt idx="38">
                  <c:v>55.4</c:v>
                </c:pt>
                <c:pt idx="39">
                  <c:v>50.5</c:v>
                </c:pt>
                <c:pt idx="40">
                  <c:v>51.1</c:v>
                </c:pt>
                <c:pt idx="41">
                  <c:v>48.9</c:v>
                </c:pt>
                <c:pt idx="42">
                  <c:v>48.5</c:v>
                </c:pt>
                <c:pt idx="43">
                  <c:v>46.3</c:v>
                </c:pt>
                <c:pt idx="44">
                  <c:v>43.5</c:v>
                </c:pt>
                <c:pt idx="45">
                  <c:v>40.200000000000003</c:v>
                </c:pt>
                <c:pt idx="46">
                  <c:v>37.4</c:v>
                </c:pt>
                <c:pt idx="47">
                  <c:v>36.9</c:v>
                </c:pt>
                <c:pt idx="48">
                  <c:v>35.6</c:v>
                </c:pt>
                <c:pt idx="49">
                  <c:v>37.4</c:v>
                </c:pt>
                <c:pt idx="50">
                  <c:v>40.700000000000003</c:v>
                </c:pt>
                <c:pt idx="51">
                  <c:v>44.7</c:v>
                </c:pt>
                <c:pt idx="52">
                  <c:v>47.7</c:v>
                </c:pt>
                <c:pt idx="53">
                  <c:v>50.1</c:v>
                </c:pt>
                <c:pt idx="54">
                  <c:v>52.1</c:v>
                </c:pt>
                <c:pt idx="55">
                  <c:v>51.7</c:v>
                </c:pt>
                <c:pt idx="56">
                  <c:v>54.4</c:v>
                </c:pt>
                <c:pt idx="57">
                  <c:v>53.5</c:v>
                </c:pt>
                <c:pt idx="58">
                  <c:v>58.2</c:v>
                </c:pt>
                <c:pt idx="59">
                  <c:v>58.8</c:v>
                </c:pt>
                <c:pt idx="60">
                  <c:v>63.8</c:v>
                </c:pt>
                <c:pt idx="61">
                  <c:v>63</c:v>
                </c:pt>
                <c:pt idx="62">
                  <c:v>67.8</c:v>
                </c:pt>
                <c:pt idx="63">
                  <c:v>67.5</c:v>
                </c:pt>
                <c:pt idx="64">
                  <c:v>68.7</c:v>
                </c:pt>
                <c:pt idx="65">
                  <c:v>69.5</c:v>
                </c:pt>
                <c:pt idx="66">
                  <c:v>63.3</c:v>
                </c:pt>
                <c:pt idx="67">
                  <c:v>66.2</c:v>
                </c:pt>
                <c:pt idx="68">
                  <c:v>64.8</c:v>
                </c:pt>
                <c:pt idx="69">
                  <c:v>62.4</c:v>
                </c:pt>
                <c:pt idx="70">
                  <c:v>63.7</c:v>
                </c:pt>
                <c:pt idx="71">
                  <c:v>62</c:v>
                </c:pt>
                <c:pt idx="72">
                  <c:v>65.599999999999994</c:v>
                </c:pt>
                <c:pt idx="73">
                  <c:v>60.2</c:v>
                </c:pt>
                <c:pt idx="74">
                  <c:v>58.2</c:v>
                </c:pt>
                <c:pt idx="75">
                  <c:v>57.2</c:v>
                </c:pt>
                <c:pt idx="76">
                  <c:v>55.9</c:v>
                </c:pt>
                <c:pt idx="77">
                  <c:v>51.2</c:v>
                </c:pt>
                <c:pt idx="78">
                  <c:v>47.7</c:v>
                </c:pt>
                <c:pt idx="79">
                  <c:v>44.2</c:v>
                </c:pt>
                <c:pt idx="80">
                  <c:v>51.5</c:v>
                </c:pt>
                <c:pt idx="81">
                  <c:v>55.5</c:v>
                </c:pt>
                <c:pt idx="82">
                  <c:v>52.7</c:v>
                </c:pt>
                <c:pt idx="83">
                  <c:v>55</c:v>
                </c:pt>
                <c:pt idx="84">
                  <c:v>52.7</c:v>
                </c:pt>
                <c:pt idx="85">
                  <c:v>53.6</c:v>
                </c:pt>
                <c:pt idx="86">
                  <c:v>51</c:v>
                </c:pt>
                <c:pt idx="87">
                  <c:v>47.5</c:v>
                </c:pt>
                <c:pt idx="88">
                  <c:v>43.1</c:v>
                </c:pt>
                <c:pt idx="89">
                  <c:v>43.4</c:v>
                </c:pt>
                <c:pt idx="90">
                  <c:v>45.9</c:v>
                </c:pt>
                <c:pt idx="91">
                  <c:v>45.7</c:v>
                </c:pt>
                <c:pt idx="92">
                  <c:v>45.3</c:v>
                </c:pt>
                <c:pt idx="93">
                  <c:v>45.8</c:v>
                </c:pt>
                <c:pt idx="94">
                  <c:v>41.1</c:v>
                </c:pt>
                <c:pt idx="95">
                  <c:v>40.4</c:v>
                </c:pt>
                <c:pt idx="96">
                  <c:v>36.799999999999997</c:v>
                </c:pt>
                <c:pt idx="97">
                  <c:v>33.4</c:v>
                </c:pt>
                <c:pt idx="98">
                  <c:v>37.200000000000003</c:v>
                </c:pt>
                <c:pt idx="99">
                  <c:v>39.799999999999997</c:v>
                </c:pt>
                <c:pt idx="100">
                  <c:v>39.1</c:v>
                </c:pt>
                <c:pt idx="101">
                  <c:v>46.6</c:v>
                </c:pt>
                <c:pt idx="102">
                  <c:v>51.4</c:v>
                </c:pt>
                <c:pt idx="103">
                  <c:v>54.7</c:v>
                </c:pt>
                <c:pt idx="104">
                  <c:v>57.3</c:v>
                </c:pt>
                <c:pt idx="105">
                  <c:v>59.8</c:v>
                </c:pt>
                <c:pt idx="106">
                  <c:v>62.3</c:v>
                </c:pt>
                <c:pt idx="107">
                  <c:v>62.7</c:v>
                </c:pt>
                <c:pt idx="108">
                  <c:v>60.5</c:v>
                </c:pt>
                <c:pt idx="109">
                  <c:v>64.400000000000006</c:v>
                </c:pt>
                <c:pt idx="110">
                  <c:v>66.900000000000006</c:v>
                </c:pt>
                <c:pt idx="111">
                  <c:v>67.099999999999994</c:v>
                </c:pt>
                <c:pt idx="112">
                  <c:v>66.900000000000006</c:v>
                </c:pt>
                <c:pt idx="113">
                  <c:v>68.2</c:v>
                </c:pt>
                <c:pt idx="114">
                  <c:v>64.400000000000006</c:v>
                </c:pt>
                <c:pt idx="115">
                  <c:v>61.5</c:v>
                </c:pt>
                <c:pt idx="116">
                  <c:v>55.1</c:v>
                </c:pt>
                <c:pt idx="117">
                  <c:v>48.3</c:v>
                </c:pt>
                <c:pt idx="118">
                  <c:v>49.7</c:v>
                </c:pt>
                <c:pt idx="119">
                  <c:v>50.6</c:v>
                </c:pt>
                <c:pt idx="120">
                  <c:v>58.2</c:v>
                </c:pt>
                <c:pt idx="121">
                  <c:v>61.5</c:v>
                </c:pt>
                <c:pt idx="122">
                  <c:v>52.3</c:v>
                </c:pt>
                <c:pt idx="123">
                  <c:v>47.8</c:v>
                </c:pt>
                <c:pt idx="124">
                  <c:v>45.3</c:v>
                </c:pt>
                <c:pt idx="125">
                  <c:v>42.6</c:v>
                </c:pt>
                <c:pt idx="126">
                  <c:v>44.4</c:v>
                </c:pt>
                <c:pt idx="127">
                  <c:v>43.7</c:v>
                </c:pt>
                <c:pt idx="128">
                  <c:v>47.6</c:v>
                </c:pt>
                <c:pt idx="129">
                  <c:v>45.4</c:v>
                </c:pt>
                <c:pt idx="130">
                  <c:v>46</c:v>
                </c:pt>
                <c:pt idx="131">
                  <c:v>44.3</c:v>
                </c:pt>
                <c:pt idx="132">
                  <c:v>44.3</c:v>
                </c:pt>
                <c:pt idx="133">
                  <c:v>43.9</c:v>
                </c:pt>
                <c:pt idx="134">
                  <c:v>43.6</c:v>
                </c:pt>
                <c:pt idx="135">
                  <c:v>49.1</c:v>
                </c:pt>
                <c:pt idx="136">
                  <c:v>57.6</c:v>
                </c:pt>
                <c:pt idx="137">
                  <c:v>58.9</c:v>
                </c:pt>
                <c:pt idx="138">
                  <c:v>58.1</c:v>
                </c:pt>
                <c:pt idx="139">
                  <c:v>58.2</c:v>
                </c:pt>
                <c:pt idx="140">
                  <c:v>60.7</c:v>
                </c:pt>
                <c:pt idx="141">
                  <c:v>63</c:v>
                </c:pt>
                <c:pt idx="142">
                  <c:v>62.2</c:v>
                </c:pt>
                <c:pt idx="143">
                  <c:v>59</c:v>
                </c:pt>
                <c:pt idx="144">
                  <c:v>64.2</c:v>
                </c:pt>
                <c:pt idx="145">
                  <c:v>60.9</c:v>
                </c:pt>
                <c:pt idx="146">
                  <c:v>61.1</c:v>
                </c:pt>
                <c:pt idx="147">
                  <c:v>60.6</c:v>
                </c:pt>
                <c:pt idx="148">
                  <c:v>55.1</c:v>
                </c:pt>
                <c:pt idx="149">
                  <c:v>52.2</c:v>
                </c:pt>
                <c:pt idx="150">
                  <c:v>50.8</c:v>
                </c:pt>
                <c:pt idx="151">
                  <c:v>51</c:v>
                </c:pt>
                <c:pt idx="152">
                  <c:v>49.5</c:v>
                </c:pt>
                <c:pt idx="153">
                  <c:v>50</c:v>
                </c:pt>
                <c:pt idx="154">
                  <c:v>51.2</c:v>
                </c:pt>
                <c:pt idx="155">
                  <c:v>53.8</c:v>
                </c:pt>
                <c:pt idx="156">
                  <c:v>57.2</c:v>
                </c:pt>
                <c:pt idx="157">
                  <c:v>55.2</c:v>
                </c:pt>
                <c:pt idx="158">
                  <c:v>55.1</c:v>
                </c:pt>
                <c:pt idx="159">
                  <c:v>54.7</c:v>
                </c:pt>
                <c:pt idx="160">
                  <c:v>57.6</c:v>
                </c:pt>
                <c:pt idx="161">
                  <c:v>59.8</c:v>
                </c:pt>
                <c:pt idx="162">
                  <c:v>58.2</c:v>
                </c:pt>
                <c:pt idx="163">
                  <c:v>55.5</c:v>
                </c:pt>
                <c:pt idx="164">
                  <c:v>55.1</c:v>
                </c:pt>
                <c:pt idx="165">
                  <c:v>56.9</c:v>
                </c:pt>
                <c:pt idx="166">
                  <c:v>57.7</c:v>
                </c:pt>
                <c:pt idx="167">
                  <c:v>57.5</c:v>
                </c:pt>
                <c:pt idx="168">
                  <c:v>54</c:v>
                </c:pt>
                <c:pt idx="169">
                  <c:v>57.1</c:v>
                </c:pt>
                <c:pt idx="170">
                  <c:v>57.9</c:v>
                </c:pt>
                <c:pt idx="171">
                  <c:v>60.2</c:v>
                </c:pt>
                <c:pt idx="172">
                  <c:v>59.2</c:v>
                </c:pt>
                <c:pt idx="173">
                  <c:v>58.7</c:v>
                </c:pt>
                <c:pt idx="174">
                  <c:v>60.1</c:v>
                </c:pt>
                <c:pt idx="175">
                  <c:v>62.9</c:v>
                </c:pt>
                <c:pt idx="176">
                  <c:v>63.3</c:v>
                </c:pt>
                <c:pt idx="177">
                  <c:v>63.3</c:v>
                </c:pt>
                <c:pt idx="178">
                  <c:v>60.7</c:v>
                </c:pt>
                <c:pt idx="179">
                  <c:v>61.8</c:v>
                </c:pt>
                <c:pt idx="180">
                  <c:v>62.4</c:v>
                </c:pt>
                <c:pt idx="181">
                  <c:v>61</c:v>
                </c:pt>
                <c:pt idx="182">
                  <c:v>62.1</c:v>
                </c:pt>
                <c:pt idx="183">
                  <c:v>64.900000000000006</c:v>
                </c:pt>
                <c:pt idx="184">
                  <c:v>62</c:v>
                </c:pt>
                <c:pt idx="185">
                  <c:v>61.3</c:v>
                </c:pt>
                <c:pt idx="186">
                  <c:v>58.7</c:v>
                </c:pt>
                <c:pt idx="187">
                  <c:v>58.1</c:v>
                </c:pt>
                <c:pt idx="188">
                  <c:v>58.1</c:v>
                </c:pt>
                <c:pt idx="189">
                  <c:v>61</c:v>
                </c:pt>
                <c:pt idx="190">
                  <c:v>58.6</c:v>
                </c:pt>
                <c:pt idx="191">
                  <c:v>59.4</c:v>
                </c:pt>
                <c:pt idx="192">
                  <c:v>62.8</c:v>
                </c:pt>
                <c:pt idx="193">
                  <c:v>65.8</c:v>
                </c:pt>
                <c:pt idx="194">
                  <c:v>65.5</c:v>
                </c:pt>
                <c:pt idx="195">
                  <c:v>65.7</c:v>
                </c:pt>
                <c:pt idx="196">
                  <c:v>64.2</c:v>
                </c:pt>
                <c:pt idx="197">
                  <c:v>57.7</c:v>
                </c:pt>
                <c:pt idx="198">
                  <c:v>59</c:v>
                </c:pt>
                <c:pt idx="199">
                  <c:v>60.3</c:v>
                </c:pt>
                <c:pt idx="200">
                  <c:v>58.5</c:v>
                </c:pt>
                <c:pt idx="201">
                  <c:v>58.7</c:v>
                </c:pt>
                <c:pt idx="202">
                  <c:v>57.2</c:v>
                </c:pt>
                <c:pt idx="203">
                  <c:v>53.7</c:v>
                </c:pt>
                <c:pt idx="204">
                  <c:v>52.4</c:v>
                </c:pt>
                <c:pt idx="205">
                  <c:v>49.1</c:v>
                </c:pt>
                <c:pt idx="206">
                  <c:v>47.6</c:v>
                </c:pt>
                <c:pt idx="207">
                  <c:v>45.3</c:v>
                </c:pt>
                <c:pt idx="208">
                  <c:v>42.8</c:v>
                </c:pt>
                <c:pt idx="209">
                  <c:v>44.5</c:v>
                </c:pt>
                <c:pt idx="210">
                  <c:v>46.8</c:v>
                </c:pt>
                <c:pt idx="211">
                  <c:v>49.5</c:v>
                </c:pt>
                <c:pt idx="212">
                  <c:v>52.2</c:v>
                </c:pt>
                <c:pt idx="213">
                  <c:v>54.9</c:v>
                </c:pt>
                <c:pt idx="214">
                  <c:v>54.1</c:v>
                </c:pt>
                <c:pt idx="215">
                  <c:v>54.2</c:v>
                </c:pt>
                <c:pt idx="216">
                  <c:v>55.6</c:v>
                </c:pt>
                <c:pt idx="217">
                  <c:v>56.6</c:v>
                </c:pt>
                <c:pt idx="218">
                  <c:v>55</c:v>
                </c:pt>
                <c:pt idx="219">
                  <c:v>53.8</c:v>
                </c:pt>
                <c:pt idx="220">
                  <c:v>58</c:v>
                </c:pt>
                <c:pt idx="221">
                  <c:v>55.3</c:v>
                </c:pt>
                <c:pt idx="222">
                  <c:v>53.5</c:v>
                </c:pt>
                <c:pt idx="223">
                  <c:v>54.1</c:v>
                </c:pt>
                <c:pt idx="224">
                  <c:v>52.7</c:v>
                </c:pt>
                <c:pt idx="225">
                  <c:v>51.8</c:v>
                </c:pt>
                <c:pt idx="226">
                  <c:v>55.8</c:v>
                </c:pt>
                <c:pt idx="227">
                  <c:v>58.1</c:v>
                </c:pt>
                <c:pt idx="228">
                  <c:v>56.1</c:v>
                </c:pt>
                <c:pt idx="229">
                  <c:v>54.9</c:v>
                </c:pt>
                <c:pt idx="230">
                  <c:v>57</c:v>
                </c:pt>
                <c:pt idx="231">
                  <c:v>57.1</c:v>
                </c:pt>
                <c:pt idx="232">
                  <c:v>55.2</c:v>
                </c:pt>
                <c:pt idx="233">
                  <c:v>56.7</c:v>
                </c:pt>
                <c:pt idx="234">
                  <c:v>55.5</c:v>
                </c:pt>
                <c:pt idx="235">
                  <c:v>53.1</c:v>
                </c:pt>
                <c:pt idx="236">
                  <c:v>54.8</c:v>
                </c:pt>
                <c:pt idx="237">
                  <c:v>54.1</c:v>
                </c:pt>
                <c:pt idx="238">
                  <c:v>54.6</c:v>
                </c:pt>
                <c:pt idx="239">
                  <c:v>53.2</c:v>
                </c:pt>
                <c:pt idx="240">
                  <c:v>52</c:v>
                </c:pt>
                <c:pt idx="241">
                  <c:v>48.7</c:v>
                </c:pt>
                <c:pt idx="242">
                  <c:v>47.4</c:v>
                </c:pt>
                <c:pt idx="243">
                  <c:v>46.9</c:v>
                </c:pt>
                <c:pt idx="244">
                  <c:v>45</c:v>
                </c:pt>
                <c:pt idx="245">
                  <c:v>47.2</c:v>
                </c:pt>
                <c:pt idx="246">
                  <c:v>51.1</c:v>
                </c:pt>
                <c:pt idx="247">
                  <c:v>49.5</c:v>
                </c:pt>
                <c:pt idx="248">
                  <c:v>47.3</c:v>
                </c:pt>
                <c:pt idx="249">
                  <c:v>44.1</c:v>
                </c:pt>
                <c:pt idx="250">
                  <c:v>42.4</c:v>
                </c:pt>
                <c:pt idx="251">
                  <c:v>39.700000000000003</c:v>
                </c:pt>
                <c:pt idx="252">
                  <c:v>45.4</c:v>
                </c:pt>
                <c:pt idx="253">
                  <c:v>47.9</c:v>
                </c:pt>
                <c:pt idx="254">
                  <c:v>54.8</c:v>
                </c:pt>
                <c:pt idx="255">
                  <c:v>51.2</c:v>
                </c:pt>
                <c:pt idx="256">
                  <c:v>54.5</c:v>
                </c:pt>
                <c:pt idx="257">
                  <c:v>54.2</c:v>
                </c:pt>
                <c:pt idx="258">
                  <c:v>53.8</c:v>
                </c:pt>
                <c:pt idx="259">
                  <c:v>54.4</c:v>
                </c:pt>
                <c:pt idx="260">
                  <c:v>53.6</c:v>
                </c:pt>
                <c:pt idx="261">
                  <c:v>55.1</c:v>
                </c:pt>
                <c:pt idx="262">
                  <c:v>55</c:v>
                </c:pt>
                <c:pt idx="263">
                  <c:v>52.3</c:v>
                </c:pt>
                <c:pt idx="264">
                  <c:v>57.6</c:v>
                </c:pt>
                <c:pt idx="265">
                  <c:v>59.6</c:v>
                </c:pt>
                <c:pt idx="266">
                  <c:v>60.6</c:v>
                </c:pt>
                <c:pt idx="267">
                  <c:v>59.8</c:v>
                </c:pt>
                <c:pt idx="268">
                  <c:v>59.3</c:v>
                </c:pt>
                <c:pt idx="269">
                  <c:v>61.4</c:v>
                </c:pt>
                <c:pt idx="270">
                  <c:v>58.6</c:v>
                </c:pt>
                <c:pt idx="271">
                  <c:v>60.1</c:v>
                </c:pt>
                <c:pt idx="272">
                  <c:v>61.7</c:v>
                </c:pt>
                <c:pt idx="273">
                  <c:v>65.099999999999994</c:v>
                </c:pt>
                <c:pt idx="274">
                  <c:v>67</c:v>
                </c:pt>
                <c:pt idx="275">
                  <c:v>69.900000000000006</c:v>
                </c:pt>
                <c:pt idx="276">
                  <c:v>70.5</c:v>
                </c:pt>
                <c:pt idx="277">
                  <c:v>72.099999999999994</c:v>
                </c:pt>
                <c:pt idx="278">
                  <c:v>69.599999999999994</c:v>
                </c:pt>
                <c:pt idx="279">
                  <c:v>69.599999999999994</c:v>
                </c:pt>
                <c:pt idx="280">
                  <c:v>67.7</c:v>
                </c:pt>
                <c:pt idx="281">
                  <c:v>64.8</c:v>
                </c:pt>
                <c:pt idx="282">
                  <c:v>65</c:v>
                </c:pt>
                <c:pt idx="283">
                  <c:v>57.8</c:v>
                </c:pt>
                <c:pt idx="284">
                  <c:v>62.7</c:v>
                </c:pt>
                <c:pt idx="285">
                  <c:v>63.5</c:v>
                </c:pt>
                <c:pt idx="286">
                  <c:v>66.2</c:v>
                </c:pt>
                <c:pt idx="287">
                  <c:v>68.099999999999994</c:v>
                </c:pt>
                <c:pt idx="288">
                  <c:v>63.6</c:v>
                </c:pt>
                <c:pt idx="289">
                  <c:v>62.1</c:v>
                </c:pt>
                <c:pt idx="290">
                  <c:v>58.6</c:v>
                </c:pt>
                <c:pt idx="291">
                  <c:v>61.8</c:v>
                </c:pt>
                <c:pt idx="292">
                  <c:v>59.9</c:v>
                </c:pt>
                <c:pt idx="293">
                  <c:v>55.7</c:v>
                </c:pt>
                <c:pt idx="294">
                  <c:v>54.7</c:v>
                </c:pt>
                <c:pt idx="295">
                  <c:v>54.8</c:v>
                </c:pt>
                <c:pt idx="296">
                  <c:v>52.9</c:v>
                </c:pt>
                <c:pt idx="297">
                  <c:v>46.2</c:v>
                </c:pt>
                <c:pt idx="298">
                  <c:v>42.7</c:v>
                </c:pt>
                <c:pt idx="299">
                  <c:v>37.9</c:v>
                </c:pt>
                <c:pt idx="300">
                  <c:v>30.9</c:v>
                </c:pt>
                <c:pt idx="301">
                  <c:v>30.7</c:v>
                </c:pt>
                <c:pt idx="302">
                  <c:v>34.4</c:v>
                </c:pt>
                <c:pt idx="303">
                  <c:v>31.6</c:v>
                </c:pt>
                <c:pt idx="304">
                  <c:v>37.5</c:v>
                </c:pt>
                <c:pt idx="305">
                  <c:v>41.2</c:v>
                </c:pt>
                <c:pt idx="306">
                  <c:v>45.1</c:v>
                </c:pt>
                <c:pt idx="307">
                  <c:v>47.2</c:v>
                </c:pt>
                <c:pt idx="308">
                  <c:v>51.4</c:v>
                </c:pt>
                <c:pt idx="309">
                  <c:v>54.4</c:v>
                </c:pt>
                <c:pt idx="310">
                  <c:v>55.5</c:v>
                </c:pt>
                <c:pt idx="311">
                  <c:v>54.5</c:v>
                </c:pt>
                <c:pt idx="312">
                  <c:v>54.9</c:v>
                </c:pt>
                <c:pt idx="313">
                  <c:v>58.8</c:v>
                </c:pt>
                <c:pt idx="314">
                  <c:v>61.5</c:v>
                </c:pt>
                <c:pt idx="315">
                  <c:v>58.4</c:v>
                </c:pt>
                <c:pt idx="316">
                  <c:v>60.6</c:v>
                </c:pt>
                <c:pt idx="317">
                  <c:v>58.8</c:v>
                </c:pt>
                <c:pt idx="318">
                  <c:v>58.2</c:v>
                </c:pt>
                <c:pt idx="319">
                  <c:v>55.9</c:v>
                </c:pt>
                <c:pt idx="320">
                  <c:v>54.5</c:v>
                </c:pt>
                <c:pt idx="321">
                  <c:v>53.6</c:v>
                </c:pt>
                <c:pt idx="322">
                  <c:v>53.5</c:v>
                </c:pt>
                <c:pt idx="323">
                  <c:v>51.7</c:v>
                </c:pt>
                <c:pt idx="324">
                  <c:v>56.6</c:v>
                </c:pt>
                <c:pt idx="325">
                  <c:v>54.8</c:v>
                </c:pt>
                <c:pt idx="326">
                  <c:v>55</c:v>
                </c:pt>
                <c:pt idx="327">
                  <c:v>58.4</c:v>
                </c:pt>
                <c:pt idx="328">
                  <c:v>56.9</c:v>
                </c:pt>
                <c:pt idx="329">
                  <c:v>59.7</c:v>
                </c:pt>
                <c:pt idx="330">
                  <c:v>56.8</c:v>
                </c:pt>
                <c:pt idx="331">
                  <c:v>57.7</c:v>
                </c:pt>
                <c:pt idx="332">
                  <c:v>54.9</c:v>
                </c:pt>
                <c:pt idx="333">
                  <c:v>53.9</c:v>
                </c:pt>
                <c:pt idx="334">
                  <c:v>55.4</c:v>
                </c:pt>
                <c:pt idx="335">
                  <c:v>56.1</c:v>
                </c:pt>
                <c:pt idx="336">
                  <c:v>59.8</c:v>
                </c:pt>
                <c:pt idx="337">
                  <c:v>57.4</c:v>
                </c:pt>
                <c:pt idx="338">
                  <c:v>55.9</c:v>
                </c:pt>
                <c:pt idx="339">
                  <c:v>55</c:v>
                </c:pt>
                <c:pt idx="340">
                  <c:v>57.7</c:v>
                </c:pt>
                <c:pt idx="341">
                  <c:v>60.2</c:v>
                </c:pt>
                <c:pt idx="342">
                  <c:v>60.5</c:v>
                </c:pt>
                <c:pt idx="343">
                  <c:v>62.2</c:v>
                </c:pt>
                <c:pt idx="344">
                  <c:v>60.3</c:v>
                </c:pt>
                <c:pt idx="345">
                  <c:v>60.5</c:v>
                </c:pt>
                <c:pt idx="346">
                  <c:v>60.1</c:v>
                </c:pt>
                <c:pt idx="347">
                  <c:v>61.3</c:v>
                </c:pt>
                <c:pt idx="348">
                  <c:v>59.4</c:v>
                </c:pt>
                <c:pt idx="349">
                  <c:v>58.5</c:v>
                </c:pt>
                <c:pt idx="350">
                  <c:v>58.2</c:v>
                </c:pt>
                <c:pt idx="351">
                  <c:v>57.7</c:v>
                </c:pt>
                <c:pt idx="352">
                  <c:v>56.2</c:v>
                </c:pt>
                <c:pt idx="353">
                  <c:v>54.4</c:v>
                </c:pt>
                <c:pt idx="354">
                  <c:v>52.7</c:v>
                </c:pt>
                <c:pt idx="355">
                  <c:v>51.3</c:v>
                </c:pt>
                <c:pt idx="356">
                  <c:v>49.5</c:v>
                </c:pt>
                <c:pt idx="357">
                  <c:v>49.6</c:v>
                </c:pt>
                <c:pt idx="358">
                  <c:v>49</c:v>
                </c:pt>
                <c:pt idx="359">
                  <c:v>48</c:v>
                </c:pt>
                <c:pt idx="360">
                  <c:v>44.8</c:v>
                </c:pt>
                <c:pt idx="361">
                  <c:v>46.2</c:v>
                </c:pt>
                <c:pt idx="362">
                  <c:v>50.2</c:v>
                </c:pt>
                <c:pt idx="363">
                  <c:v>43.6</c:v>
                </c:pt>
                <c:pt idx="364">
                  <c:v>37.4</c:v>
                </c:pt>
                <c:pt idx="365">
                  <c:v>29.4</c:v>
                </c:pt>
                <c:pt idx="366">
                  <c:v>30.3</c:v>
                </c:pt>
                <c:pt idx="367">
                  <c:v>35</c:v>
                </c:pt>
                <c:pt idx="368">
                  <c:v>45.5</c:v>
                </c:pt>
                <c:pt idx="369">
                  <c:v>50.1</c:v>
                </c:pt>
                <c:pt idx="370">
                  <c:v>55.5</c:v>
                </c:pt>
                <c:pt idx="371">
                  <c:v>58.2</c:v>
                </c:pt>
                <c:pt idx="372">
                  <c:v>53</c:v>
                </c:pt>
                <c:pt idx="373">
                  <c:v>49.2</c:v>
                </c:pt>
                <c:pt idx="374">
                  <c:v>48.8</c:v>
                </c:pt>
                <c:pt idx="375">
                  <c:v>49.6</c:v>
                </c:pt>
                <c:pt idx="376">
                  <c:v>51.6</c:v>
                </c:pt>
                <c:pt idx="377">
                  <c:v>53.5</c:v>
                </c:pt>
                <c:pt idx="378">
                  <c:v>50.7</c:v>
                </c:pt>
                <c:pt idx="379">
                  <c:v>46.7</c:v>
                </c:pt>
                <c:pt idx="380">
                  <c:v>48.3</c:v>
                </c:pt>
                <c:pt idx="381">
                  <c:v>42.5</c:v>
                </c:pt>
                <c:pt idx="382">
                  <c:v>40</c:v>
                </c:pt>
                <c:pt idx="383">
                  <c:v>36.1</c:v>
                </c:pt>
                <c:pt idx="384">
                  <c:v>37.799999999999997</c:v>
                </c:pt>
                <c:pt idx="385">
                  <c:v>38.200000000000003</c:v>
                </c:pt>
                <c:pt idx="386">
                  <c:v>38.299999999999997</c:v>
                </c:pt>
                <c:pt idx="387">
                  <c:v>36.799999999999997</c:v>
                </c:pt>
                <c:pt idx="388">
                  <c:v>37.799999999999997</c:v>
                </c:pt>
                <c:pt idx="389">
                  <c:v>35.5</c:v>
                </c:pt>
                <c:pt idx="390">
                  <c:v>38.299999999999997</c:v>
                </c:pt>
                <c:pt idx="391">
                  <c:v>38.4</c:v>
                </c:pt>
                <c:pt idx="392">
                  <c:v>38.299999999999997</c:v>
                </c:pt>
                <c:pt idx="393">
                  <c:v>38.799999999999997</c:v>
                </c:pt>
                <c:pt idx="394">
                  <c:v>39.4</c:v>
                </c:pt>
                <c:pt idx="395">
                  <c:v>39.200000000000003</c:v>
                </c:pt>
                <c:pt idx="396">
                  <c:v>42.8</c:v>
                </c:pt>
                <c:pt idx="397">
                  <c:v>46</c:v>
                </c:pt>
                <c:pt idx="398">
                  <c:v>54.4</c:v>
                </c:pt>
                <c:pt idx="399">
                  <c:v>53.9</c:v>
                </c:pt>
                <c:pt idx="400">
                  <c:v>54.2</c:v>
                </c:pt>
                <c:pt idx="401">
                  <c:v>56.1</c:v>
                </c:pt>
                <c:pt idx="402">
                  <c:v>57.5</c:v>
                </c:pt>
                <c:pt idx="403">
                  <c:v>63.6</c:v>
                </c:pt>
                <c:pt idx="404">
                  <c:v>63.1</c:v>
                </c:pt>
                <c:pt idx="405">
                  <c:v>62.5</c:v>
                </c:pt>
                <c:pt idx="406">
                  <c:v>64.400000000000006</c:v>
                </c:pt>
                <c:pt idx="407">
                  <c:v>66</c:v>
                </c:pt>
                <c:pt idx="408">
                  <c:v>69.900000000000006</c:v>
                </c:pt>
                <c:pt idx="409">
                  <c:v>60.5</c:v>
                </c:pt>
                <c:pt idx="410">
                  <c:v>61.3</c:v>
                </c:pt>
                <c:pt idx="411">
                  <c:v>58.9</c:v>
                </c:pt>
                <c:pt idx="412">
                  <c:v>61</c:v>
                </c:pt>
                <c:pt idx="413">
                  <c:v>58.6</c:v>
                </c:pt>
                <c:pt idx="414">
                  <c:v>58.1</c:v>
                </c:pt>
                <c:pt idx="415">
                  <c:v>56.1</c:v>
                </c:pt>
                <c:pt idx="416">
                  <c:v>53</c:v>
                </c:pt>
                <c:pt idx="417">
                  <c:v>50</c:v>
                </c:pt>
                <c:pt idx="418">
                  <c:v>50.8</c:v>
                </c:pt>
                <c:pt idx="419">
                  <c:v>50.3</c:v>
                </c:pt>
                <c:pt idx="420">
                  <c:v>50.6</c:v>
                </c:pt>
                <c:pt idx="421">
                  <c:v>50.3</c:v>
                </c:pt>
                <c:pt idx="422">
                  <c:v>49.9</c:v>
                </c:pt>
                <c:pt idx="423">
                  <c:v>47.8</c:v>
                </c:pt>
                <c:pt idx="424">
                  <c:v>48.2</c:v>
                </c:pt>
                <c:pt idx="425">
                  <c:v>47.1</c:v>
                </c:pt>
                <c:pt idx="426">
                  <c:v>47.8</c:v>
                </c:pt>
                <c:pt idx="427">
                  <c:v>47.9</c:v>
                </c:pt>
                <c:pt idx="428">
                  <c:v>47.7</c:v>
                </c:pt>
                <c:pt idx="429">
                  <c:v>49.9</c:v>
                </c:pt>
                <c:pt idx="430">
                  <c:v>50.9</c:v>
                </c:pt>
                <c:pt idx="431">
                  <c:v>52</c:v>
                </c:pt>
                <c:pt idx="432">
                  <c:v>50.7</c:v>
                </c:pt>
                <c:pt idx="433">
                  <c:v>51.2</c:v>
                </c:pt>
                <c:pt idx="434">
                  <c:v>51</c:v>
                </c:pt>
                <c:pt idx="435">
                  <c:v>51</c:v>
                </c:pt>
                <c:pt idx="436">
                  <c:v>49.7</c:v>
                </c:pt>
                <c:pt idx="437">
                  <c:v>53.4</c:v>
                </c:pt>
                <c:pt idx="438">
                  <c:v>50.5</c:v>
                </c:pt>
                <c:pt idx="439">
                  <c:v>48</c:v>
                </c:pt>
                <c:pt idx="440">
                  <c:v>52.6</c:v>
                </c:pt>
                <c:pt idx="441">
                  <c:v>52.4</c:v>
                </c:pt>
                <c:pt idx="442">
                  <c:v>51.2</c:v>
                </c:pt>
                <c:pt idx="443">
                  <c:v>51.2</c:v>
                </c:pt>
                <c:pt idx="444">
                  <c:v>50.5</c:v>
                </c:pt>
                <c:pt idx="445">
                  <c:v>54.9</c:v>
                </c:pt>
                <c:pt idx="446">
                  <c:v>52.6</c:v>
                </c:pt>
                <c:pt idx="447">
                  <c:v>55</c:v>
                </c:pt>
                <c:pt idx="448">
                  <c:v>55.5</c:v>
                </c:pt>
                <c:pt idx="449">
                  <c:v>57.2</c:v>
                </c:pt>
                <c:pt idx="450">
                  <c:v>57.4</c:v>
                </c:pt>
                <c:pt idx="451">
                  <c:v>57.5</c:v>
                </c:pt>
                <c:pt idx="452">
                  <c:v>59.3</c:v>
                </c:pt>
                <c:pt idx="453">
                  <c:v>60</c:v>
                </c:pt>
                <c:pt idx="454">
                  <c:v>60.7</c:v>
                </c:pt>
                <c:pt idx="455">
                  <c:v>58.8</c:v>
                </c:pt>
                <c:pt idx="456">
                  <c:v>61</c:v>
                </c:pt>
                <c:pt idx="457">
                  <c:v>57.5</c:v>
                </c:pt>
                <c:pt idx="458">
                  <c:v>56.2</c:v>
                </c:pt>
                <c:pt idx="459">
                  <c:v>54.6</c:v>
                </c:pt>
                <c:pt idx="460">
                  <c:v>55.8</c:v>
                </c:pt>
                <c:pt idx="461">
                  <c:v>55.5</c:v>
                </c:pt>
                <c:pt idx="462">
                  <c:v>59.3</c:v>
                </c:pt>
                <c:pt idx="463">
                  <c:v>58.2</c:v>
                </c:pt>
                <c:pt idx="464">
                  <c:v>56</c:v>
                </c:pt>
                <c:pt idx="465">
                  <c:v>54.5</c:v>
                </c:pt>
                <c:pt idx="466">
                  <c:v>55.4</c:v>
                </c:pt>
                <c:pt idx="467">
                  <c:v>55.6</c:v>
                </c:pt>
                <c:pt idx="468">
                  <c:v>56</c:v>
                </c:pt>
                <c:pt idx="469">
                  <c:v>54.7</c:v>
                </c:pt>
                <c:pt idx="470">
                  <c:v>54.1</c:v>
                </c:pt>
                <c:pt idx="471">
                  <c:v>51.5</c:v>
                </c:pt>
                <c:pt idx="472">
                  <c:v>52.2</c:v>
                </c:pt>
                <c:pt idx="473">
                  <c:v>49.3</c:v>
                </c:pt>
                <c:pt idx="474">
                  <c:v>47.3</c:v>
                </c:pt>
                <c:pt idx="475">
                  <c:v>45.9</c:v>
                </c:pt>
                <c:pt idx="476">
                  <c:v>45.1</c:v>
                </c:pt>
                <c:pt idx="477">
                  <c:v>46</c:v>
                </c:pt>
                <c:pt idx="478">
                  <c:v>46.8</c:v>
                </c:pt>
                <c:pt idx="479">
                  <c:v>46.8</c:v>
                </c:pt>
                <c:pt idx="480">
                  <c:v>47.4</c:v>
                </c:pt>
                <c:pt idx="481">
                  <c:v>47.2</c:v>
                </c:pt>
                <c:pt idx="482">
                  <c:v>49.1</c:v>
                </c:pt>
                <c:pt idx="483">
                  <c:v>49.9</c:v>
                </c:pt>
                <c:pt idx="484">
                  <c:v>50</c:v>
                </c:pt>
                <c:pt idx="485">
                  <c:v>49.5</c:v>
                </c:pt>
                <c:pt idx="486">
                  <c:v>49.2</c:v>
                </c:pt>
                <c:pt idx="487">
                  <c:v>46.6</c:v>
                </c:pt>
                <c:pt idx="488">
                  <c:v>46.1</c:v>
                </c:pt>
                <c:pt idx="489">
                  <c:v>44.5</c:v>
                </c:pt>
                <c:pt idx="490">
                  <c:v>43.2</c:v>
                </c:pt>
                <c:pt idx="491">
                  <c:v>41.3</c:v>
                </c:pt>
                <c:pt idx="492">
                  <c:v>40.799999999999997</c:v>
                </c:pt>
                <c:pt idx="493">
                  <c:v>39.200000000000003</c:v>
                </c:pt>
                <c:pt idx="494">
                  <c:v>39.4</c:v>
                </c:pt>
                <c:pt idx="495">
                  <c:v>40.700000000000003</c:v>
                </c:pt>
                <c:pt idx="496">
                  <c:v>42.8</c:v>
                </c:pt>
                <c:pt idx="497">
                  <c:v>44.5</c:v>
                </c:pt>
                <c:pt idx="498">
                  <c:v>50.3</c:v>
                </c:pt>
                <c:pt idx="499">
                  <c:v>50.6</c:v>
                </c:pt>
                <c:pt idx="500">
                  <c:v>52.9</c:v>
                </c:pt>
                <c:pt idx="501">
                  <c:v>54.9</c:v>
                </c:pt>
                <c:pt idx="502">
                  <c:v>53.1</c:v>
                </c:pt>
                <c:pt idx="503">
                  <c:v>49.5</c:v>
                </c:pt>
                <c:pt idx="504">
                  <c:v>46.8</c:v>
                </c:pt>
                <c:pt idx="505">
                  <c:v>47.3</c:v>
                </c:pt>
                <c:pt idx="506">
                  <c:v>52.7</c:v>
                </c:pt>
                <c:pt idx="507">
                  <c:v>54.6</c:v>
                </c:pt>
                <c:pt idx="508">
                  <c:v>52.6</c:v>
                </c:pt>
                <c:pt idx="509">
                  <c:v>55.7</c:v>
                </c:pt>
                <c:pt idx="510">
                  <c:v>53.6</c:v>
                </c:pt>
                <c:pt idx="511">
                  <c:v>53.9</c:v>
                </c:pt>
                <c:pt idx="512">
                  <c:v>53.4</c:v>
                </c:pt>
                <c:pt idx="513">
                  <c:v>49.7</c:v>
                </c:pt>
                <c:pt idx="514">
                  <c:v>50.3</c:v>
                </c:pt>
                <c:pt idx="515">
                  <c:v>53.6</c:v>
                </c:pt>
                <c:pt idx="516">
                  <c:v>54.2</c:v>
                </c:pt>
                <c:pt idx="517">
                  <c:v>55.8</c:v>
                </c:pt>
                <c:pt idx="518">
                  <c:v>55.2</c:v>
                </c:pt>
                <c:pt idx="519">
                  <c:v>53.5</c:v>
                </c:pt>
                <c:pt idx="520">
                  <c:v>50.2</c:v>
                </c:pt>
                <c:pt idx="521">
                  <c:v>51.2</c:v>
                </c:pt>
                <c:pt idx="522">
                  <c:v>49.6</c:v>
                </c:pt>
                <c:pt idx="523">
                  <c:v>50.2</c:v>
                </c:pt>
                <c:pt idx="524">
                  <c:v>50.7</c:v>
                </c:pt>
                <c:pt idx="525">
                  <c:v>50.8</c:v>
                </c:pt>
                <c:pt idx="526">
                  <c:v>53.4</c:v>
                </c:pt>
                <c:pt idx="527">
                  <c:v>53.8</c:v>
                </c:pt>
                <c:pt idx="528">
                  <c:v>55.6</c:v>
                </c:pt>
                <c:pt idx="529">
                  <c:v>56</c:v>
                </c:pt>
                <c:pt idx="530">
                  <c:v>56.5</c:v>
                </c:pt>
                <c:pt idx="531">
                  <c:v>56.9</c:v>
                </c:pt>
                <c:pt idx="532">
                  <c:v>57.4</c:v>
                </c:pt>
                <c:pt idx="533">
                  <c:v>58.2</c:v>
                </c:pt>
                <c:pt idx="534">
                  <c:v>58.8</c:v>
                </c:pt>
                <c:pt idx="535">
                  <c:v>58.5</c:v>
                </c:pt>
                <c:pt idx="536">
                  <c:v>58</c:v>
                </c:pt>
                <c:pt idx="537">
                  <c:v>59</c:v>
                </c:pt>
                <c:pt idx="538">
                  <c:v>59.4</c:v>
                </c:pt>
                <c:pt idx="539">
                  <c:v>59.2</c:v>
                </c:pt>
                <c:pt idx="540">
                  <c:v>56.1</c:v>
                </c:pt>
                <c:pt idx="541">
                  <c:v>57.4</c:v>
                </c:pt>
                <c:pt idx="542">
                  <c:v>55.1</c:v>
                </c:pt>
                <c:pt idx="543">
                  <c:v>52.1</c:v>
                </c:pt>
                <c:pt idx="544">
                  <c:v>51.5</c:v>
                </c:pt>
                <c:pt idx="545">
                  <c:v>46.7</c:v>
                </c:pt>
                <c:pt idx="546">
                  <c:v>45.9</c:v>
                </c:pt>
                <c:pt idx="547">
                  <c:v>50.7</c:v>
                </c:pt>
                <c:pt idx="548">
                  <c:v>47.1</c:v>
                </c:pt>
                <c:pt idx="549">
                  <c:v>48.1</c:v>
                </c:pt>
                <c:pt idx="550">
                  <c:v>46.7</c:v>
                </c:pt>
                <c:pt idx="551">
                  <c:v>45.9</c:v>
                </c:pt>
                <c:pt idx="552">
                  <c:v>46.2</c:v>
                </c:pt>
                <c:pt idx="553">
                  <c:v>45.5</c:v>
                </c:pt>
                <c:pt idx="554">
                  <c:v>45.9</c:v>
                </c:pt>
                <c:pt idx="555">
                  <c:v>46.9</c:v>
                </c:pt>
                <c:pt idx="556">
                  <c:v>49.3</c:v>
                </c:pt>
                <c:pt idx="557">
                  <c:v>49.1</c:v>
                </c:pt>
                <c:pt idx="558">
                  <c:v>53.6</c:v>
                </c:pt>
                <c:pt idx="559">
                  <c:v>49.7</c:v>
                </c:pt>
                <c:pt idx="560">
                  <c:v>51.6</c:v>
                </c:pt>
                <c:pt idx="561">
                  <c:v>51.1</c:v>
                </c:pt>
                <c:pt idx="562">
                  <c:v>50.5</c:v>
                </c:pt>
                <c:pt idx="563">
                  <c:v>53</c:v>
                </c:pt>
                <c:pt idx="564">
                  <c:v>55.2</c:v>
                </c:pt>
                <c:pt idx="565">
                  <c:v>53.8</c:v>
                </c:pt>
                <c:pt idx="566">
                  <c:v>53.1</c:v>
                </c:pt>
                <c:pt idx="567">
                  <c:v>53.8</c:v>
                </c:pt>
                <c:pt idx="568">
                  <c:v>53.7</c:v>
                </c:pt>
                <c:pt idx="569">
                  <c:v>56.1</c:v>
                </c:pt>
                <c:pt idx="570">
                  <c:v>54.9</c:v>
                </c:pt>
                <c:pt idx="571">
                  <c:v>57.7</c:v>
                </c:pt>
                <c:pt idx="572">
                  <c:v>56.3</c:v>
                </c:pt>
                <c:pt idx="573">
                  <c:v>53.9</c:v>
                </c:pt>
                <c:pt idx="574">
                  <c:v>56.4</c:v>
                </c:pt>
                <c:pt idx="575">
                  <c:v>55.7</c:v>
                </c:pt>
                <c:pt idx="576">
                  <c:v>54.5</c:v>
                </c:pt>
                <c:pt idx="577">
                  <c:v>53.8</c:v>
                </c:pt>
                <c:pt idx="578">
                  <c:v>52.9</c:v>
                </c:pt>
                <c:pt idx="579">
                  <c:v>52.9</c:v>
                </c:pt>
                <c:pt idx="580">
                  <c:v>52.2</c:v>
                </c:pt>
                <c:pt idx="581">
                  <c:v>50.9</c:v>
                </c:pt>
                <c:pt idx="582">
                  <c:v>48.9</c:v>
                </c:pt>
                <c:pt idx="583">
                  <c:v>49.2</c:v>
                </c:pt>
                <c:pt idx="584">
                  <c:v>49.3</c:v>
                </c:pt>
                <c:pt idx="585">
                  <c:v>48.7</c:v>
                </c:pt>
                <c:pt idx="586">
                  <c:v>48.7</c:v>
                </c:pt>
                <c:pt idx="587">
                  <c:v>48.2</c:v>
                </c:pt>
                <c:pt idx="588">
                  <c:v>46.8</c:v>
                </c:pt>
                <c:pt idx="589">
                  <c:v>50.6</c:v>
                </c:pt>
                <c:pt idx="590">
                  <c:v>51.7</c:v>
                </c:pt>
                <c:pt idx="591">
                  <c:v>52.4</c:v>
                </c:pt>
                <c:pt idx="592">
                  <c:v>52.3</c:v>
                </c:pt>
                <c:pt idx="593">
                  <c:v>54.3</c:v>
                </c:pt>
                <c:pt idx="594">
                  <c:v>55.8</c:v>
                </c:pt>
                <c:pt idx="595">
                  <c:v>53.6</c:v>
                </c:pt>
                <c:pt idx="596">
                  <c:v>54.8</c:v>
                </c:pt>
                <c:pt idx="597">
                  <c:v>57</c:v>
                </c:pt>
                <c:pt idx="598">
                  <c:v>57.2</c:v>
                </c:pt>
                <c:pt idx="599">
                  <c:v>58.1</c:v>
                </c:pt>
                <c:pt idx="600">
                  <c:v>57.8</c:v>
                </c:pt>
                <c:pt idx="601">
                  <c:v>56.7</c:v>
                </c:pt>
                <c:pt idx="602">
                  <c:v>55.8</c:v>
                </c:pt>
                <c:pt idx="603">
                  <c:v>54.9</c:v>
                </c:pt>
                <c:pt idx="604">
                  <c:v>54.7</c:v>
                </c:pt>
                <c:pt idx="605">
                  <c:v>53.2</c:v>
                </c:pt>
                <c:pt idx="606">
                  <c:v>51.4</c:v>
                </c:pt>
                <c:pt idx="607">
                  <c:v>52.5</c:v>
                </c:pt>
                <c:pt idx="608">
                  <c:v>49.9</c:v>
                </c:pt>
                <c:pt idx="609">
                  <c:v>49.7</c:v>
                </c:pt>
                <c:pt idx="610">
                  <c:v>48.7</c:v>
                </c:pt>
                <c:pt idx="611">
                  <c:v>48.5</c:v>
                </c:pt>
                <c:pt idx="612">
                  <c:v>43.9</c:v>
                </c:pt>
                <c:pt idx="613">
                  <c:v>42.3</c:v>
                </c:pt>
                <c:pt idx="614">
                  <c:v>42.1</c:v>
                </c:pt>
                <c:pt idx="615">
                  <c:v>43.1</c:v>
                </c:pt>
                <c:pt idx="616">
                  <c:v>42.7</c:v>
                </c:pt>
                <c:pt idx="617">
                  <c:v>41.3</c:v>
                </c:pt>
                <c:pt idx="618">
                  <c:v>43.2</c:v>
                </c:pt>
                <c:pt idx="619">
                  <c:v>43.5</c:v>
                </c:pt>
                <c:pt idx="620">
                  <c:v>46.3</c:v>
                </c:pt>
                <c:pt idx="621">
                  <c:v>46.2</c:v>
                </c:pt>
                <c:pt idx="622">
                  <c:v>40.799999999999997</c:v>
                </c:pt>
                <c:pt idx="623">
                  <c:v>44.1</c:v>
                </c:pt>
                <c:pt idx="624">
                  <c:v>45.3</c:v>
                </c:pt>
                <c:pt idx="625">
                  <c:v>47.5</c:v>
                </c:pt>
                <c:pt idx="626">
                  <c:v>50.7</c:v>
                </c:pt>
                <c:pt idx="627">
                  <c:v>52.4</c:v>
                </c:pt>
                <c:pt idx="628">
                  <c:v>52.4</c:v>
                </c:pt>
                <c:pt idx="629">
                  <c:v>53.1</c:v>
                </c:pt>
                <c:pt idx="630">
                  <c:v>53.6</c:v>
                </c:pt>
                <c:pt idx="631">
                  <c:v>50.2</c:v>
                </c:pt>
                <c:pt idx="632">
                  <c:v>50.3</c:v>
                </c:pt>
                <c:pt idx="633">
                  <c:v>50.5</c:v>
                </c:pt>
                <c:pt idx="634">
                  <c:v>49</c:v>
                </c:pt>
                <c:pt idx="635">
                  <c:v>48.5</c:v>
                </c:pt>
                <c:pt idx="636">
                  <c:v>51.6</c:v>
                </c:pt>
                <c:pt idx="637">
                  <c:v>51.3</c:v>
                </c:pt>
                <c:pt idx="638">
                  <c:v>48.8</c:v>
                </c:pt>
                <c:pt idx="639">
                  <c:v>46.3</c:v>
                </c:pt>
                <c:pt idx="640">
                  <c:v>46.1</c:v>
                </c:pt>
                <c:pt idx="641">
                  <c:v>49</c:v>
                </c:pt>
                <c:pt idx="642">
                  <c:v>49</c:v>
                </c:pt>
                <c:pt idx="643">
                  <c:v>51</c:v>
                </c:pt>
                <c:pt idx="644">
                  <c:v>53.2</c:v>
                </c:pt>
                <c:pt idx="645">
                  <c:v>52.4</c:v>
                </c:pt>
                <c:pt idx="646">
                  <c:v>55.2</c:v>
                </c:pt>
                <c:pt idx="647">
                  <c:v>58.4</c:v>
                </c:pt>
                <c:pt idx="648">
                  <c:v>60.1</c:v>
                </c:pt>
                <c:pt idx="649">
                  <c:v>60.8</c:v>
                </c:pt>
                <c:pt idx="650">
                  <c:v>59.9</c:v>
                </c:pt>
                <c:pt idx="651">
                  <c:v>60.6</c:v>
                </c:pt>
                <c:pt idx="652">
                  <c:v>60.6</c:v>
                </c:pt>
                <c:pt idx="653">
                  <c:v>61.4</c:v>
                </c:pt>
                <c:pt idx="654">
                  <c:v>60.5</c:v>
                </c:pt>
                <c:pt idx="655">
                  <c:v>59.9</c:v>
                </c:pt>
                <c:pt idx="656">
                  <c:v>58.5</c:v>
                </c:pt>
                <c:pt idx="657">
                  <c:v>57.4</c:v>
                </c:pt>
                <c:pt idx="658">
                  <c:v>56.3</c:v>
                </c:pt>
                <c:pt idx="659">
                  <c:v>56.2</c:v>
                </c:pt>
                <c:pt idx="660">
                  <c:v>57.2</c:v>
                </c:pt>
                <c:pt idx="661">
                  <c:v>56.8</c:v>
                </c:pt>
                <c:pt idx="662">
                  <c:v>55.5</c:v>
                </c:pt>
                <c:pt idx="663">
                  <c:v>55.2</c:v>
                </c:pt>
                <c:pt idx="664">
                  <c:v>52.2</c:v>
                </c:pt>
                <c:pt idx="665">
                  <c:v>50.8</c:v>
                </c:pt>
                <c:pt idx="666">
                  <c:v>52.4</c:v>
                </c:pt>
                <c:pt idx="667">
                  <c:v>52.8</c:v>
                </c:pt>
                <c:pt idx="668">
                  <c:v>52.4</c:v>
                </c:pt>
                <c:pt idx="669">
                  <c:v>56.8</c:v>
                </c:pt>
                <c:pt idx="670">
                  <c:v>57.2</c:v>
                </c:pt>
                <c:pt idx="671">
                  <c:v>56.7</c:v>
                </c:pt>
                <c:pt idx="672">
                  <c:v>55.1</c:v>
                </c:pt>
                <c:pt idx="673">
                  <c:v>55</c:v>
                </c:pt>
                <c:pt idx="674">
                  <c:v>55.8</c:v>
                </c:pt>
                <c:pt idx="675">
                  <c:v>54.3</c:v>
                </c:pt>
                <c:pt idx="676">
                  <c:v>55.2</c:v>
                </c:pt>
                <c:pt idx="677">
                  <c:v>53.7</c:v>
                </c:pt>
                <c:pt idx="678">
                  <c:v>52</c:v>
                </c:pt>
                <c:pt idx="679">
                  <c:v>53</c:v>
                </c:pt>
                <c:pt idx="680">
                  <c:v>53.7</c:v>
                </c:pt>
                <c:pt idx="681">
                  <c:v>52.2</c:v>
                </c:pt>
                <c:pt idx="682">
                  <c:v>51.4</c:v>
                </c:pt>
                <c:pt idx="683">
                  <c:v>50.3</c:v>
                </c:pt>
                <c:pt idx="684">
                  <c:v>51.4</c:v>
                </c:pt>
                <c:pt idx="685">
                  <c:v>49.5</c:v>
                </c:pt>
                <c:pt idx="686">
                  <c:v>51.9</c:v>
                </c:pt>
                <c:pt idx="687">
                  <c:v>50.7</c:v>
                </c:pt>
                <c:pt idx="688">
                  <c:v>52.6</c:v>
                </c:pt>
                <c:pt idx="689">
                  <c:v>52.5</c:v>
                </c:pt>
                <c:pt idx="690">
                  <c:v>52.6</c:v>
                </c:pt>
                <c:pt idx="691">
                  <c:v>52.4</c:v>
                </c:pt>
                <c:pt idx="692">
                  <c:v>50.9</c:v>
                </c:pt>
                <c:pt idx="693">
                  <c:v>51</c:v>
                </c:pt>
                <c:pt idx="694">
                  <c:v>51.1</c:v>
                </c:pt>
                <c:pt idx="695">
                  <c:v>50.5</c:v>
                </c:pt>
                <c:pt idx="696">
                  <c:v>49</c:v>
                </c:pt>
                <c:pt idx="697">
                  <c:v>50.3</c:v>
                </c:pt>
                <c:pt idx="698">
                  <c:v>47.6</c:v>
                </c:pt>
                <c:pt idx="699">
                  <c:v>48.3</c:v>
                </c:pt>
                <c:pt idx="700">
                  <c:v>48.8</c:v>
                </c:pt>
                <c:pt idx="701">
                  <c:v>48.8</c:v>
                </c:pt>
                <c:pt idx="702">
                  <c:v>49.8</c:v>
                </c:pt>
                <c:pt idx="703">
                  <c:v>50</c:v>
                </c:pt>
                <c:pt idx="704">
                  <c:v>49.2</c:v>
                </c:pt>
                <c:pt idx="705">
                  <c:v>44.8</c:v>
                </c:pt>
                <c:pt idx="706">
                  <c:v>38.9</c:v>
                </c:pt>
                <c:pt idx="707">
                  <c:v>36.5</c:v>
                </c:pt>
                <c:pt idx="708">
                  <c:v>33.1</c:v>
                </c:pt>
                <c:pt idx="709">
                  <c:v>34.9</c:v>
                </c:pt>
                <c:pt idx="710">
                  <c:v>35.5</c:v>
                </c:pt>
                <c:pt idx="711">
                  <c:v>36</c:v>
                </c:pt>
                <c:pt idx="712">
                  <c:v>39.5</c:v>
                </c:pt>
                <c:pt idx="713">
                  <c:v>41.7</c:v>
                </c:pt>
                <c:pt idx="714">
                  <c:v>45.8</c:v>
                </c:pt>
                <c:pt idx="715">
                  <c:v>49.9</c:v>
                </c:pt>
                <c:pt idx="716">
                  <c:v>53.5</c:v>
                </c:pt>
                <c:pt idx="717">
                  <c:v>54.4</c:v>
                </c:pt>
                <c:pt idx="718">
                  <c:v>56</c:v>
                </c:pt>
                <c:pt idx="719">
                  <c:v>54.4</c:v>
                </c:pt>
                <c:pt idx="720">
                  <c:v>55.3</c:v>
                </c:pt>
                <c:pt idx="721">
                  <c:v>57.2</c:v>
                </c:pt>
                <c:pt idx="722">
                  <c:v>55.8</c:v>
                </c:pt>
                <c:pt idx="723">
                  <c:v>58.8</c:v>
                </c:pt>
                <c:pt idx="724">
                  <c:v>58.1</c:v>
                </c:pt>
                <c:pt idx="725">
                  <c:v>58.3</c:v>
                </c:pt>
                <c:pt idx="726">
                  <c:v>56.4</c:v>
                </c:pt>
                <c:pt idx="727">
                  <c:v>56.4</c:v>
                </c:pt>
                <c:pt idx="728">
                  <c:v>58</c:v>
                </c:pt>
                <c:pt idx="729">
                  <c:v>56.3</c:v>
                </c:pt>
                <c:pt idx="730">
                  <c:v>57.7</c:v>
                </c:pt>
                <c:pt idx="731">
                  <c:v>57.6</c:v>
                </c:pt>
                <c:pt idx="732">
                  <c:v>57.5</c:v>
                </c:pt>
                <c:pt idx="733">
                  <c:v>59</c:v>
                </c:pt>
                <c:pt idx="734">
                  <c:v>59.3</c:v>
                </c:pt>
                <c:pt idx="735">
                  <c:v>59.1</c:v>
                </c:pt>
                <c:pt idx="736">
                  <c:v>58.9</c:v>
                </c:pt>
                <c:pt idx="737">
                  <c:v>53.7</c:v>
                </c:pt>
                <c:pt idx="738">
                  <c:v>56.6</c:v>
                </c:pt>
                <c:pt idx="739">
                  <c:v>52.9</c:v>
                </c:pt>
                <c:pt idx="740">
                  <c:v>53</c:v>
                </c:pt>
                <c:pt idx="741">
                  <c:v>52.8</c:v>
                </c:pt>
                <c:pt idx="742">
                  <c:v>51.8</c:v>
                </c:pt>
                <c:pt idx="743">
                  <c:v>52.1</c:v>
                </c:pt>
                <c:pt idx="744">
                  <c:v>53.1</c:v>
                </c:pt>
                <c:pt idx="745">
                  <c:v>52.8</c:v>
                </c:pt>
                <c:pt idx="746">
                  <c:v>52.4</c:v>
                </c:pt>
                <c:pt idx="747">
                  <c:v>53</c:v>
                </c:pt>
                <c:pt idx="748">
                  <c:v>53.7</c:v>
                </c:pt>
                <c:pt idx="749">
                  <c:v>53.2</c:v>
                </c:pt>
                <c:pt idx="750">
                  <c:v>51</c:v>
                </c:pt>
                <c:pt idx="751">
                  <c:v>50.6</c:v>
                </c:pt>
                <c:pt idx="752">
                  <c:v>51.1</c:v>
                </c:pt>
                <c:pt idx="753">
                  <c:v>52.2</c:v>
                </c:pt>
                <c:pt idx="754">
                  <c:v>51.2</c:v>
                </c:pt>
                <c:pt idx="755">
                  <c:v>49.5</c:v>
                </c:pt>
                <c:pt idx="756">
                  <c:v>50.4</c:v>
                </c:pt>
                <c:pt idx="757">
                  <c:v>52.3</c:v>
                </c:pt>
                <c:pt idx="758">
                  <c:v>53.1</c:v>
                </c:pt>
                <c:pt idx="759">
                  <c:v>51.5</c:v>
                </c:pt>
                <c:pt idx="760">
                  <c:v>50</c:v>
                </c:pt>
                <c:pt idx="761">
                  <c:v>50</c:v>
                </c:pt>
                <c:pt idx="762">
                  <c:v>52.5</c:v>
                </c:pt>
                <c:pt idx="763">
                  <c:v>54.9</c:v>
                </c:pt>
                <c:pt idx="764">
                  <c:v>56.3</c:v>
                </c:pt>
                <c:pt idx="765">
                  <c:v>56</c:v>
                </c:pt>
                <c:pt idx="766">
                  <c:v>56.6</c:v>
                </c:pt>
                <c:pt idx="767">
                  <c:v>57</c:v>
                </c:pt>
                <c:pt idx="768">
                  <c:v>56.5</c:v>
                </c:pt>
                <c:pt idx="769">
                  <c:v>51.3</c:v>
                </c:pt>
                <c:pt idx="770">
                  <c:v>54.3</c:v>
                </c:pt>
                <c:pt idx="771">
                  <c:v>54.4</c:v>
                </c:pt>
                <c:pt idx="772">
                  <c:v>55.3</c:v>
                </c:pt>
                <c:pt idx="773">
                  <c:v>55.6</c:v>
                </c:pt>
                <c:pt idx="774">
                  <c:v>55.7</c:v>
                </c:pt>
                <c:pt idx="775">
                  <c:v>56.4</c:v>
                </c:pt>
                <c:pt idx="776">
                  <c:v>58.1</c:v>
                </c:pt>
                <c:pt idx="777">
                  <c:v>56.1</c:v>
                </c:pt>
                <c:pt idx="778">
                  <c:v>57.9</c:v>
                </c:pt>
                <c:pt idx="779">
                  <c:v>57.6</c:v>
                </c:pt>
                <c:pt idx="780">
                  <c:v>55.1</c:v>
                </c:pt>
                <c:pt idx="781">
                  <c:v>53.5</c:v>
                </c:pt>
                <c:pt idx="782">
                  <c:v>52.9</c:v>
                </c:pt>
                <c:pt idx="783">
                  <c:v>51.5</c:v>
                </c:pt>
                <c:pt idx="784">
                  <c:v>51.5</c:v>
                </c:pt>
                <c:pt idx="785">
                  <c:v>52.8</c:v>
                </c:pt>
                <c:pt idx="786">
                  <c:v>53.5</c:v>
                </c:pt>
                <c:pt idx="787">
                  <c:v>52.7</c:v>
                </c:pt>
                <c:pt idx="788">
                  <c:v>51.1</c:v>
                </c:pt>
                <c:pt idx="789">
                  <c:v>50.2</c:v>
                </c:pt>
                <c:pt idx="790">
                  <c:v>49.4</c:v>
                </c:pt>
                <c:pt idx="791">
                  <c:v>48.4</c:v>
                </c:pt>
                <c:pt idx="792">
                  <c:v>48</c:v>
                </c:pt>
                <c:pt idx="793">
                  <c:v>48.2</c:v>
                </c:pt>
                <c:pt idx="794">
                  <c:v>49.7</c:v>
                </c:pt>
                <c:pt idx="795">
                  <c:v>51.7</c:v>
                </c:pt>
                <c:pt idx="796">
                  <c:v>50.7</c:v>
                </c:pt>
                <c:pt idx="797">
                  <c:v>51</c:v>
                </c:pt>
                <c:pt idx="798">
                  <c:v>52.8</c:v>
                </c:pt>
                <c:pt idx="799">
                  <c:v>52.3</c:v>
                </c:pt>
                <c:pt idx="800">
                  <c:v>49.4</c:v>
                </c:pt>
                <c:pt idx="801">
                  <c:v>51.7</c:v>
                </c:pt>
                <c:pt idx="802">
                  <c:v>52</c:v>
                </c:pt>
                <c:pt idx="803">
                  <c:v>53.5</c:v>
                </c:pt>
                <c:pt idx="804">
                  <c:v>54.5</c:v>
                </c:pt>
                <c:pt idx="805">
                  <c:v>56</c:v>
                </c:pt>
                <c:pt idx="806">
                  <c:v>57.6</c:v>
                </c:pt>
                <c:pt idx="807">
                  <c:v>56.6</c:v>
                </c:pt>
                <c:pt idx="808">
                  <c:v>55.3</c:v>
                </c:pt>
                <c:pt idx="809">
                  <c:v>55.5</c:v>
                </c:pt>
                <c:pt idx="810">
                  <c:v>56.7</c:v>
                </c:pt>
                <c:pt idx="811">
                  <c:v>56.5</c:v>
                </c:pt>
                <c:pt idx="812">
                  <c:v>59.3</c:v>
                </c:pt>
                <c:pt idx="813">
                  <c:v>60.2</c:v>
                </c:pt>
                <c:pt idx="814">
                  <c:v>58.5</c:v>
                </c:pt>
                <c:pt idx="815">
                  <c:v>58.2</c:v>
                </c:pt>
                <c:pt idx="816">
                  <c:v>59.3</c:v>
                </c:pt>
                <c:pt idx="817">
                  <c:v>59.1</c:v>
                </c:pt>
                <c:pt idx="818">
                  <c:v>60.7</c:v>
                </c:pt>
                <c:pt idx="819">
                  <c:v>59.3</c:v>
                </c:pt>
                <c:pt idx="820">
                  <c:v>57.9</c:v>
                </c:pt>
                <c:pt idx="821">
                  <c:v>58.7</c:v>
                </c:pt>
                <c:pt idx="822">
                  <c:v>60</c:v>
                </c:pt>
                <c:pt idx="823">
                  <c:v>58.4</c:v>
                </c:pt>
                <c:pt idx="824">
                  <c:v>60.8</c:v>
                </c:pt>
                <c:pt idx="825">
                  <c:v>59.5</c:v>
                </c:pt>
                <c:pt idx="826">
                  <c:v>57.5</c:v>
                </c:pt>
                <c:pt idx="827">
                  <c:v>58.8</c:v>
                </c:pt>
                <c:pt idx="828">
                  <c:v>54.3</c:v>
                </c:pt>
                <c:pt idx="829">
                  <c:v>56.6</c:v>
                </c:pt>
                <c:pt idx="830">
                  <c:v>54.2</c:v>
                </c:pt>
                <c:pt idx="831">
                  <c:v>55.3</c:v>
                </c:pt>
              </c:numCache>
            </c:numRef>
          </c:val>
          <c:smooth val="0"/>
          <c:extLst>
            <c:ext xmlns:c16="http://schemas.microsoft.com/office/drawing/2014/chart" uri="{C3380CC4-5D6E-409C-BE32-E72D297353CC}">
              <c16:uniqueId val="{00000000-904C-AC4C-8102-529833850235}"/>
            </c:ext>
          </c:extLst>
        </c:ser>
        <c:ser>
          <c:idx val="1"/>
          <c:order val="1"/>
          <c:tx>
            <c:strRef>
              <c:f>'PMI Analysis'!$C$1</c:f>
              <c:strCache>
                <c:ptCount val="1"/>
                <c:pt idx="0">
                  <c:v>New Orders PMI</c:v>
                </c:pt>
              </c:strCache>
            </c:strRef>
          </c:tx>
          <c:spPr>
            <a:ln w="12700" cap="rnd">
              <a:solidFill>
                <a:schemeClr val="accent2"/>
              </a:solidFill>
              <a:round/>
            </a:ln>
            <a:effectLst/>
          </c:spPr>
          <c:marker>
            <c:symbol val="none"/>
          </c:marker>
          <c:cat>
            <c:numRef>
              <c:f>'PMI Analysis'!$A$2:$A$832</c:f>
              <c:numCache>
                <c:formatCode>m/d/yy</c:formatCode>
                <c:ptCount val="831"/>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numCache>
            </c:numRef>
          </c:cat>
          <c:val>
            <c:numRef>
              <c:f>'PMI Analysis'!$C$2:$C$833</c:f>
              <c:numCache>
                <c:formatCode>General</c:formatCode>
                <c:ptCount val="832"/>
                <c:pt idx="1">
                  <c:v>62.3</c:v>
                </c:pt>
                <c:pt idx="2">
                  <c:v>62.5</c:v>
                </c:pt>
                <c:pt idx="3">
                  <c:v>61.8</c:v>
                </c:pt>
                <c:pt idx="4">
                  <c:v>71</c:v>
                </c:pt>
                <c:pt idx="5">
                  <c:v>76.599999999999994</c:v>
                </c:pt>
                <c:pt idx="6">
                  <c:v>82.6</c:v>
                </c:pt>
                <c:pt idx="7">
                  <c:v>80.3</c:v>
                </c:pt>
                <c:pt idx="8">
                  <c:v>77.099999999999994</c:v>
                </c:pt>
                <c:pt idx="9">
                  <c:v>66.400000000000006</c:v>
                </c:pt>
                <c:pt idx="10">
                  <c:v>49</c:v>
                </c:pt>
                <c:pt idx="11">
                  <c:v>57.2</c:v>
                </c:pt>
                <c:pt idx="12">
                  <c:v>67.7</c:v>
                </c:pt>
                <c:pt idx="13">
                  <c:v>67.900000000000006</c:v>
                </c:pt>
                <c:pt idx="14">
                  <c:v>70</c:v>
                </c:pt>
                <c:pt idx="15">
                  <c:v>61</c:v>
                </c:pt>
                <c:pt idx="16">
                  <c:v>42.3</c:v>
                </c:pt>
                <c:pt idx="17">
                  <c:v>45.2</c:v>
                </c:pt>
                <c:pt idx="18">
                  <c:v>39.1</c:v>
                </c:pt>
                <c:pt idx="19">
                  <c:v>38.200000000000003</c:v>
                </c:pt>
                <c:pt idx="20">
                  <c:v>38.5</c:v>
                </c:pt>
                <c:pt idx="21">
                  <c:v>48.2</c:v>
                </c:pt>
                <c:pt idx="22">
                  <c:v>51.7</c:v>
                </c:pt>
                <c:pt idx="23">
                  <c:v>49.3</c:v>
                </c:pt>
                <c:pt idx="24">
                  <c:v>45.3</c:v>
                </c:pt>
                <c:pt idx="25">
                  <c:v>46.8</c:v>
                </c:pt>
                <c:pt idx="26">
                  <c:v>42.3</c:v>
                </c:pt>
                <c:pt idx="27">
                  <c:v>43.7</c:v>
                </c:pt>
                <c:pt idx="28">
                  <c:v>35.799999999999997</c:v>
                </c:pt>
                <c:pt idx="29">
                  <c:v>43.9</c:v>
                </c:pt>
                <c:pt idx="30">
                  <c:v>46.3</c:v>
                </c:pt>
                <c:pt idx="31">
                  <c:v>69.400000000000006</c:v>
                </c:pt>
                <c:pt idx="32">
                  <c:v>58.5</c:v>
                </c:pt>
                <c:pt idx="33">
                  <c:v>60.3</c:v>
                </c:pt>
                <c:pt idx="34">
                  <c:v>59.9</c:v>
                </c:pt>
                <c:pt idx="35">
                  <c:v>58.8</c:v>
                </c:pt>
                <c:pt idx="36">
                  <c:v>60.4</c:v>
                </c:pt>
                <c:pt idx="37">
                  <c:v>64.599999999999994</c:v>
                </c:pt>
                <c:pt idx="38">
                  <c:v>56</c:v>
                </c:pt>
                <c:pt idx="39">
                  <c:v>47.2</c:v>
                </c:pt>
                <c:pt idx="40">
                  <c:v>52</c:v>
                </c:pt>
                <c:pt idx="41">
                  <c:v>49.3</c:v>
                </c:pt>
                <c:pt idx="42">
                  <c:v>48.3</c:v>
                </c:pt>
                <c:pt idx="43">
                  <c:v>44.2</c:v>
                </c:pt>
                <c:pt idx="44">
                  <c:v>42.1</c:v>
                </c:pt>
                <c:pt idx="45">
                  <c:v>39.9</c:v>
                </c:pt>
                <c:pt idx="46">
                  <c:v>38</c:v>
                </c:pt>
                <c:pt idx="47">
                  <c:v>40.9</c:v>
                </c:pt>
                <c:pt idx="48">
                  <c:v>37.5</c:v>
                </c:pt>
                <c:pt idx="49">
                  <c:v>42.9</c:v>
                </c:pt>
                <c:pt idx="50">
                  <c:v>50.3</c:v>
                </c:pt>
                <c:pt idx="51">
                  <c:v>54.7</c:v>
                </c:pt>
                <c:pt idx="52">
                  <c:v>58.4</c:v>
                </c:pt>
                <c:pt idx="53">
                  <c:v>60.2</c:v>
                </c:pt>
                <c:pt idx="54">
                  <c:v>64.599999999999994</c:v>
                </c:pt>
                <c:pt idx="55">
                  <c:v>63.8</c:v>
                </c:pt>
                <c:pt idx="56">
                  <c:v>56.6</c:v>
                </c:pt>
                <c:pt idx="57">
                  <c:v>62.2</c:v>
                </c:pt>
                <c:pt idx="58">
                  <c:v>66.7</c:v>
                </c:pt>
                <c:pt idx="59">
                  <c:v>66</c:v>
                </c:pt>
                <c:pt idx="60">
                  <c:v>73.599999999999994</c:v>
                </c:pt>
                <c:pt idx="61">
                  <c:v>66.8</c:v>
                </c:pt>
                <c:pt idx="62">
                  <c:v>73.900000000000006</c:v>
                </c:pt>
                <c:pt idx="63">
                  <c:v>71.5</c:v>
                </c:pt>
                <c:pt idx="64">
                  <c:v>70.900000000000006</c:v>
                </c:pt>
                <c:pt idx="65">
                  <c:v>72.900000000000006</c:v>
                </c:pt>
                <c:pt idx="66">
                  <c:v>60.9</c:v>
                </c:pt>
                <c:pt idx="67">
                  <c:v>67.099999999999994</c:v>
                </c:pt>
                <c:pt idx="68">
                  <c:v>70.400000000000006</c:v>
                </c:pt>
                <c:pt idx="69">
                  <c:v>63.7</c:v>
                </c:pt>
                <c:pt idx="70">
                  <c:v>66.3</c:v>
                </c:pt>
                <c:pt idx="71">
                  <c:v>61.5</c:v>
                </c:pt>
                <c:pt idx="72">
                  <c:v>66.599999999999994</c:v>
                </c:pt>
                <c:pt idx="73">
                  <c:v>61.8</c:v>
                </c:pt>
                <c:pt idx="74">
                  <c:v>56.2</c:v>
                </c:pt>
                <c:pt idx="75">
                  <c:v>57.3</c:v>
                </c:pt>
                <c:pt idx="76">
                  <c:v>55.9</c:v>
                </c:pt>
                <c:pt idx="77">
                  <c:v>53</c:v>
                </c:pt>
                <c:pt idx="78">
                  <c:v>48.9</c:v>
                </c:pt>
                <c:pt idx="79">
                  <c:v>44.4</c:v>
                </c:pt>
                <c:pt idx="80">
                  <c:v>54.3</c:v>
                </c:pt>
                <c:pt idx="81">
                  <c:v>60.5</c:v>
                </c:pt>
                <c:pt idx="82">
                  <c:v>55.6</c:v>
                </c:pt>
                <c:pt idx="83">
                  <c:v>57</c:v>
                </c:pt>
                <c:pt idx="84">
                  <c:v>52.8</c:v>
                </c:pt>
                <c:pt idx="85">
                  <c:v>57.6</c:v>
                </c:pt>
                <c:pt idx="86">
                  <c:v>52.5</c:v>
                </c:pt>
                <c:pt idx="87">
                  <c:v>51.1</c:v>
                </c:pt>
                <c:pt idx="88">
                  <c:v>49.2</c:v>
                </c:pt>
                <c:pt idx="89">
                  <c:v>46.1</c:v>
                </c:pt>
                <c:pt idx="90">
                  <c:v>49.8</c:v>
                </c:pt>
                <c:pt idx="91">
                  <c:v>47.6</c:v>
                </c:pt>
                <c:pt idx="92">
                  <c:v>48.8</c:v>
                </c:pt>
                <c:pt idx="93">
                  <c:v>53.8</c:v>
                </c:pt>
                <c:pt idx="94">
                  <c:v>46.4</c:v>
                </c:pt>
                <c:pt idx="95">
                  <c:v>47.2</c:v>
                </c:pt>
                <c:pt idx="96">
                  <c:v>42.8</c:v>
                </c:pt>
                <c:pt idx="97">
                  <c:v>35.200000000000003</c:v>
                </c:pt>
                <c:pt idx="98">
                  <c:v>47.3</c:v>
                </c:pt>
                <c:pt idx="99">
                  <c:v>45.3</c:v>
                </c:pt>
                <c:pt idx="100">
                  <c:v>47.2</c:v>
                </c:pt>
                <c:pt idx="101">
                  <c:v>56.7</c:v>
                </c:pt>
                <c:pt idx="102">
                  <c:v>60.8</c:v>
                </c:pt>
                <c:pt idx="103">
                  <c:v>66.5</c:v>
                </c:pt>
                <c:pt idx="104">
                  <c:v>65.2</c:v>
                </c:pt>
                <c:pt idx="105">
                  <c:v>67</c:v>
                </c:pt>
                <c:pt idx="106">
                  <c:v>67.900000000000006</c:v>
                </c:pt>
                <c:pt idx="107">
                  <c:v>68.5</c:v>
                </c:pt>
                <c:pt idx="108">
                  <c:v>64.7</c:v>
                </c:pt>
                <c:pt idx="109">
                  <c:v>69</c:v>
                </c:pt>
                <c:pt idx="110">
                  <c:v>70.5</c:v>
                </c:pt>
                <c:pt idx="111">
                  <c:v>70.2</c:v>
                </c:pt>
                <c:pt idx="112">
                  <c:v>66.900000000000006</c:v>
                </c:pt>
                <c:pt idx="113">
                  <c:v>69.900000000000006</c:v>
                </c:pt>
                <c:pt idx="114">
                  <c:v>64.2</c:v>
                </c:pt>
                <c:pt idx="115">
                  <c:v>61.3</c:v>
                </c:pt>
                <c:pt idx="116">
                  <c:v>54.4</c:v>
                </c:pt>
                <c:pt idx="117">
                  <c:v>43.7</c:v>
                </c:pt>
                <c:pt idx="118">
                  <c:v>50</c:v>
                </c:pt>
                <c:pt idx="119">
                  <c:v>51.1</c:v>
                </c:pt>
                <c:pt idx="120">
                  <c:v>62.8</c:v>
                </c:pt>
                <c:pt idx="121">
                  <c:v>65.400000000000006</c:v>
                </c:pt>
                <c:pt idx="122">
                  <c:v>52.5</c:v>
                </c:pt>
                <c:pt idx="123">
                  <c:v>52.2</c:v>
                </c:pt>
                <c:pt idx="124">
                  <c:v>52</c:v>
                </c:pt>
                <c:pt idx="125">
                  <c:v>45.8</c:v>
                </c:pt>
                <c:pt idx="126">
                  <c:v>49.2</c:v>
                </c:pt>
                <c:pt idx="127">
                  <c:v>45.7</c:v>
                </c:pt>
                <c:pt idx="128">
                  <c:v>55.6</c:v>
                </c:pt>
                <c:pt idx="129">
                  <c:v>50.5</c:v>
                </c:pt>
                <c:pt idx="130">
                  <c:v>50.1</c:v>
                </c:pt>
                <c:pt idx="131">
                  <c:v>48.2</c:v>
                </c:pt>
                <c:pt idx="132">
                  <c:v>47.5</c:v>
                </c:pt>
                <c:pt idx="133">
                  <c:v>47.2</c:v>
                </c:pt>
                <c:pt idx="134">
                  <c:v>48.7</c:v>
                </c:pt>
                <c:pt idx="135">
                  <c:v>55.2</c:v>
                </c:pt>
                <c:pt idx="136">
                  <c:v>67.7</c:v>
                </c:pt>
                <c:pt idx="137">
                  <c:v>64.8</c:v>
                </c:pt>
                <c:pt idx="138">
                  <c:v>64</c:v>
                </c:pt>
                <c:pt idx="139">
                  <c:v>64.5</c:v>
                </c:pt>
                <c:pt idx="140">
                  <c:v>62.9</c:v>
                </c:pt>
                <c:pt idx="141">
                  <c:v>69.5</c:v>
                </c:pt>
                <c:pt idx="142">
                  <c:v>68.3</c:v>
                </c:pt>
                <c:pt idx="143">
                  <c:v>65.099999999999994</c:v>
                </c:pt>
                <c:pt idx="144">
                  <c:v>73.400000000000006</c:v>
                </c:pt>
                <c:pt idx="145">
                  <c:v>59.4</c:v>
                </c:pt>
                <c:pt idx="146">
                  <c:v>61.8</c:v>
                </c:pt>
                <c:pt idx="147">
                  <c:v>60.1</c:v>
                </c:pt>
                <c:pt idx="148">
                  <c:v>57.3</c:v>
                </c:pt>
                <c:pt idx="149">
                  <c:v>53.6</c:v>
                </c:pt>
                <c:pt idx="150">
                  <c:v>52.5</c:v>
                </c:pt>
                <c:pt idx="151">
                  <c:v>53.2</c:v>
                </c:pt>
                <c:pt idx="152">
                  <c:v>52.9</c:v>
                </c:pt>
                <c:pt idx="153">
                  <c:v>53</c:v>
                </c:pt>
                <c:pt idx="154">
                  <c:v>53.6</c:v>
                </c:pt>
                <c:pt idx="155">
                  <c:v>57.8</c:v>
                </c:pt>
                <c:pt idx="156">
                  <c:v>59.7</c:v>
                </c:pt>
                <c:pt idx="157">
                  <c:v>60.9</c:v>
                </c:pt>
                <c:pt idx="158">
                  <c:v>60.4</c:v>
                </c:pt>
                <c:pt idx="159">
                  <c:v>57.5</c:v>
                </c:pt>
                <c:pt idx="160">
                  <c:v>60.6</c:v>
                </c:pt>
                <c:pt idx="161">
                  <c:v>66.900000000000006</c:v>
                </c:pt>
                <c:pt idx="162">
                  <c:v>61.9</c:v>
                </c:pt>
                <c:pt idx="163">
                  <c:v>60.1</c:v>
                </c:pt>
                <c:pt idx="164">
                  <c:v>62</c:v>
                </c:pt>
                <c:pt idx="165">
                  <c:v>59.8</c:v>
                </c:pt>
                <c:pt idx="166">
                  <c:v>64</c:v>
                </c:pt>
                <c:pt idx="167">
                  <c:v>63.7</c:v>
                </c:pt>
                <c:pt idx="168">
                  <c:v>58.6</c:v>
                </c:pt>
                <c:pt idx="169">
                  <c:v>61.3</c:v>
                </c:pt>
                <c:pt idx="170">
                  <c:v>61.8</c:v>
                </c:pt>
                <c:pt idx="171">
                  <c:v>61.7</c:v>
                </c:pt>
                <c:pt idx="172">
                  <c:v>63.6</c:v>
                </c:pt>
                <c:pt idx="173">
                  <c:v>59.9</c:v>
                </c:pt>
                <c:pt idx="174">
                  <c:v>64.7</c:v>
                </c:pt>
                <c:pt idx="175">
                  <c:v>69.900000000000006</c:v>
                </c:pt>
                <c:pt idx="176">
                  <c:v>68</c:v>
                </c:pt>
                <c:pt idx="177">
                  <c:v>63.3</c:v>
                </c:pt>
                <c:pt idx="178">
                  <c:v>58.9</c:v>
                </c:pt>
                <c:pt idx="179">
                  <c:v>60.7</c:v>
                </c:pt>
                <c:pt idx="180">
                  <c:v>64.400000000000006</c:v>
                </c:pt>
                <c:pt idx="181">
                  <c:v>62.3</c:v>
                </c:pt>
                <c:pt idx="182">
                  <c:v>63.2</c:v>
                </c:pt>
                <c:pt idx="183">
                  <c:v>68.7</c:v>
                </c:pt>
                <c:pt idx="184">
                  <c:v>59.8</c:v>
                </c:pt>
                <c:pt idx="185">
                  <c:v>60.2</c:v>
                </c:pt>
                <c:pt idx="186">
                  <c:v>57.4</c:v>
                </c:pt>
                <c:pt idx="187">
                  <c:v>56.6</c:v>
                </c:pt>
                <c:pt idx="188">
                  <c:v>56</c:v>
                </c:pt>
                <c:pt idx="189">
                  <c:v>63.6</c:v>
                </c:pt>
                <c:pt idx="190">
                  <c:v>62</c:v>
                </c:pt>
                <c:pt idx="191">
                  <c:v>61.9</c:v>
                </c:pt>
                <c:pt idx="192">
                  <c:v>62.9</c:v>
                </c:pt>
                <c:pt idx="193">
                  <c:v>66.5</c:v>
                </c:pt>
                <c:pt idx="194">
                  <c:v>66.099999999999994</c:v>
                </c:pt>
                <c:pt idx="195">
                  <c:v>64.3</c:v>
                </c:pt>
                <c:pt idx="196">
                  <c:v>64.3</c:v>
                </c:pt>
                <c:pt idx="197">
                  <c:v>52.7</c:v>
                </c:pt>
                <c:pt idx="198">
                  <c:v>55.9</c:v>
                </c:pt>
                <c:pt idx="199">
                  <c:v>56.3</c:v>
                </c:pt>
                <c:pt idx="200">
                  <c:v>53.3</c:v>
                </c:pt>
                <c:pt idx="201">
                  <c:v>55.2</c:v>
                </c:pt>
                <c:pt idx="202">
                  <c:v>51.6</c:v>
                </c:pt>
                <c:pt idx="203">
                  <c:v>46.8</c:v>
                </c:pt>
                <c:pt idx="204">
                  <c:v>48.8</c:v>
                </c:pt>
                <c:pt idx="205">
                  <c:v>46.2</c:v>
                </c:pt>
                <c:pt idx="206">
                  <c:v>45.1</c:v>
                </c:pt>
                <c:pt idx="207">
                  <c:v>45.3</c:v>
                </c:pt>
                <c:pt idx="208">
                  <c:v>46.4</c:v>
                </c:pt>
                <c:pt idx="209">
                  <c:v>47.6</c:v>
                </c:pt>
                <c:pt idx="210">
                  <c:v>51.8</c:v>
                </c:pt>
                <c:pt idx="211">
                  <c:v>53.7</c:v>
                </c:pt>
                <c:pt idx="212">
                  <c:v>55.4</c:v>
                </c:pt>
                <c:pt idx="213">
                  <c:v>62</c:v>
                </c:pt>
                <c:pt idx="214">
                  <c:v>55.8</c:v>
                </c:pt>
                <c:pt idx="215">
                  <c:v>57</c:v>
                </c:pt>
                <c:pt idx="216">
                  <c:v>59.4</c:v>
                </c:pt>
                <c:pt idx="217">
                  <c:v>60.1</c:v>
                </c:pt>
                <c:pt idx="218">
                  <c:v>56.6</c:v>
                </c:pt>
                <c:pt idx="219">
                  <c:v>55.7</c:v>
                </c:pt>
                <c:pt idx="220">
                  <c:v>64.5</c:v>
                </c:pt>
                <c:pt idx="221">
                  <c:v>56.2</c:v>
                </c:pt>
                <c:pt idx="222">
                  <c:v>54.3</c:v>
                </c:pt>
                <c:pt idx="223">
                  <c:v>54.5</c:v>
                </c:pt>
                <c:pt idx="224">
                  <c:v>53.8</c:v>
                </c:pt>
                <c:pt idx="225">
                  <c:v>55.4</c:v>
                </c:pt>
                <c:pt idx="226">
                  <c:v>58.5</c:v>
                </c:pt>
                <c:pt idx="227">
                  <c:v>61.3</c:v>
                </c:pt>
                <c:pt idx="228">
                  <c:v>56.7</c:v>
                </c:pt>
                <c:pt idx="229">
                  <c:v>54.4</c:v>
                </c:pt>
                <c:pt idx="230">
                  <c:v>57.9</c:v>
                </c:pt>
                <c:pt idx="231">
                  <c:v>59.3</c:v>
                </c:pt>
                <c:pt idx="232">
                  <c:v>54.4</c:v>
                </c:pt>
                <c:pt idx="233">
                  <c:v>57.6</c:v>
                </c:pt>
                <c:pt idx="234">
                  <c:v>52.7</c:v>
                </c:pt>
                <c:pt idx="235">
                  <c:v>49.8</c:v>
                </c:pt>
                <c:pt idx="236">
                  <c:v>51.5</c:v>
                </c:pt>
                <c:pt idx="237">
                  <c:v>50.4</c:v>
                </c:pt>
                <c:pt idx="238">
                  <c:v>51.9</c:v>
                </c:pt>
                <c:pt idx="239">
                  <c:v>50.6</c:v>
                </c:pt>
                <c:pt idx="240">
                  <c:v>48</c:v>
                </c:pt>
                <c:pt idx="241">
                  <c:v>45.8</c:v>
                </c:pt>
                <c:pt idx="242">
                  <c:v>45.8</c:v>
                </c:pt>
                <c:pt idx="243">
                  <c:v>45.2</c:v>
                </c:pt>
                <c:pt idx="244">
                  <c:v>45.7</c:v>
                </c:pt>
                <c:pt idx="245">
                  <c:v>45.3</c:v>
                </c:pt>
                <c:pt idx="246">
                  <c:v>53.2</c:v>
                </c:pt>
                <c:pt idx="247">
                  <c:v>52.5</c:v>
                </c:pt>
                <c:pt idx="248">
                  <c:v>51.8</c:v>
                </c:pt>
                <c:pt idx="249">
                  <c:v>44.2</c:v>
                </c:pt>
                <c:pt idx="250">
                  <c:v>44.7</c:v>
                </c:pt>
                <c:pt idx="251">
                  <c:v>43.3</c:v>
                </c:pt>
                <c:pt idx="252">
                  <c:v>51.2</c:v>
                </c:pt>
                <c:pt idx="253">
                  <c:v>55.4</c:v>
                </c:pt>
                <c:pt idx="254">
                  <c:v>62.8</c:v>
                </c:pt>
                <c:pt idx="255">
                  <c:v>56.2</c:v>
                </c:pt>
                <c:pt idx="256">
                  <c:v>59.6</c:v>
                </c:pt>
                <c:pt idx="257">
                  <c:v>57</c:v>
                </c:pt>
                <c:pt idx="258">
                  <c:v>57.9</c:v>
                </c:pt>
                <c:pt idx="259">
                  <c:v>57.8</c:v>
                </c:pt>
                <c:pt idx="260">
                  <c:v>58.4</c:v>
                </c:pt>
                <c:pt idx="261">
                  <c:v>61</c:v>
                </c:pt>
                <c:pt idx="262">
                  <c:v>61.4</c:v>
                </c:pt>
                <c:pt idx="263">
                  <c:v>55.4</c:v>
                </c:pt>
                <c:pt idx="264">
                  <c:v>63.5</c:v>
                </c:pt>
                <c:pt idx="265">
                  <c:v>64.8</c:v>
                </c:pt>
                <c:pt idx="266">
                  <c:v>66</c:v>
                </c:pt>
                <c:pt idx="267">
                  <c:v>64.599999999999994</c:v>
                </c:pt>
                <c:pt idx="268">
                  <c:v>63</c:v>
                </c:pt>
                <c:pt idx="269">
                  <c:v>66.900000000000006</c:v>
                </c:pt>
                <c:pt idx="270">
                  <c:v>62.1</c:v>
                </c:pt>
                <c:pt idx="271">
                  <c:v>64.7</c:v>
                </c:pt>
                <c:pt idx="272">
                  <c:v>65.099999999999994</c:v>
                </c:pt>
                <c:pt idx="273">
                  <c:v>69.3</c:v>
                </c:pt>
                <c:pt idx="274">
                  <c:v>70.8</c:v>
                </c:pt>
                <c:pt idx="275">
                  <c:v>73</c:v>
                </c:pt>
                <c:pt idx="276">
                  <c:v>71.900000000000006</c:v>
                </c:pt>
                <c:pt idx="277">
                  <c:v>73.8</c:v>
                </c:pt>
                <c:pt idx="278">
                  <c:v>69</c:v>
                </c:pt>
                <c:pt idx="279">
                  <c:v>68.8</c:v>
                </c:pt>
                <c:pt idx="280">
                  <c:v>65.900000000000006</c:v>
                </c:pt>
                <c:pt idx="281">
                  <c:v>63.5</c:v>
                </c:pt>
                <c:pt idx="282">
                  <c:v>61</c:v>
                </c:pt>
                <c:pt idx="283">
                  <c:v>49.2</c:v>
                </c:pt>
                <c:pt idx="284">
                  <c:v>59.1</c:v>
                </c:pt>
                <c:pt idx="285">
                  <c:v>60</c:v>
                </c:pt>
                <c:pt idx="286">
                  <c:v>65.400000000000006</c:v>
                </c:pt>
                <c:pt idx="287">
                  <c:v>65.2</c:v>
                </c:pt>
                <c:pt idx="288">
                  <c:v>59</c:v>
                </c:pt>
                <c:pt idx="289">
                  <c:v>55.7</c:v>
                </c:pt>
                <c:pt idx="290">
                  <c:v>56</c:v>
                </c:pt>
                <c:pt idx="291">
                  <c:v>58</c:v>
                </c:pt>
                <c:pt idx="292">
                  <c:v>56.4</c:v>
                </c:pt>
                <c:pt idx="293">
                  <c:v>51.6</c:v>
                </c:pt>
                <c:pt idx="294">
                  <c:v>51.9</c:v>
                </c:pt>
                <c:pt idx="295">
                  <c:v>52.6</c:v>
                </c:pt>
                <c:pt idx="296">
                  <c:v>50.2</c:v>
                </c:pt>
                <c:pt idx="297">
                  <c:v>41.2</c:v>
                </c:pt>
                <c:pt idx="298">
                  <c:v>36.5</c:v>
                </c:pt>
                <c:pt idx="299">
                  <c:v>33.1</c:v>
                </c:pt>
                <c:pt idx="300">
                  <c:v>27.9</c:v>
                </c:pt>
                <c:pt idx="301">
                  <c:v>32.799999999999997</c:v>
                </c:pt>
                <c:pt idx="302">
                  <c:v>40</c:v>
                </c:pt>
                <c:pt idx="303">
                  <c:v>37</c:v>
                </c:pt>
                <c:pt idx="304">
                  <c:v>42.6</c:v>
                </c:pt>
                <c:pt idx="305">
                  <c:v>47.2</c:v>
                </c:pt>
                <c:pt idx="306">
                  <c:v>54.9</c:v>
                </c:pt>
                <c:pt idx="307">
                  <c:v>58.4</c:v>
                </c:pt>
                <c:pt idx="308">
                  <c:v>60.3</c:v>
                </c:pt>
                <c:pt idx="309">
                  <c:v>60.4</c:v>
                </c:pt>
                <c:pt idx="310">
                  <c:v>64.2</c:v>
                </c:pt>
                <c:pt idx="311">
                  <c:v>62.2</c:v>
                </c:pt>
                <c:pt idx="312">
                  <c:v>63.1</c:v>
                </c:pt>
                <c:pt idx="313">
                  <c:v>63.8</c:v>
                </c:pt>
                <c:pt idx="314">
                  <c:v>68.7</c:v>
                </c:pt>
                <c:pt idx="315">
                  <c:v>61.6</c:v>
                </c:pt>
                <c:pt idx="316">
                  <c:v>65.2</c:v>
                </c:pt>
                <c:pt idx="317">
                  <c:v>62.3</c:v>
                </c:pt>
                <c:pt idx="318">
                  <c:v>60.6</c:v>
                </c:pt>
                <c:pt idx="319">
                  <c:v>58</c:v>
                </c:pt>
                <c:pt idx="320">
                  <c:v>57.7</c:v>
                </c:pt>
                <c:pt idx="321">
                  <c:v>55.3</c:v>
                </c:pt>
                <c:pt idx="322">
                  <c:v>57</c:v>
                </c:pt>
                <c:pt idx="323">
                  <c:v>55.7</c:v>
                </c:pt>
                <c:pt idx="324">
                  <c:v>58.9</c:v>
                </c:pt>
                <c:pt idx="325">
                  <c:v>57.2</c:v>
                </c:pt>
                <c:pt idx="326">
                  <c:v>56.8</c:v>
                </c:pt>
                <c:pt idx="327">
                  <c:v>63.5</c:v>
                </c:pt>
                <c:pt idx="328">
                  <c:v>60.3</c:v>
                </c:pt>
                <c:pt idx="329">
                  <c:v>64.5</c:v>
                </c:pt>
                <c:pt idx="330">
                  <c:v>58.1</c:v>
                </c:pt>
                <c:pt idx="331">
                  <c:v>58.9</c:v>
                </c:pt>
                <c:pt idx="332">
                  <c:v>58.8</c:v>
                </c:pt>
                <c:pt idx="333">
                  <c:v>57</c:v>
                </c:pt>
                <c:pt idx="334">
                  <c:v>57.1</c:v>
                </c:pt>
                <c:pt idx="335">
                  <c:v>59.2</c:v>
                </c:pt>
                <c:pt idx="336">
                  <c:v>60.7</c:v>
                </c:pt>
                <c:pt idx="337">
                  <c:v>60.6</c:v>
                </c:pt>
                <c:pt idx="338">
                  <c:v>56.2</c:v>
                </c:pt>
                <c:pt idx="339">
                  <c:v>56.6</c:v>
                </c:pt>
                <c:pt idx="340">
                  <c:v>60.2</c:v>
                </c:pt>
                <c:pt idx="341">
                  <c:v>63.9</c:v>
                </c:pt>
                <c:pt idx="342">
                  <c:v>63.6</c:v>
                </c:pt>
                <c:pt idx="343">
                  <c:v>64.7</c:v>
                </c:pt>
                <c:pt idx="344">
                  <c:v>61.3</c:v>
                </c:pt>
                <c:pt idx="345">
                  <c:v>61.3</c:v>
                </c:pt>
                <c:pt idx="346">
                  <c:v>58.8</c:v>
                </c:pt>
                <c:pt idx="347">
                  <c:v>61.9</c:v>
                </c:pt>
                <c:pt idx="348">
                  <c:v>59.9</c:v>
                </c:pt>
                <c:pt idx="349">
                  <c:v>57.3</c:v>
                </c:pt>
                <c:pt idx="350">
                  <c:v>58.6</c:v>
                </c:pt>
                <c:pt idx="351">
                  <c:v>56.7</c:v>
                </c:pt>
                <c:pt idx="352">
                  <c:v>55.1</c:v>
                </c:pt>
                <c:pt idx="353">
                  <c:v>52.1</c:v>
                </c:pt>
                <c:pt idx="354">
                  <c:v>49.4</c:v>
                </c:pt>
                <c:pt idx="355">
                  <c:v>49.8</c:v>
                </c:pt>
                <c:pt idx="356">
                  <c:v>46.9</c:v>
                </c:pt>
                <c:pt idx="357">
                  <c:v>48.7</c:v>
                </c:pt>
                <c:pt idx="358">
                  <c:v>47.3</c:v>
                </c:pt>
                <c:pt idx="359">
                  <c:v>46.5</c:v>
                </c:pt>
                <c:pt idx="360">
                  <c:v>44.3</c:v>
                </c:pt>
                <c:pt idx="361">
                  <c:v>47.1</c:v>
                </c:pt>
                <c:pt idx="362">
                  <c:v>51.6</c:v>
                </c:pt>
                <c:pt idx="363">
                  <c:v>43.8</c:v>
                </c:pt>
                <c:pt idx="364">
                  <c:v>32</c:v>
                </c:pt>
                <c:pt idx="365">
                  <c:v>25.6</c:v>
                </c:pt>
                <c:pt idx="366">
                  <c:v>24.2</c:v>
                </c:pt>
                <c:pt idx="367">
                  <c:v>36.1</c:v>
                </c:pt>
                <c:pt idx="368">
                  <c:v>54.1</c:v>
                </c:pt>
                <c:pt idx="369">
                  <c:v>53.9</c:v>
                </c:pt>
                <c:pt idx="370">
                  <c:v>63.7</c:v>
                </c:pt>
                <c:pt idx="371">
                  <c:v>65.3</c:v>
                </c:pt>
                <c:pt idx="372">
                  <c:v>51.2</c:v>
                </c:pt>
                <c:pt idx="373">
                  <c:v>48.7</c:v>
                </c:pt>
                <c:pt idx="374">
                  <c:v>51.1</c:v>
                </c:pt>
                <c:pt idx="375">
                  <c:v>50.2</c:v>
                </c:pt>
                <c:pt idx="376">
                  <c:v>53.1</c:v>
                </c:pt>
                <c:pt idx="377">
                  <c:v>55.7</c:v>
                </c:pt>
                <c:pt idx="378">
                  <c:v>51</c:v>
                </c:pt>
                <c:pt idx="379">
                  <c:v>47.6</c:v>
                </c:pt>
                <c:pt idx="380">
                  <c:v>47.2</c:v>
                </c:pt>
                <c:pt idx="381">
                  <c:v>42.2</c:v>
                </c:pt>
                <c:pt idx="382">
                  <c:v>40.200000000000003</c:v>
                </c:pt>
                <c:pt idx="383">
                  <c:v>32.799999999999997</c:v>
                </c:pt>
                <c:pt idx="384">
                  <c:v>39.1</c:v>
                </c:pt>
                <c:pt idx="385">
                  <c:v>39.9</c:v>
                </c:pt>
                <c:pt idx="386">
                  <c:v>38.6</c:v>
                </c:pt>
                <c:pt idx="387">
                  <c:v>40.4</c:v>
                </c:pt>
                <c:pt idx="388">
                  <c:v>40.9</c:v>
                </c:pt>
                <c:pt idx="389">
                  <c:v>38.1</c:v>
                </c:pt>
                <c:pt idx="390">
                  <c:v>42</c:v>
                </c:pt>
                <c:pt idx="391">
                  <c:v>40.700000000000003</c:v>
                </c:pt>
                <c:pt idx="392">
                  <c:v>40.1</c:v>
                </c:pt>
                <c:pt idx="393">
                  <c:v>40.4</c:v>
                </c:pt>
                <c:pt idx="394">
                  <c:v>41.9</c:v>
                </c:pt>
                <c:pt idx="395">
                  <c:v>41.5</c:v>
                </c:pt>
                <c:pt idx="396">
                  <c:v>46</c:v>
                </c:pt>
                <c:pt idx="397">
                  <c:v>50.3</c:v>
                </c:pt>
                <c:pt idx="398">
                  <c:v>60.6</c:v>
                </c:pt>
                <c:pt idx="399">
                  <c:v>60.8</c:v>
                </c:pt>
                <c:pt idx="400">
                  <c:v>59.4</c:v>
                </c:pt>
                <c:pt idx="401">
                  <c:v>61.8</c:v>
                </c:pt>
                <c:pt idx="402">
                  <c:v>62.3</c:v>
                </c:pt>
                <c:pt idx="403">
                  <c:v>70.3</c:v>
                </c:pt>
                <c:pt idx="404">
                  <c:v>68.099999999999994</c:v>
                </c:pt>
                <c:pt idx="405">
                  <c:v>66.900000000000006</c:v>
                </c:pt>
                <c:pt idx="406">
                  <c:v>69.5</c:v>
                </c:pt>
                <c:pt idx="407">
                  <c:v>69.2</c:v>
                </c:pt>
                <c:pt idx="408">
                  <c:v>74.8</c:v>
                </c:pt>
                <c:pt idx="409">
                  <c:v>63.7</c:v>
                </c:pt>
                <c:pt idx="410">
                  <c:v>64.900000000000006</c:v>
                </c:pt>
                <c:pt idx="411">
                  <c:v>60.9</c:v>
                </c:pt>
                <c:pt idx="412">
                  <c:v>63.2</c:v>
                </c:pt>
                <c:pt idx="413">
                  <c:v>59.2</c:v>
                </c:pt>
                <c:pt idx="414">
                  <c:v>60.5</c:v>
                </c:pt>
                <c:pt idx="415">
                  <c:v>54.1</c:v>
                </c:pt>
                <c:pt idx="416">
                  <c:v>54</c:v>
                </c:pt>
                <c:pt idx="417">
                  <c:v>47.2</c:v>
                </c:pt>
                <c:pt idx="418">
                  <c:v>52.9</c:v>
                </c:pt>
                <c:pt idx="419">
                  <c:v>52</c:v>
                </c:pt>
                <c:pt idx="420">
                  <c:v>52.8</c:v>
                </c:pt>
                <c:pt idx="421">
                  <c:v>51.8</c:v>
                </c:pt>
                <c:pt idx="422">
                  <c:v>51.8</c:v>
                </c:pt>
                <c:pt idx="423">
                  <c:v>49.1</c:v>
                </c:pt>
                <c:pt idx="424">
                  <c:v>51.3</c:v>
                </c:pt>
                <c:pt idx="425">
                  <c:v>49.5</c:v>
                </c:pt>
                <c:pt idx="426">
                  <c:v>50.7</c:v>
                </c:pt>
                <c:pt idx="427">
                  <c:v>52.5</c:v>
                </c:pt>
                <c:pt idx="428">
                  <c:v>51.8</c:v>
                </c:pt>
                <c:pt idx="429">
                  <c:v>54.6</c:v>
                </c:pt>
                <c:pt idx="430">
                  <c:v>53.4</c:v>
                </c:pt>
                <c:pt idx="431">
                  <c:v>57.2</c:v>
                </c:pt>
                <c:pt idx="432">
                  <c:v>54.8</c:v>
                </c:pt>
                <c:pt idx="433">
                  <c:v>56.7</c:v>
                </c:pt>
                <c:pt idx="434">
                  <c:v>57.1</c:v>
                </c:pt>
                <c:pt idx="435">
                  <c:v>54.5</c:v>
                </c:pt>
                <c:pt idx="436">
                  <c:v>54.4</c:v>
                </c:pt>
                <c:pt idx="437">
                  <c:v>61.1</c:v>
                </c:pt>
                <c:pt idx="438">
                  <c:v>55.3</c:v>
                </c:pt>
                <c:pt idx="439">
                  <c:v>51.2</c:v>
                </c:pt>
                <c:pt idx="440">
                  <c:v>58.4</c:v>
                </c:pt>
                <c:pt idx="441">
                  <c:v>57.3</c:v>
                </c:pt>
                <c:pt idx="442">
                  <c:v>54.5</c:v>
                </c:pt>
                <c:pt idx="443">
                  <c:v>57</c:v>
                </c:pt>
                <c:pt idx="444">
                  <c:v>55.4</c:v>
                </c:pt>
                <c:pt idx="445">
                  <c:v>59.8</c:v>
                </c:pt>
                <c:pt idx="446">
                  <c:v>55.4</c:v>
                </c:pt>
                <c:pt idx="447">
                  <c:v>61.6</c:v>
                </c:pt>
                <c:pt idx="448">
                  <c:v>59.8</c:v>
                </c:pt>
                <c:pt idx="449">
                  <c:v>63.4</c:v>
                </c:pt>
                <c:pt idx="450">
                  <c:v>61.2</c:v>
                </c:pt>
                <c:pt idx="451">
                  <c:v>64</c:v>
                </c:pt>
                <c:pt idx="452">
                  <c:v>62.7</c:v>
                </c:pt>
                <c:pt idx="453">
                  <c:v>62.1</c:v>
                </c:pt>
                <c:pt idx="454">
                  <c:v>65.3</c:v>
                </c:pt>
                <c:pt idx="455">
                  <c:v>59.3</c:v>
                </c:pt>
                <c:pt idx="456">
                  <c:v>61.5</c:v>
                </c:pt>
                <c:pt idx="457">
                  <c:v>60.3</c:v>
                </c:pt>
                <c:pt idx="458">
                  <c:v>57</c:v>
                </c:pt>
                <c:pt idx="459">
                  <c:v>57.9</c:v>
                </c:pt>
                <c:pt idx="460">
                  <c:v>57.6</c:v>
                </c:pt>
                <c:pt idx="461">
                  <c:v>57.7</c:v>
                </c:pt>
                <c:pt idx="462">
                  <c:v>63.6</c:v>
                </c:pt>
                <c:pt idx="463">
                  <c:v>60.6</c:v>
                </c:pt>
                <c:pt idx="464">
                  <c:v>59.2</c:v>
                </c:pt>
                <c:pt idx="465">
                  <c:v>58.6</c:v>
                </c:pt>
                <c:pt idx="466">
                  <c:v>57.2</c:v>
                </c:pt>
                <c:pt idx="467">
                  <c:v>58.4</c:v>
                </c:pt>
                <c:pt idx="468">
                  <c:v>59</c:v>
                </c:pt>
                <c:pt idx="469">
                  <c:v>57.3</c:v>
                </c:pt>
                <c:pt idx="470">
                  <c:v>57.3</c:v>
                </c:pt>
                <c:pt idx="471">
                  <c:v>52</c:v>
                </c:pt>
                <c:pt idx="472">
                  <c:v>53.1</c:v>
                </c:pt>
                <c:pt idx="473">
                  <c:v>50.7</c:v>
                </c:pt>
                <c:pt idx="474">
                  <c:v>45.6</c:v>
                </c:pt>
                <c:pt idx="475">
                  <c:v>45.8</c:v>
                </c:pt>
                <c:pt idx="476">
                  <c:v>45.2</c:v>
                </c:pt>
                <c:pt idx="477">
                  <c:v>46</c:v>
                </c:pt>
                <c:pt idx="478">
                  <c:v>49.3</c:v>
                </c:pt>
                <c:pt idx="479">
                  <c:v>49.3</c:v>
                </c:pt>
                <c:pt idx="480">
                  <c:v>50.4</c:v>
                </c:pt>
                <c:pt idx="481">
                  <c:v>49.1</c:v>
                </c:pt>
                <c:pt idx="482">
                  <c:v>52.5</c:v>
                </c:pt>
                <c:pt idx="483">
                  <c:v>52.3</c:v>
                </c:pt>
                <c:pt idx="484">
                  <c:v>53.7</c:v>
                </c:pt>
                <c:pt idx="485">
                  <c:v>51.7</c:v>
                </c:pt>
                <c:pt idx="486">
                  <c:v>52</c:v>
                </c:pt>
                <c:pt idx="487">
                  <c:v>46.7</c:v>
                </c:pt>
                <c:pt idx="488">
                  <c:v>45.5</c:v>
                </c:pt>
                <c:pt idx="489">
                  <c:v>44.9</c:v>
                </c:pt>
                <c:pt idx="490">
                  <c:v>43.1</c:v>
                </c:pt>
                <c:pt idx="491">
                  <c:v>40.4</c:v>
                </c:pt>
                <c:pt idx="492">
                  <c:v>38.5</c:v>
                </c:pt>
                <c:pt idx="493">
                  <c:v>38.1</c:v>
                </c:pt>
                <c:pt idx="494">
                  <c:v>39.200000000000003</c:v>
                </c:pt>
                <c:pt idx="495">
                  <c:v>42.4</c:v>
                </c:pt>
                <c:pt idx="496">
                  <c:v>46.1</c:v>
                </c:pt>
                <c:pt idx="497">
                  <c:v>48.9</c:v>
                </c:pt>
                <c:pt idx="498">
                  <c:v>58.4</c:v>
                </c:pt>
                <c:pt idx="499">
                  <c:v>55.6</c:v>
                </c:pt>
                <c:pt idx="500">
                  <c:v>60.1</c:v>
                </c:pt>
                <c:pt idx="501">
                  <c:v>60.7</c:v>
                </c:pt>
                <c:pt idx="502">
                  <c:v>58</c:v>
                </c:pt>
                <c:pt idx="503">
                  <c:v>53.5</c:v>
                </c:pt>
                <c:pt idx="504">
                  <c:v>49.5</c:v>
                </c:pt>
                <c:pt idx="505">
                  <c:v>49.6</c:v>
                </c:pt>
                <c:pt idx="506">
                  <c:v>58.3</c:v>
                </c:pt>
                <c:pt idx="507">
                  <c:v>63.3</c:v>
                </c:pt>
                <c:pt idx="508">
                  <c:v>59.1</c:v>
                </c:pt>
                <c:pt idx="509">
                  <c:v>60.9</c:v>
                </c:pt>
                <c:pt idx="510">
                  <c:v>59.8</c:v>
                </c:pt>
                <c:pt idx="511">
                  <c:v>59.5</c:v>
                </c:pt>
                <c:pt idx="512">
                  <c:v>58.8</c:v>
                </c:pt>
                <c:pt idx="513">
                  <c:v>51.1</c:v>
                </c:pt>
                <c:pt idx="514">
                  <c:v>53.8</c:v>
                </c:pt>
                <c:pt idx="515">
                  <c:v>58.8</c:v>
                </c:pt>
                <c:pt idx="516">
                  <c:v>61</c:v>
                </c:pt>
                <c:pt idx="517">
                  <c:v>63</c:v>
                </c:pt>
                <c:pt idx="518">
                  <c:v>59.7</c:v>
                </c:pt>
                <c:pt idx="519">
                  <c:v>58.1</c:v>
                </c:pt>
                <c:pt idx="520">
                  <c:v>53</c:v>
                </c:pt>
                <c:pt idx="521">
                  <c:v>55.2</c:v>
                </c:pt>
                <c:pt idx="522">
                  <c:v>51.6</c:v>
                </c:pt>
                <c:pt idx="523">
                  <c:v>53.8</c:v>
                </c:pt>
                <c:pt idx="524">
                  <c:v>55.3</c:v>
                </c:pt>
                <c:pt idx="525">
                  <c:v>52.6</c:v>
                </c:pt>
                <c:pt idx="526">
                  <c:v>58.9</c:v>
                </c:pt>
                <c:pt idx="527">
                  <c:v>60.4</c:v>
                </c:pt>
                <c:pt idx="528">
                  <c:v>62.4</c:v>
                </c:pt>
                <c:pt idx="529">
                  <c:v>63.5</c:v>
                </c:pt>
                <c:pt idx="530">
                  <c:v>62.2</c:v>
                </c:pt>
                <c:pt idx="531">
                  <c:v>62.8</c:v>
                </c:pt>
                <c:pt idx="532">
                  <c:v>62.7</c:v>
                </c:pt>
                <c:pt idx="533">
                  <c:v>61.6</c:v>
                </c:pt>
                <c:pt idx="534">
                  <c:v>65</c:v>
                </c:pt>
                <c:pt idx="535">
                  <c:v>64.2</c:v>
                </c:pt>
                <c:pt idx="536">
                  <c:v>63</c:v>
                </c:pt>
                <c:pt idx="537">
                  <c:v>62.7</c:v>
                </c:pt>
                <c:pt idx="538">
                  <c:v>63</c:v>
                </c:pt>
                <c:pt idx="539">
                  <c:v>61.5</c:v>
                </c:pt>
                <c:pt idx="540">
                  <c:v>58.9</c:v>
                </c:pt>
                <c:pt idx="541">
                  <c:v>59.7</c:v>
                </c:pt>
                <c:pt idx="542">
                  <c:v>56.6</c:v>
                </c:pt>
                <c:pt idx="543">
                  <c:v>51.9</c:v>
                </c:pt>
                <c:pt idx="544">
                  <c:v>52.2</c:v>
                </c:pt>
                <c:pt idx="545">
                  <c:v>44</c:v>
                </c:pt>
                <c:pt idx="546">
                  <c:v>43.5</c:v>
                </c:pt>
                <c:pt idx="547">
                  <c:v>52.7</c:v>
                </c:pt>
                <c:pt idx="548">
                  <c:v>46.5</c:v>
                </c:pt>
                <c:pt idx="549">
                  <c:v>49.4</c:v>
                </c:pt>
                <c:pt idx="550">
                  <c:v>47.5</c:v>
                </c:pt>
                <c:pt idx="551">
                  <c:v>48.6</c:v>
                </c:pt>
                <c:pt idx="552">
                  <c:v>45.9</c:v>
                </c:pt>
                <c:pt idx="553">
                  <c:v>44.1</c:v>
                </c:pt>
                <c:pt idx="554">
                  <c:v>46.1</c:v>
                </c:pt>
                <c:pt idx="555">
                  <c:v>49.1</c:v>
                </c:pt>
                <c:pt idx="556">
                  <c:v>52.3</c:v>
                </c:pt>
                <c:pt idx="557">
                  <c:v>51.7</c:v>
                </c:pt>
                <c:pt idx="558">
                  <c:v>59.4</c:v>
                </c:pt>
                <c:pt idx="559">
                  <c:v>51.9</c:v>
                </c:pt>
                <c:pt idx="560">
                  <c:v>54.6</c:v>
                </c:pt>
                <c:pt idx="561">
                  <c:v>54.6</c:v>
                </c:pt>
                <c:pt idx="562">
                  <c:v>52.9</c:v>
                </c:pt>
                <c:pt idx="563">
                  <c:v>56.9</c:v>
                </c:pt>
                <c:pt idx="564">
                  <c:v>61.7</c:v>
                </c:pt>
                <c:pt idx="565">
                  <c:v>57</c:v>
                </c:pt>
                <c:pt idx="566">
                  <c:v>57.6</c:v>
                </c:pt>
                <c:pt idx="567">
                  <c:v>58.6</c:v>
                </c:pt>
                <c:pt idx="568">
                  <c:v>56.6</c:v>
                </c:pt>
                <c:pt idx="569">
                  <c:v>62.3</c:v>
                </c:pt>
                <c:pt idx="570">
                  <c:v>59.4</c:v>
                </c:pt>
                <c:pt idx="571">
                  <c:v>61.3</c:v>
                </c:pt>
                <c:pt idx="572">
                  <c:v>60.3</c:v>
                </c:pt>
                <c:pt idx="573">
                  <c:v>55.4</c:v>
                </c:pt>
                <c:pt idx="574">
                  <c:v>60.9</c:v>
                </c:pt>
                <c:pt idx="575">
                  <c:v>57.4</c:v>
                </c:pt>
                <c:pt idx="576">
                  <c:v>57.2</c:v>
                </c:pt>
                <c:pt idx="577">
                  <c:v>57.1</c:v>
                </c:pt>
                <c:pt idx="578">
                  <c:v>54.6</c:v>
                </c:pt>
                <c:pt idx="579">
                  <c:v>54.9</c:v>
                </c:pt>
                <c:pt idx="580">
                  <c:v>55.3</c:v>
                </c:pt>
                <c:pt idx="581">
                  <c:v>51.5</c:v>
                </c:pt>
                <c:pt idx="582">
                  <c:v>50.2</c:v>
                </c:pt>
                <c:pt idx="583">
                  <c:v>51.8</c:v>
                </c:pt>
                <c:pt idx="584">
                  <c:v>50.9</c:v>
                </c:pt>
                <c:pt idx="585">
                  <c:v>49.4</c:v>
                </c:pt>
                <c:pt idx="586">
                  <c:v>48</c:v>
                </c:pt>
                <c:pt idx="587">
                  <c:v>48.3</c:v>
                </c:pt>
                <c:pt idx="588">
                  <c:v>49.7</c:v>
                </c:pt>
                <c:pt idx="589">
                  <c:v>52.4</c:v>
                </c:pt>
                <c:pt idx="590">
                  <c:v>55</c:v>
                </c:pt>
                <c:pt idx="591">
                  <c:v>55.9</c:v>
                </c:pt>
                <c:pt idx="592">
                  <c:v>54</c:v>
                </c:pt>
                <c:pt idx="593">
                  <c:v>57.8</c:v>
                </c:pt>
                <c:pt idx="594">
                  <c:v>59.4</c:v>
                </c:pt>
                <c:pt idx="595">
                  <c:v>54.6</c:v>
                </c:pt>
                <c:pt idx="596">
                  <c:v>57.5</c:v>
                </c:pt>
                <c:pt idx="597">
                  <c:v>63.5</c:v>
                </c:pt>
                <c:pt idx="598">
                  <c:v>61.3</c:v>
                </c:pt>
                <c:pt idx="599">
                  <c:v>63.1</c:v>
                </c:pt>
                <c:pt idx="600">
                  <c:v>60.3</c:v>
                </c:pt>
                <c:pt idx="601">
                  <c:v>60.4</c:v>
                </c:pt>
                <c:pt idx="602">
                  <c:v>58.7</c:v>
                </c:pt>
                <c:pt idx="603">
                  <c:v>56.2</c:v>
                </c:pt>
                <c:pt idx="604">
                  <c:v>55.4</c:v>
                </c:pt>
                <c:pt idx="605">
                  <c:v>51.5</c:v>
                </c:pt>
                <c:pt idx="606">
                  <c:v>50</c:v>
                </c:pt>
                <c:pt idx="607">
                  <c:v>52</c:v>
                </c:pt>
                <c:pt idx="608">
                  <c:v>50</c:v>
                </c:pt>
                <c:pt idx="609">
                  <c:v>48.9</c:v>
                </c:pt>
                <c:pt idx="610">
                  <c:v>48.4</c:v>
                </c:pt>
                <c:pt idx="611">
                  <c:v>49.1</c:v>
                </c:pt>
                <c:pt idx="612">
                  <c:v>42.1</c:v>
                </c:pt>
                <c:pt idx="613">
                  <c:v>38.4</c:v>
                </c:pt>
                <c:pt idx="614">
                  <c:v>39.9</c:v>
                </c:pt>
                <c:pt idx="615">
                  <c:v>41.5</c:v>
                </c:pt>
                <c:pt idx="616">
                  <c:v>45.5</c:v>
                </c:pt>
                <c:pt idx="617">
                  <c:v>44.9</c:v>
                </c:pt>
                <c:pt idx="618">
                  <c:v>47.8</c:v>
                </c:pt>
                <c:pt idx="619">
                  <c:v>49.2</c:v>
                </c:pt>
                <c:pt idx="620">
                  <c:v>54.3</c:v>
                </c:pt>
                <c:pt idx="621">
                  <c:v>51.3</c:v>
                </c:pt>
                <c:pt idx="622">
                  <c:v>38.9</c:v>
                </c:pt>
                <c:pt idx="623">
                  <c:v>49.1</c:v>
                </c:pt>
                <c:pt idx="624">
                  <c:v>51.4</c:v>
                </c:pt>
                <c:pt idx="625">
                  <c:v>55.2</c:v>
                </c:pt>
                <c:pt idx="626">
                  <c:v>60.7</c:v>
                </c:pt>
                <c:pt idx="627">
                  <c:v>63.8</c:v>
                </c:pt>
                <c:pt idx="628">
                  <c:v>59.9</c:v>
                </c:pt>
                <c:pt idx="629">
                  <c:v>61.8</c:v>
                </c:pt>
                <c:pt idx="630">
                  <c:v>61.2</c:v>
                </c:pt>
                <c:pt idx="631">
                  <c:v>51.9</c:v>
                </c:pt>
                <c:pt idx="632">
                  <c:v>50.6</c:v>
                </c:pt>
                <c:pt idx="633">
                  <c:v>52.9</c:v>
                </c:pt>
                <c:pt idx="634">
                  <c:v>52.1</c:v>
                </c:pt>
                <c:pt idx="635">
                  <c:v>49.9</c:v>
                </c:pt>
                <c:pt idx="636">
                  <c:v>58.7</c:v>
                </c:pt>
                <c:pt idx="637">
                  <c:v>58.2</c:v>
                </c:pt>
                <c:pt idx="638">
                  <c:v>51.9</c:v>
                </c:pt>
                <c:pt idx="639">
                  <c:v>47.2</c:v>
                </c:pt>
                <c:pt idx="640">
                  <c:v>47.2</c:v>
                </c:pt>
                <c:pt idx="641">
                  <c:v>53.4</c:v>
                </c:pt>
                <c:pt idx="642">
                  <c:v>53.6</c:v>
                </c:pt>
                <c:pt idx="643">
                  <c:v>56.8</c:v>
                </c:pt>
                <c:pt idx="644">
                  <c:v>61.1</c:v>
                </c:pt>
                <c:pt idx="645">
                  <c:v>60.8</c:v>
                </c:pt>
                <c:pt idx="646">
                  <c:v>64.400000000000006</c:v>
                </c:pt>
                <c:pt idx="647">
                  <c:v>69.099999999999994</c:v>
                </c:pt>
                <c:pt idx="648">
                  <c:v>71.3</c:v>
                </c:pt>
                <c:pt idx="649">
                  <c:v>70.599999999999994</c:v>
                </c:pt>
                <c:pt idx="650">
                  <c:v>66.5</c:v>
                </c:pt>
                <c:pt idx="651">
                  <c:v>64.599999999999994</c:v>
                </c:pt>
                <c:pt idx="652">
                  <c:v>67.099999999999994</c:v>
                </c:pt>
                <c:pt idx="653">
                  <c:v>64.5</c:v>
                </c:pt>
                <c:pt idx="654">
                  <c:v>60.9</c:v>
                </c:pt>
                <c:pt idx="655">
                  <c:v>62.8</c:v>
                </c:pt>
                <c:pt idx="656">
                  <c:v>62.1</c:v>
                </c:pt>
                <c:pt idx="657">
                  <c:v>57.7</c:v>
                </c:pt>
                <c:pt idx="658">
                  <c:v>58.4</c:v>
                </c:pt>
                <c:pt idx="659">
                  <c:v>60.1</c:v>
                </c:pt>
                <c:pt idx="660">
                  <c:v>66.3</c:v>
                </c:pt>
                <c:pt idx="661">
                  <c:v>57.9</c:v>
                </c:pt>
                <c:pt idx="662">
                  <c:v>55.9</c:v>
                </c:pt>
                <c:pt idx="663">
                  <c:v>57.7</c:v>
                </c:pt>
                <c:pt idx="664">
                  <c:v>53.4</c:v>
                </c:pt>
                <c:pt idx="665">
                  <c:v>51.8</c:v>
                </c:pt>
                <c:pt idx="666">
                  <c:v>55.7</c:v>
                </c:pt>
                <c:pt idx="667">
                  <c:v>57.2</c:v>
                </c:pt>
                <c:pt idx="668">
                  <c:v>57.8</c:v>
                </c:pt>
                <c:pt idx="669">
                  <c:v>60.9</c:v>
                </c:pt>
                <c:pt idx="670">
                  <c:v>61.4</c:v>
                </c:pt>
                <c:pt idx="671">
                  <c:v>61.2</c:v>
                </c:pt>
                <c:pt idx="672">
                  <c:v>60.1</c:v>
                </c:pt>
                <c:pt idx="673">
                  <c:v>58.9</c:v>
                </c:pt>
                <c:pt idx="674">
                  <c:v>61</c:v>
                </c:pt>
                <c:pt idx="675">
                  <c:v>57</c:v>
                </c:pt>
                <c:pt idx="676">
                  <c:v>55.7</c:v>
                </c:pt>
                <c:pt idx="677">
                  <c:v>54.9</c:v>
                </c:pt>
                <c:pt idx="678">
                  <c:v>55</c:v>
                </c:pt>
                <c:pt idx="679">
                  <c:v>55.8</c:v>
                </c:pt>
                <c:pt idx="680">
                  <c:v>55.3</c:v>
                </c:pt>
                <c:pt idx="681">
                  <c:v>54.8</c:v>
                </c:pt>
                <c:pt idx="682">
                  <c:v>54.1</c:v>
                </c:pt>
                <c:pt idx="683">
                  <c:v>50.8</c:v>
                </c:pt>
                <c:pt idx="684">
                  <c:v>51.4</c:v>
                </c:pt>
                <c:pt idx="685">
                  <c:v>52.2</c:v>
                </c:pt>
                <c:pt idx="686">
                  <c:v>55.1</c:v>
                </c:pt>
                <c:pt idx="687">
                  <c:v>50.2</c:v>
                </c:pt>
                <c:pt idx="688">
                  <c:v>57.4</c:v>
                </c:pt>
                <c:pt idx="689">
                  <c:v>58.6</c:v>
                </c:pt>
                <c:pt idx="690">
                  <c:v>57.7</c:v>
                </c:pt>
                <c:pt idx="691">
                  <c:v>58.6</c:v>
                </c:pt>
                <c:pt idx="692">
                  <c:v>54.4</c:v>
                </c:pt>
                <c:pt idx="693">
                  <c:v>54.4</c:v>
                </c:pt>
                <c:pt idx="694">
                  <c:v>56.4</c:v>
                </c:pt>
                <c:pt idx="695">
                  <c:v>52.4</c:v>
                </c:pt>
                <c:pt idx="696">
                  <c:v>46.5</c:v>
                </c:pt>
                <c:pt idx="697">
                  <c:v>48</c:v>
                </c:pt>
                <c:pt idx="698">
                  <c:v>46.4</c:v>
                </c:pt>
                <c:pt idx="699">
                  <c:v>45.6</c:v>
                </c:pt>
                <c:pt idx="700">
                  <c:v>46.5</c:v>
                </c:pt>
                <c:pt idx="701">
                  <c:v>48.5</c:v>
                </c:pt>
                <c:pt idx="702">
                  <c:v>49.7</c:v>
                </c:pt>
                <c:pt idx="703">
                  <c:v>47</c:v>
                </c:pt>
                <c:pt idx="704">
                  <c:v>46.7</c:v>
                </c:pt>
                <c:pt idx="705">
                  <c:v>41.8</c:v>
                </c:pt>
                <c:pt idx="706">
                  <c:v>33.200000000000003</c:v>
                </c:pt>
                <c:pt idx="707">
                  <c:v>27.6</c:v>
                </c:pt>
                <c:pt idx="708">
                  <c:v>23.2</c:v>
                </c:pt>
                <c:pt idx="709">
                  <c:v>31.8</c:v>
                </c:pt>
                <c:pt idx="710">
                  <c:v>32.799999999999997</c:v>
                </c:pt>
                <c:pt idx="711">
                  <c:v>40.299999999999997</c:v>
                </c:pt>
                <c:pt idx="712">
                  <c:v>46.5</c:v>
                </c:pt>
                <c:pt idx="713">
                  <c:v>49</c:v>
                </c:pt>
                <c:pt idx="714">
                  <c:v>51.7</c:v>
                </c:pt>
                <c:pt idx="715">
                  <c:v>57.6</c:v>
                </c:pt>
                <c:pt idx="716">
                  <c:v>66.599999999999994</c:v>
                </c:pt>
                <c:pt idx="717">
                  <c:v>63.3</c:v>
                </c:pt>
                <c:pt idx="718">
                  <c:v>59.9</c:v>
                </c:pt>
                <c:pt idx="719">
                  <c:v>60.6</c:v>
                </c:pt>
                <c:pt idx="720">
                  <c:v>63</c:v>
                </c:pt>
                <c:pt idx="721">
                  <c:v>62.9</c:v>
                </c:pt>
                <c:pt idx="722">
                  <c:v>57.1</c:v>
                </c:pt>
                <c:pt idx="723">
                  <c:v>61.4</c:v>
                </c:pt>
                <c:pt idx="724">
                  <c:v>62.4</c:v>
                </c:pt>
                <c:pt idx="725">
                  <c:v>63.1</c:v>
                </c:pt>
                <c:pt idx="726">
                  <c:v>60</c:v>
                </c:pt>
                <c:pt idx="727">
                  <c:v>57</c:v>
                </c:pt>
                <c:pt idx="728">
                  <c:v>56.9</c:v>
                </c:pt>
                <c:pt idx="729">
                  <c:v>53.5</c:v>
                </c:pt>
                <c:pt idx="730">
                  <c:v>59.5</c:v>
                </c:pt>
                <c:pt idx="731">
                  <c:v>57.9</c:v>
                </c:pt>
                <c:pt idx="732">
                  <c:v>59.8</c:v>
                </c:pt>
                <c:pt idx="733">
                  <c:v>62.5</c:v>
                </c:pt>
                <c:pt idx="734">
                  <c:v>61.9</c:v>
                </c:pt>
                <c:pt idx="735">
                  <c:v>61.9</c:v>
                </c:pt>
                <c:pt idx="736">
                  <c:v>60.4</c:v>
                </c:pt>
                <c:pt idx="737">
                  <c:v>52.4</c:v>
                </c:pt>
                <c:pt idx="738">
                  <c:v>55.7</c:v>
                </c:pt>
                <c:pt idx="739">
                  <c:v>54.9</c:v>
                </c:pt>
                <c:pt idx="740">
                  <c:v>52.1</c:v>
                </c:pt>
                <c:pt idx="741">
                  <c:v>51.6</c:v>
                </c:pt>
                <c:pt idx="742">
                  <c:v>52.4</c:v>
                </c:pt>
                <c:pt idx="743">
                  <c:v>55.2</c:v>
                </c:pt>
                <c:pt idx="744">
                  <c:v>55.4</c:v>
                </c:pt>
                <c:pt idx="745">
                  <c:v>55.2</c:v>
                </c:pt>
                <c:pt idx="746">
                  <c:v>55.2</c:v>
                </c:pt>
                <c:pt idx="747">
                  <c:v>55.5</c:v>
                </c:pt>
                <c:pt idx="748">
                  <c:v>55.8</c:v>
                </c:pt>
                <c:pt idx="749">
                  <c:v>57.1</c:v>
                </c:pt>
                <c:pt idx="750">
                  <c:v>51.3</c:v>
                </c:pt>
                <c:pt idx="751">
                  <c:v>50.3</c:v>
                </c:pt>
                <c:pt idx="752">
                  <c:v>49.6</c:v>
                </c:pt>
                <c:pt idx="753">
                  <c:v>53.5</c:v>
                </c:pt>
                <c:pt idx="754">
                  <c:v>51.8</c:v>
                </c:pt>
                <c:pt idx="755">
                  <c:v>51.4</c:v>
                </c:pt>
                <c:pt idx="756">
                  <c:v>50.1</c:v>
                </c:pt>
                <c:pt idx="757">
                  <c:v>50.8</c:v>
                </c:pt>
                <c:pt idx="758">
                  <c:v>55.7</c:v>
                </c:pt>
                <c:pt idx="759">
                  <c:v>51.7</c:v>
                </c:pt>
                <c:pt idx="760">
                  <c:v>49.7</c:v>
                </c:pt>
                <c:pt idx="761">
                  <c:v>49.6</c:v>
                </c:pt>
                <c:pt idx="762">
                  <c:v>55.7</c:v>
                </c:pt>
                <c:pt idx="763">
                  <c:v>59.1</c:v>
                </c:pt>
                <c:pt idx="764">
                  <c:v>63.6</c:v>
                </c:pt>
                <c:pt idx="765">
                  <c:v>61.3</c:v>
                </c:pt>
                <c:pt idx="766">
                  <c:v>61.3</c:v>
                </c:pt>
                <c:pt idx="767">
                  <c:v>63.4</c:v>
                </c:pt>
                <c:pt idx="768">
                  <c:v>64.400000000000006</c:v>
                </c:pt>
                <c:pt idx="769">
                  <c:v>51.2</c:v>
                </c:pt>
                <c:pt idx="770">
                  <c:v>54.5</c:v>
                </c:pt>
                <c:pt idx="771">
                  <c:v>55.1</c:v>
                </c:pt>
                <c:pt idx="772">
                  <c:v>55.1</c:v>
                </c:pt>
                <c:pt idx="773">
                  <c:v>56.9</c:v>
                </c:pt>
                <c:pt idx="774">
                  <c:v>58.9</c:v>
                </c:pt>
                <c:pt idx="775">
                  <c:v>63.4</c:v>
                </c:pt>
                <c:pt idx="776">
                  <c:v>66.7</c:v>
                </c:pt>
                <c:pt idx="777">
                  <c:v>60</c:v>
                </c:pt>
                <c:pt idx="778">
                  <c:v>65.8</c:v>
                </c:pt>
                <c:pt idx="779">
                  <c:v>66</c:v>
                </c:pt>
                <c:pt idx="780">
                  <c:v>57.3</c:v>
                </c:pt>
                <c:pt idx="781">
                  <c:v>52.9</c:v>
                </c:pt>
                <c:pt idx="782">
                  <c:v>52.5</c:v>
                </c:pt>
                <c:pt idx="783">
                  <c:v>51.8</c:v>
                </c:pt>
                <c:pt idx="784">
                  <c:v>53.5</c:v>
                </c:pt>
                <c:pt idx="785">
                  <c:v>55.8</c:v>
                </c:pt>
                <c:pt idx="786">
                  <c:v>56</c:v>
                </c:pt>
                <c:pt idx="787">
                  <c:v>56.5</c:v>
                </c:pt>
                <c:pt idx="788">
                  <c:v>51.7</c:v>
                </c:pt>
                <c:pt idx="789">
                  <c:v>50.1</c:v>
                </c:pt>
                <c:pt idx="790">
                  <c:v>50.8</c:v>
                </c:pt>
                <c:pt idx="791">
                  <c:v>49</c:v>
                </c:pt>
                <c:pt idx="792">
                  <c:v>48.8</c:v>
                </c:pt>
                <c:pt idx="793">
                  <c:v>51.5</c:v>
                </c:pt>
                <c:pt idx="794">
                  <c:v>51.5</c:v>
                </c:pt>
                <c:pt idx="795">
                  <c:v>58.3</c:v>
                </c:pt>
                <c:pt idx="796">
                  <c:v>55.8</c:v>
                </c:pt>
                <c:pt idx="797">
                  <c:v>55.7</c:v>
                </c:pt>
                <c:pt idx="798">
                  <c:v>57</c:v>
                </c:pt>
                <c:pt idx="799">
                  <c:v>56.9</c:v>
                </c:pt>
                <c:pt idx="800">
                  <c:v>49.1</c:v>
                </c:pt>
                <c:pt idx="801">
                  <c:v>55.1</c:v>
                </c:pt>
                <c:pt idx="802">
                  <c:v>52.1</c:v>
                </c:pt>
                <c:pt idx="803">
                  <c:v>54.8</c:v>
                </c:pt>
                <c:pt idx="804">
                  <c:v>60.3</c:v>
                </c:pt>
                <c:pt idx="805">
                  <c:v>60.4</c:v>
                </c:pt>
                <c:pt idx="806">
                  <c:v>65.099999999999994</c:v>
                </c:pt>
                <c:pt idx="807">
                  <c:v>64.5</c:v>
                </c:pt>
                <c:pt idx="808">
                  <c:v>57.5</c:v>
                </c:pt>
                <c:pt idx="809">
                  <c:v>59.5</c:v>
                </c:pt>
                <c:pt idx="810">
                  <c:v>63.5</c:v>
                </c:pt>
                <c:pt idx="811">
                  <c:v>60.4</c:v>
                </c:pt>
                <c:pt idx="812">
                  <c:v>60.3</c:v>
                </c:pt>
                <c:pt idx="813">
                  <c:v>64.599999999999994</c:v>
                </c:pt>
                <c:pt idx="814">
                  <c:v>63.5</c:v>
                </c:pt>
                <c:pt idx="815">
                  <c:v>63.9</c:v>
                </c:pt>
                <c:pt idx="816">
                  <c:v>67.400000000000006</c:v>
                </c:pt>
                <c:pt idx="817">
                  <c:v>65.400000000000006</c:v>
                </c:pt>
                <c:pt idx="818">
                  <c:v>64.2</c:v>
                </c:pt>
                <c:pt idx="819">
                  <c:v>61.9</c:v>
                </c:pt>
                <c:pt idx="820">
                  <c:v>61.2</c:v>
                </c:pt>
                <c:pt idx="821">
                  <c:v>63.7</c:v>
                </c:pt>
                <c:pt idx="822">
                  <c:v>63.5</c:v>
                </c:pt>
                <c:pt idx="823">
                  <c:v>60.2</c:v>
                </c:pt>
                <c:pt idx="824">
                  <c:v>65.099999999999994</c:v>
                </c:pt>
                <c:pt idx="825">
                  <c:v>61.8</c:v>
                </c:pt>
                <c:pt idx="826">
                  <c:v>58</c:v>
                </c:pt>
                <c:pt idx="827">
                  <c:v>61.8</c:v>
                </c:pt>
                <c:pt idx="828">
                  <c:v>51.3</c:v>
                </c:pt>
                <c:pt idx="829">
                  <c:v>58.2</c:v>
                </c:pt>
                <c:pt idx="830">
                  <c:v>55.5</c:v>
                </c:pt>
                <c:pt idx="831">
                  <c:v>57.4</c:v>
                </c:pt>
              </c:numCache>
            </c:numRef>
          </c:val>
          <c:smooth val="0"/>
          <c:extLst>
            <c:ext xmlns:c16="http://schemas.microsoft.com/office/drawing/2014/chart" uri="{C3380CC4-5D6E-409C-BE32-E72D297353CC}">
              <c16:uniqueId val="{00000001-904C-AC4C-8102-529833850235}"/>
            </c:ext>
          </c:extLst>
        </c:ser>
        <c:ser>
          <c:idx val="2"/>
          <c:order val="2"/>
          <c:tx>
            <c:strRef>
              <c:f>'PMI Analysis'!$D$1</c:f>
              <c:strCache>
                <c:ptCount val="1"/>
                <c:pt idx="0">
                  <c:v>Employment Forecast PMI</c:v>
                </c:pt>
              </c:strCache>
            </c:strRef>
          </c:tx>
          <c:spPr>
            <a:ln w="12700" cap="rnd">
              <a:solidFill>
                <a:schemeClr val="accent3"/>
              </a:solidFill>
              <a:round/>
            </a:ln>
            <a:effectLst/>
          </c:spPr>
          <c:marker>
            <c:symbol val="none"/>
          </c:marker>
          <c:cat>
            <c:numRef>
              <c:f>'PMI Analysis'!$A$2:$A$832</c:f>
              <c:numCache>
                <c:formatCode>m/d/yy</c:formatCode>
                <c:ptCount val="831"/>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numCache>
            </c:numRef>
          </c:cat>
          <c:val>
            <c:numRef>
              <c:f>'PMI Analysis'!$D$2:$D$833</c:f>
              <c:numCache>
                <c:formatCode>General</c:formatCode>
                <c:ptCount val="832"/>
                <c:pt idx="1">
                  <c:v>57.7</c:v>
                </c:pt>
                <c:pt idx="2">
                  <c:v>51.1</c:v>
                </c:pt>
                <c:pt idx="3">
                  <c:v>56.9</c:v>
                </c:pt>
                <c:pt idx="4">
                  <c:v>63.4</c:v>
                </c:pt>
                <c:pt idx="5">
                  <c:v>69.8</c:v>
                </c:pt>
                <c:pt idx="6">
                  <c:v>71.900000000000006</c:v>
                </c:pt>
                <c:pt idx="7">
                  <c:v>72.5</c:v>
                </c:pt>
                <c:pt idx="8">
                  <c:v>72.3</c:v>
                </c:pt>
                <c:pt idx="9">
                  <c:v>72.2</c:v>
                </c:pt>
                <c:pt idx="10">
                  <c:v>65.599999999999994</c:v>
                </c:pt>
                <c:pt idx="11">
                  <c:v>66.7</c:v>
                </c:pt>
                <c:pt idx="12">
                  <c:v>65.099999999999994</c:v>
                </c:pt>
                <c:pt idx="13">
                  <c:v>67.8</c:v>
                </c:pt>
                <c:pt idx="14">
                  <c:v>73.7</c:v>
                </c:pt>
                <c:pt idx="15">
                  <c:v>72</c:v>
                </c:pt>
                <c:pt idx="16">
                  <c:v>61.9</c:v>
                </c:pt>
                <c:pt idx="17">
                  <c:v>58.8</c:v>
                </c:pt>
                <c:pt idx="18">
                  <c:v>56.4</c:v>
                </c:pt>
                <c:pt idx="19">
                  <c:v>53.2</c:v>
                </c:pt>
                <c:pt idx="20">
                  <c:v>51.7</c:v>
                </c:pt>
                <c:pt idx="21">
                  <c:v>48.6</c:v>
                </c:pt>
                <c:pt idx="22">
                  <c:v>51.1</c:v>
                </c:pt>
                <c:pt idx="23">
                  <c:v>50.2</c:v>
                </c:pt>
                <c:pt idx="24">
                  <c:v>51.8</c:v>
                </c:pt>
                <c:pt idx="25">
                  <c:v>46.9</c:v>
                </c:pt>
                <c:pt idx="26">
                  <c:v>44.8</c:v>
                </c:pt>
                <c:pt idx="27">
                  <c:v>41.8</c:v>
                </c:pt>
                <c:pt idx="28">
                  <c:v>43.3</c:v>
                </c:pt>
                <c:pt idx="29">
                  <c:v>42.7</c:v>
                </c:pt>
                <c:pt idx="30">
                  <c:v>43.5</c:v>
                </c:pt>
                <c:pt idx="31">
                  <c:v>39.5</c:v>
                </c:pt>
                <c:pt idx="32">
                  <c:v>63.1</c:v>
                </c:pt>
                <c:pt idx="33">
                  <c:v>56.2</c:v>
                </c:pt>
                <c:pt idx="34">
                  <c:v>57.8</c:v>
                </c:pt>
                <c:pt idx="35">
                  <c:v>60.9</c:v>
                </c:pt>
                <c:pt idx="36">
                  <c:v>55.6</c:v>
                </c:pt>
                <c:pt idx="37">
                  <c:v>61.5</c:v>
                </c:pt>
                <c:pt idx="38">
                  <c:v>61.7</c:v>
                </c:pt>
                <c:pt idx="39">
                  <c:v>59.4</c:v>
                </c:pt>
                <c:pt idx="40">
                  <c:v>55</c:v>
                </c:pt>
                <c:pt idx="41">
                  <c:v>52.3</c:v>
                </c:pt>
                <c:pt idx="42">
                  <c:v>53.8</c:v>
                </c:pt>
                <c:pt idx="43">
                  <c:v>54.4</c:v>
                </c:pt>
                <c:pt idx="44">
                  <c:v>48.1</c:v>
                </c:pt>
                <c:pt idx="45">
                  <c:v>43.8</c:v>
                </c:pt>
                <c:pt idx="46">
                  <c:v>37.9</c:v>
                </c:pt>
                <c:pt idx="47">
                  <c:v>35.799999999999997</c:v>
                </c:pt>
                <c:pt idx="48">
                  <c:v>36.6</c:v>
                </c:pt>
                <c:pt idx="49">
                  <c:v>31.5</c:v>
                </c:pt>
                <c:pt idx="50">
                  <c:v>34.799999999999997</c:v>
                </c:pt>
                <c:pt idx="51">
                  <c:v>40.200000000000003</c:v>
                </c:pt>
                <c:pt idx="52">
                  <c:v>42.4</c:v>
                </c:pt>
                <c:pt idx="53">
                  <c:v>44.5</c:v>
                </c:pt>
                <c:pt idx="54">
                  <c:v>45.2</c:v>
                </c:pt>
                <c:pt idx="55">
                  <c:v>44.4</c:v>
                </c:pt>
                <c:pt idx="56">
                  <c:v>37.700000000000003</c:v>
                </c:pt>
                <c:pt idx="57">
                  <c:v>49.7</c:v>
                </c:pt>
                <c:pt idx="58">
                  <c:v>55.8</c:v>
                </c:pt>
                <c:pt idx="59">
                  <c:v>55.1</c:v>
                </c:pt>
                <c:pt idx="60">
                  <c:v>55.8</c:v>
                </c:pt>
                <c:pt idx="61">
                  <c:v>59</c:v>
                </c:pt>
                <c:pt idx="62">
                  <c:v>63.4</c:v>
                </c:pt>
                <c:pt idx="63">
                  <c:v>63</c:v>
                </c:pt>
                <c:pt idx="64">
                  <c:v>63.9</c:v>
                </c:pt>
                <c:pt idx="65">
                  <c:v>66.2</c:v>
                </c:pt>
                <c:pt idx="66">
                  <c:v>61.2</c:v>
                </c:pt>
                <c:pt idx="67">
                  <c:v>60.9</c:v>
                </c:pt>
                <c:pt idx="68">
                  <c:v>59.2</c:v>
                </c:pt>
                <c:pt idx="69">
                  <c:v>59.7</c:v>
                </c:pt>
                <c:pt idx="70">
                  <c:v>60.9</c:v>
                </c:pt>
                <c:pt idx="71">
                  <c:v>61.3</c:v>
                </c:pt>
                <c:pt idx="72">
                  <c:v>63.9</c:v>
                </c:pt>
                <c:pt idx="73">
                  <c:v>62.3</c:v>
                </c:pt>
                <c:pt idx="74">
                  <c:v>61</c:v>
                </c:pt>
                <c:pt idx="75">
                  <c:v>56.9</c:v>
                </c:pt>
                <c:pt idx="76">
                  <c:v>54.8</c:v>
                </c:pt>
                <c:pt idx="77">
                  <c:v>51.4</c:v>
                </c:pt>
                <c:pt idx="78">
                  <c:v>43.9</c:v>
                </c:pt>
                <c:pt idx="79">
                  <c:v>40.799999999999997</c:v>
                </c:pt>
                <c:pt idx="80">
                  <c:v>50.3</c:v>
                </c:pt>
                <c:pt idx="81">
                  <c:v>52.9</c:v>
                </c:pt>
                <c:pt idx="82">
                  <c:v>52.2</c:v>
                </c:pt>
                <c:pt idx="83">
                  <c:v>56</c:v>
                </c:pt>
                <c:pt idx="84">
                  <c:v>55.4</c:v>
                </c:pt>
                <c:pt idx="85">
                  <c:v>56.6</c:v>
                </c:pt>
                <c:pt idx="86">
                  <c:v>53.8</c:v>
                </c:pt>
                <c:pt idx="87">
                  <c:v>52.5</c:v>
                </c:pt>
                <c:pt idx="88">
                  <c:v>40.299999999999997</c:v>
                </c:pt>
                <c:pt idx="89">
                  <c:v>41.9</c:v>
                </c:pt>
                <c:pt idx="90">
                  <c:v>45.1</c:v>
                </c:pt>
                <c:pt idx="91">
                  <c:v>45.5</c:v>
                </c:pt>
                <c:pt idx="92">
                  <c:v>43.1</c:v>
                </c:pt>
                <c:pt idx="93">
                  <c:v>42.1</c:v>
                </c:pt>
                <c:pt idx="94">
                  <c:v>36.6</c:v>
                </c:pt>
                <c:pt idx="95">
                  <c:v>34.799999999999997</c:v>
                </c:pt>
                <c:pt idx="96">
                  <c:v>30.4</c:v>
                </c:pt>
                <c:pt idx="97">
                  <c:v>29.7</c:v>
                </c:pt>
                <c:pt idx="98">
                  <c:v>27.9</c:v>
                </c:pt>
                <c:pt idx="99">
                  <c:v>33.4</c:v>
                </c:pt>
                <c:pt idx="100">
                  <c:v>31.5</c:v>
                </c:pt>
                <c:pt idx="101">
                  <c:v>39.700000000000003</c:v>
                </c:pt>
                <c:pt idx="102">
                  <c:v>46.7</c:v>
                </c:pt>
                <c:pt idx="103">
                  <c:v>47.6</c:v>
                </c:pt>
                <c:pt idx="104">
                  <c:v>52.1</c:v>
                </c:pt>
                <c:pt idx="105">
                  <c:v>55.5</c:v>
                </c:pt>
                <c:pt idx="106">
                  <c:v>59.6</c:v>
                </c:pt>
                <c:pt idx="107">
                  <c:v>58</c:v>
                </c:pt>
                <c:pt idx="108">
                  <c:v>59</c:v>
                </c:pt>
                <c:pt idx="109">
                  <c:v>60.8</c:v>
                </c:pt>
                <c:pt idx="110">
                  <c:v>62.5</c:v>
                </c:pt>
                <c:pt idx="111">
                  <c:v>62.3</c:v>
                </c:pt>
                <c:pt idx="112">
                  <c:v>63.6</c:v>
                </c:pt>
                <c:pt idx="113">
                  <c:v>64.8</c:v>
                </c:pt>
                <c:pt idx="114">
                  <c:v>62.2</c:v>
                </c:pt>
                <c:pt idx="115">
                  <c:v>59</c:v>
                </c:pt>
                <c:pt idx="116">
                  <c:v>53.6</c:v>
                </c:pt>
                <c:pt idx="117">
                  <c:v>48</c:v>
                </c:pt>
                <c:pt idx="118">
                  <c:v>47.3</c:v>
                </c:pt>
                <c:pt idx="119">
                  <c:v>48.8</c:v>
                </c:pt>
                <c:pt idx="120">
                  <c:v>54.8</c:v>
                </c:pt>
                <c:pt idx="121">
                  <c:v>60.8</c:v>
                </c:pt>
                <c:pt idx="122">
                  <c:v>57.2</c:v>
                </c:pt>
                <c:pt idx="123">
                  <c:v>48</c:v>
                </c:pt>
                <c:pt idx="124">
                  <c:v>42</c:v>
                </c:pt>
                <c:pt idx="125">
                  <c:v>42.5</c:v>
                </c:pt>
                <c:pt idx="126">
                  <c:v>39.700000000000003</c:v>
                </c:pt>
                <c:pt idx="127">
                  <c:v>42.1</c:v>
                </c:pt>
                <c:pt idx="128">
                  <c:v>43.6</c:v>
                </c:pt>
                <c:pt idx="129">
                  <c:v>40.200000000000003</c:v>
                </c:pt>
                <c:pt idx="130">
                  <c:v>43.7</c:v>
                </c:pt>
                <c:pt idx="131">
                  <c:v>43</c:v>
                </c:pt>
                <c:pt idx="132">
                  <c:v>40.700000000000003</c:v>
                </c:pt>
                <c:pt idx="133">
                  <c:v>39.700000000000003</c:v>
                </c:pt>
                <c:pt idx="134">
                  <c:v>34.200000000000003</c:v>
                </c:pt>
                <c:pt idx="135">
                  <c:v>42.2</c:v>
                </c:pt>
                <c:pt idx="136">
                  <c:v>53.2</c:v>
                </c:pt>
                <c:pt idx="137">
                  <c:v>56.3</c:v>
                </c:pt>
                <c:pt idx="138">
                  <c:v>55.1</c:v>
                </c:pt>
                <c:pt idx="139">
                  <c:v>54.1</c:v>
                </c:pt>
                <c:pt idx="140">
                  <c:v>58.3</c:v>
                </c:pt>
                <c:pt idx="141">
                  <c:v>61.1</c:v>
                </c:pt>
                <c:pt idx="142">
                  <c:v>58.2</c:v>
                </c:pt>
                <c:pt idx="143">
                  <c:v>59</c:v>
                </c:pt>
                <c:pt idx="144">
                  <c:v>58.6</c:v>
                </c:pt>
                <c:pt idx="145">
                  <c:v>60.3</c:v>
                </c:pt>
                <c:pt idx="146">
                  <c:v>60.5</c:v>
                </c:pt>
                <c:pt idx="147">
                  <c:v>57.6</c:v>
                </c:pt>
                <c:pt idx="148">
                  <c:v>55.6</c:v>
                </c:pt>
                <c:pt idx="149">
                  <c:v>52.3</c:v>
                </c:pt>
                <c:pt idx="150">
                  <c:v>51.6</c:v>
                </c:pt>
                <c:pt idx="151">
                  <c:v>51.2</c:v>
                </c:pt>
                <c:pt idx="152">
                  <c:v>47</c:v>
                </c:pt>
                <c:pt idx="153">
                  <c:v>49.7</c:v>
                </c:pt>
                <c:pt idx="154">
                  <c:v>49.9</c:v>
                </c:pt>
                <c:pt idx="155">
                  <c:v>48.7</c:v>
                </c:pt>
                <c:pt idx="156">
                  <c:v>54.6</c:v>
                </c:pt>
                <c:pt idx="157">
                  <c:v>52.5</c:v>
                </c:pt>
                <c:pt idx="158">
                  <c:v>50.2</c:v>
                </c:pt>
                <c:pt idx="159">
                  <c:v>52.4</c:v>
                </c:pt>
                <c:pt idx="160">
                  <c:v>52.7</c:v>
                </c:pt>
                <c:pt idx="161">
                  <c:v>53.5</c:v>
                </c:pt>
                <c:pt idx="162">
                  <c:v>52.6</c:v>
                </c:pt>
                <c:pt idx="163">
                  <c:v>52</c:v>
                </c:pt>
                <c:pt idx="164">
                  <c:v>51.1</c:v>
                </c:pt>
                <c:pt idx="165">
                  <c:v>54.8</c:v>
                </c:pt>
                <c:pt idx="166">
                  <c:v>54.5</c:v>
                </c:pt>
                <c:pt idx="167">
                  <c:v>53.5</c:v>
                </c:pt>
                <c:pt idx="168">
                  <c:v>48.4</c:v>
                </c:pt>
                <c:pt idx="169">
                  <c:v>51.4</c:v>
                </c:pt>
                <c:pt idx="170">
                  <c:v>52.7</c:v>
                </c:pt>
                <c:pt idx="171">
                  <c:v>55.2</c:v>
                </c:pt>
                <c:pt idx="172">
                  <c:v>55.2</c:v>
                </c:pt>
                <c:pt idx="173">
                  <c:v>56</c:v>
                </c:pt>
                <c:pt idx="174">
                  <c:v>55.7</c:v>
                </c:pt>
                <c:pt idx="175">
                  <c:v>56.3</c:v>
                </c:pt>
                <c:pt idx="176">
                  <c:v>58</c:v>
                </c:pt>
                <c:pt idx="177">
                  <c:v>56.8</c:v>
                </c:pt>
                <c:pt idx="178">
                  <c:v>55</c:v>
                </c:pt>
                <c:pt idx="179">
                  <c:v>57.3</c:v>
                </c:pt>
                <c:pt idx="180">
                  <c:v>55.2</c:v>
                </c:pt>
                <c:pt idx="181">
                  <c:v>56.7</c:v>
                </c:pt>
                <c:pt idx="182">
                  <c:v>58.3</c:v>
                </c:pt>
                <c:pt idx="183">
                  <c:v>61.2</c:v>
                </c:pt>
                <c:pt idx="184">
                  <c:v>59.2</c:v>
                </c:pt>
                <c:pt idx="185">
                  <c:v>56.4</c:v>
                </c:pt>
                <c:pt idx="186">
                  <c:v>55.4</c:v>
                </c:pt>
                <c:pt idx="187">
                  <c:v>56.2</c:v>
                </c:pt>
                <c:pt idx="188">
                  <c:v>58</c:v>
                </c:pt>
                <c:pt idx="189">
                  <c:v>56.2</c:v>
                </c:pt>
                <c:pt idx="190">
                  <c:v>56.9</c:v>
                </c:pt>
                <c:pt idx="191">
                  <c:v>54.7</c:v>
                </c:pt>
                <c:pt idx="192">
                  <c:v>60.2</c:v>
                </c:pt>
                <c:pt idx="193">
                  <c:v>62.6</c:v>
                </c:pt>
                <c:pt idx="194">
                  <c:v>61.2</c:v>
                </c:pt>
                <c:pt idx="195">
                  <c:v>61.5</c:v>
                </c:pt>
                <c:pt idx="196">
                  <c:v>59.9</c:v>
                </c:pt>
                <c:pt idx="197">
                  <c:v>57</c:v>
                </c:pt>
                <c:pt idx="198">
                  <c:v>58.8</c:v>
                </c:pt>
                <c:pt idx="199">
                  <c:v>58.9</c:v>
                </c:pt>
                <c:pt idx="200">
                  <c:v>56.4</c:v>
                </c:pt>
                <c:pt idx="201">
                  <c:v>56.5</c:v>
                </c:pt>
                <c:pt idx="202">
                  <c:v>56.9</c:v>
                </c:pt>
                <c:pt idx="203">
                  <c:v>55.6</c:v>
                </c:pt>
                <c:pt idx="204">
                  <c:v>50.7</c:v>
                </c:pt>
                <c:pt idx="205">
                  <c:v>48.3</c:v>
                </c:pt>
                <c:pt idx="206">
                  <c:v>47.6</c:v>
                </c:pt>
                <c:pt idx="207">
                  <c:v>46.3</c:v>
                </c:pt>
                <c:pt idx="208">
                  <c:v>41.8</c:v>
                </c:pt>
                <c:pt idx="209">
                  <c:v>45.5</c:v>
                </c:pt>
                <c:pt idx="210">
                  <c:v>45.8</c:v>
                </c:pt>
                <c:pt idx="211">
                  <c:v>50.2</c:v>
                </c:pt>
                <c:pt idx="212">
                  <c:v>52.9</c:v>
                </c:pt>
                <c:pt idx="213">
                  <c:v>51.6</c:v>
                </c:pt>
                <c:pt idx="214">
                  <c:v>52.4</c:v>
                </c:pt>
                <c:pt idx="215">
                  <c:v>51.5</c:v>
                </c:pt>
                <c:pt idx="216">
                  <c:v>51.5</c:v>
                </c:pt>
                <c:pt idx="217">
                  <c:v>53.2</c:v>
                </c:pt>
                <c:pt idx="218">
                  <c:v>50.3</c:v>
                </c:pt>
                <c:pt idx="219">
                  <c:v>50.1</c:v>
                </c:pt>
                <c:pt idx="220">
                  <c:v>53.5</c:v>
                </c:pt>
                <c:pt idx="221">
                  <c:v>53.1</c:v>
                </c:pt>
                <c:pt idx="222">
                  <c:v>52.6</c:v>
                </c:pt>
                <c:pt idx="223">
                  <c:v>48.2</c:v>
                </c:pt>
                <c:pt idx="224">
                  <c:v>49.5</c:v>
                </c:pt>
                <c:pt idx="225">
                  <c:v>47.1</c:v>
                </c:pt>
                <c:pt idx="226">
                  <c:v>52.6</c:v>
                </c:pt>
                <c:pt idx="227">
                  <c:v>56.4</c:v>
                </c:pt>
                <c:pt idx="228">
                  <c:v>52.8</c:v>
                </c:pt>
                <c:pt idx="229">
                  <c:v>51.9</c:v>
                </c:pt>
                <c:pt idx="230">
                  <c:v>56.1</c:v>
                </c:pt>
                <c:pt idx="231">
                  <c:v>53.8</c:v>
                </c:pt>
                <c:pt idx="232">
                  <c:v>52.7</c:v>
                </c:pt>
                <c:pt idx="233">
                  <c:v>52.8</c:v>
                </c:pt>
                <c:pt idx="234">
                  <c:v>53.1</c:v>
                </c:pt>
                <c:pt idx="235">
                  <c:v>53</c:v>
                </c:pt>
                <c:pt idx="236">
                  <c:v>51.2</c:v>
                </c:pt>
                <c:pt idx="237">
                  <c:v>50.3</c:v>
                </c:pt>
                <c:pt idx="238">
                  <c:v>51.3</c:v>
                </c:pt>
                <c:pt idx="239">
                  <c:v>50.4</c:v>
                </c:pt>
                <c:pt idx="240">
                  <c:v>49.6</c:v>
                </c:pt>
                <c:pt idx="241">
                  <c:v>46.3</c:v>
                </c:pt>
                <c:pt idx="242">
                  <c:v>43.3</c:v>
                </c:pt>
                <c:pt idx="243">
                  <c:v>44.8</c:v>
                </c:pt>
                <c:pt idx="244">
                  <c:v>40.700000000000003</c:v>
                </c:pt>
                <c:pt idx="245">
                  <c:v>40.799999999999997</c:v>
                </c:pt>
                <c:pt idx="246">
                  <c:v>41.4</c:v>
                </c:pt>
                <c:pt idx="247">
                  <c:v>40.6</c:v>
                </c:pt>
                <c:pt idx="248">
                  <c:v>40.1</c:v>
                </c:pt>
                <c:pt idx="249">
                  <c:v>39.5</c:v>
                </c:pt>
                <c:pt idx="250">
                  <c:v>37.6</c:v>
                </c:pt>
                <c:pt idx="251">
                  <c:v>33.799999999999997</c:v>
                </c:pt>
                <c:pt idx="252">
                  <c:v>41.4</c:v>
                </c:pt>
                <c:pt idx="253">
                  <c:v>40</c:v>
                </c:pt>
                <c:pt idx="254">
                  <c:v>47.7</c:v>
                </c:pt>
                <c:pt idx="255">
                  <c:v>44.3</c:v>
                </c:pt>
                <c:pt idx="256">
                  <c:v>45.7</c:v>
                </c:pt>
                <c:pt idx="257">
                  <c:v>47.4</c:v>
                </c:pt>
                <c:pt idx="258">
                  <c:v>47.5</c:v>
                </c:pt>
                <c:pt idx="259">
                  <c:v>49.5</c:v>
                </c:pt>
                <c:pt idx="260">
                  <c:v>48.4</c:v>
                </c:pt>
                <c:pt idx="261">
                  <c:v>53</c:v>
                </c:pt>
                <c:pt idx="262">
                  <c:v>49.8</c:v>
                </c:pt>
                <c:pt idx="263">
                  <c:v>49.3</c:v>
                </c:pt>
                <c:pt idx="264">
                  <c:v>49</c:v>
                </c:pt>
                <c:pt idx="265">
                  <c:v>53.3</c:v>
                </c:pt>
                <c:pt idx="266">
                  <c:v>54.4</c:v>
                </c:pt>
                <c:pt idx="267">
                  <c:v>53.9</c:v>
                </c:pt>
                <c:pt idx="268">
                  <c:v>55.9</c:v>
                </c:pt>
                <c:pt idx="269">
                  <c:v>56</c:v>
                </c:pt>
                <c:pt idx="270">
                  <c:v>53.9</c:v>
                </c:pt>
                <c:pt idx="271">
                  <c:v>52.1</c:v>
                </c:pt>
                <c:pt idx="272">
                  <c:v>57.1</c:v>
                </c:pt>
                <c:pt idx="273">
                  <c:v>58.6</c:v>
                </c:pt>
                <c:pt idx="274">
                  <c:v>59</c:v>
                </c:pt>
                <c:pt idx="275">
                  <c:v>61.7</c:v>
                </c:pt>
                <c:pt idx="276">
                  <c:v>63.2</c:v>
                </c:pt>
                <c:pt idx="277">
                  <c:v>67.8</c:v>
                </c:pt>
                <c:pt idx="278">
                  <c:v>63.2</c:v>
                </c:pt>
                <c:pt idx="279">
                  <c:v>63.6</c:v>
                </c:pt>
                <c:pt idx="280">
                  <c:v>62.6</c:v>
                </c:pt>
                <c:pt idx="281">
                  <c:v>60.2</c:v>
                </c:pt>
                <c:pt idx="282">
                  <c:v>59.7</c:v>
                </c:pt>
                <c:pt idx="283">
                  <c:v>56.4</c:v>
                </c:pt>
                <c:pt idx="284">
                  <c:v>54.9</c:v>
                </c:pt>
                <c:pt idx="285">
                  <c:v>56.1</c:v>
                </c:pt>
                <c:pt idx="286">
                  <c:v>60.4</c:v>
                </c:pt>
                <c:pt idx="287">
                  <c:v>60.8</c:v>
                </c:pt>
                <c:pt idx="288">
                  <c:v>58</c:v>
                </c:pt>
                <c:pt idx="289">
                  <c:v>57.3</c:v>
                </c:pt>
                <c:pt idx="290">
                  <c:v>51</c:v>
                </c:pt>
                <c:pt idx="291">
                  <c:v>56.3</c:v>
                </c:pt>
                <c:pt idx="292">
                  <c:v>53.9</c:v>
                </c:pt>
                <c:pt idx="293">
                  <c:v>51.1</c:v>
                </c:pt>
                <c:pt idx="294">
                  <c:v>49.9</c:v>
                </c:pt>
                <c:pt idx="295">
                  <c:v>50.3</c:v>
                </c:pt>
                <c:pt idx="296">
                  <c:v>49.2</c:v>
                </c:pt>
                <c:pt idx="297">
                  <c:v>44.9</c:v>
                </c:pt>
                <c:pt idx="298">
                  <c:v>45.4</c:v>
                </c:pt>
                <c:pt idx="299">
                  <c:v>39.6</c:v>
                </c:pt>
                <c:pt idx="300">
                  <c:v>33.299999999999997</c:v>
                </c:pt>
                <c:pt idx="301">
                  <c:v>29.7</c:v>
                </c:pt>
                <c:pt idx="302">
                  <c:v>33.1</c:v>
                </c:pt>
                <c:pt idx="303">
                  <c:v>32.799999999999997</c:v>
                </c:pt>
                <c:pt idx="304">
                  <c:v>36.9</c:v>
                </c:pt>
                <c:pt idx="305">
                  <c:v>39.6</c:v>
                </c:pt>
                <c:pt idx="306">
                  <c:v>43.9</c:v>
                </c:pt>
                <c:pt idx="307">
                  <c:v>44.3</c:v>
                </c:pt>
                <c:pt idx="308">
                  <c:v>49.7</c:v>
                </c:pt>
                <c:pt idx="309">
                  <c:v>53.5</c:v>
                </c:pt>
                <c:pt idx="310">
                  <c:v>48.9</c:v>
                </c:pt>
                <c:pt idx="311">
                  <c:v>49.8</c:v>
                </c:pt>
                <c:pt idx="312">
                  <c:v>50.8</c:v>
                </c:pt>
                <c:pt idx="313">
                  <c:v>53.1</c:v>
                </c:pt>
                <c:pt idx="314">
                  <c:v>57.3</c:v>
                </c:pt>
                <c:pt idx="315">
                  <c:v>54.9</c:v>
                </c:pt>
                <c:pt idx="316">
                  <c:v>56.4</c:v>
                </c:pt>
                <c:pt idx="317">
                  <c:v>55.4</c:v>
                </c:pt>
                <c:pt idx="318">
                  <c:v>54.3</c:v>
                </c:pt>
                <c:pt idx="319">
                  <c:v>55.1</c:v>
                </c:pt>
                <c:pt idx="320">
                  <c:v>52.1</c:v>
                </c:pt>
                <c:pt idx="321">
                  <c:v>54.2</c:v>
                </c:pt>
                <c:pt idx="322">
                  <c:v>50.2</c:v>
                </c:pt>
                <c:pt idx="323">
                  <c:v>50.5</c:v>
                </c:pt>
                <c:pt idx="324">
                  <c:v>53.8</c:v>
                </c:pt>
                <c:pt idx="325">
                  <c:v>49.9</c:v>
                </c:pt>
                <c:pt idx="326">
                  <c:v>51.5</c:v>
                </c:pt>
                <c:pt idx="327">
                  <c:v>54.3</c:v>
                </c:pt>
                <c:pt idx="328">
                  <c:v>51.9</c:v>
                </c:pt>
                <c:pt idx="329">
                  <c:v>54.8</c:v>
                </c:pt>
                <c:pt idx="330">
                  <c:v>52.5</c:v>
                </c:pt>
                <c:pt idx="331">
                  <c:v>54.5</c:v>
                </c:pt>
                <c:pt idx="332">
                  <c:v>53.6</c:v>
                </c:pt>
                <c:pt idx="333">
                  <c:v>50.4</c:v>
                </c:pt>
                <c:pt idx="334">
                  <c:v>56</c:v>
                </c:pt>
                <c:pt idx="335">
                  <c:v>51.8</c:v>
                </c:pt>
                <c:pt idx="336">
                  <c:v>59.8</c:v>
                </c:pt>
                <c:pt idx="337">
                  <c:v>55.1</c:v>
                </c:pt>
                <c:pt idx="338">
                  <c:v>52.8</c:v>
                </c:pt>
                <c:pt idx="339">
                  <c:v>52.9</c:v>
                </c:pt>
                <c:pt idx="340">
                  <c:v>53.8</c:v>
                </c:pt>
                <c:pt idx="341">
                  <c:v>57</c:v>
                </c:pt>
                <c:pt idx="342">
                  <c:v>57.2</c:v>
                </c:pt>
                <c:pt idx="343">
                  <c:v>58.8</c:v>
                </c:pt>
                <c:pt idx="344">
                  <c:v>55.3</c:v>
                </c:pt>
                <c:pt idx="345">
                  <c:v>57.2</c:v>
                </c:pt>
                <c:pt idx="346">
                  <c:v>57.9</c:v>
                </c:pt>
                <c:pt idx="347">
                  <c:v>60.4</c:v>
                </c:pt>
                <c:pt idx="348">
                  <c:v>56.9</c:v>
                </c:pt>
                <c:pt idx="349">
                  <c:v>57.3</c:v>
                </c:pt>
                <c:pt idx="350">
                  <c:v>55.6</c:v>
                </c:pt>
                <c:pt idx="351">
                  <c:v>54.8</c:v>
                </c:pt>
                <c:pt idx="352">
                  <c:v>46.9</c:v>
                </c:pt>
                <c:pt idx="353">
                  <c:v>54.5</c:v>
                </c:pt>
                <c:pt idx="354">
                  <c:v>53.8</c:v>
                </c:pt>
                <c:pt idx="355">
                  <c:v>50.2</c:v>
                </c:pt>
                <c:pt idx="356">
                  <c:v>50.5</c:v>
                </c:pt>
                <c:pt idx="357">
                  <c:v>50.3</c:v>
                </c:pt>
                <c:pt idx="358">
                  <c:v>54.6</c:v>
                </c:pt>
                <c:pt idx="359">
                  <c:v>47.3</c:v>
                </c:pt>
                <c:pt idx="360">
                  <c:v>44.1</c:v>
                </c:pt>
                <c:pt idx="361">
                  <c:v>46.2</c:v>
                </c:pt>
                <c:pt idx="362">
                  <c:v>49.7</c:v>
                </c:pt>
                <c:pt idx="363">
                  <c:v>43.2</c:v>
                </c:pt>
                <c:pt idx="364">
                  <c:v>41.2</c:v>
                </c:pt>
                <c:pt idx="365">
                  <c:v>34.299999999999997</c:v>
                </c:pt>
                <c:pt idx="366">
                  <c:v>32.799999999999997</c:v>
                </c:pt>
                <c:pt idx="367">
                  <c:v>35</c:v>
                </c:pt>
                <c:pt idx="368">
                  <c:v>38.700000000000003</c:v>
                </c:pt>
                <c:pt idx="369">
                  <c:v>47</c:v>
                </c:pt>
                <c:pt idx="370">
                  <c:v>49.4</c:v>
                </c:pt>
                <c:pt idx="371">
                  <c:v>53.3</c:v>
                </c:pt>
                <c:pt idx="372">
                  <c:v>53.2</c:v>
                </c:pt>
                <c:pt idx="373">
                  <c:v>48.7</c:v>
                </c:pt>
                <c:pt idx="374">
                  <c:v>46.3</c:v>
                </c:pt>
                <c:pt idx="375">
                  <c:v>48.1</c:v>
                </c:pt>
                <c:pt idx="376">
                  <c:v>49.2</c:v>
                </c:pt>
                <c:pt idx="377">
                  <c:v>48.3</c:v>
                </c:pt>
                <c:pt idx="378">
                  <c:v>48.8</c:v>
                </c:pt>
                <c:pt idx="379">
                  <c:v>46.6</c:v>
                </c:pt>
                <c:pt idx="380">
                  <c:v>47.8</c:v>
                </c:pt>
                <c:pt idx="381">
                  <c:v>39.200000000000003</c:v>
                </c:pt>
                <c:pt idx="382">
                  <c:v>37.9</c:v>
                </c:pt>
                <c:pt idx="383">
                  <c:v>34.799999999999997</c:v>
                </c:pt>
                <c:pt idx="384">
                  <c:v>34</c:v>
                </c:pt>
                <c:pt idx="385">
                  <c:v>34.5</c:v>
                </c:pt>
                <c:pt idx="386">
                  <c:v>35.5</c:v>
                </c:pt>
                <c:pt idx="387">
                  <c:v>33.1</c:v>
                </c:pt>
                <c:pt idx="388">
                  <c:v>31.7</c:v>
                </c:pt>
                <c:pt idx="389">
                  <c:v>27.8</c:v>
                </c:pt>
                <c:pt idx="390">
                  <c:v>30.8</c:v>
                </c:pt>
                <c:pt idx="391">
                  <c:v>30.5</c:v>
                </c:pt>
                <c:pt idx="392">
                  <c:v>31.8</c:v>
                </c:pt>
                <c:pt idx="393">
                  <c:v>30.6</c:v>
                </c:pt>
                <c:pt idx="394">
                  <c:v>30.6</c:v>
                </c:pt>
                <c:pt idx="395">
                  <c:v>28.2</c:v>
                </c:pt>
                <c:pt idx="396">
                  <c:v>36.299999999999997</c:v>
                </c:pt>
                <c:pt idx="397">
                  <c:v>37.700000000000003</c:v>
                </c:pt>
                <c:pt idx="398">
                  <c:v>47.4</c:v>
                </c:pt>
                <c:pt idx="399">
                  <c:v>45.1</c:v>
                </c:pt>
                <c:pt idx="400">
                  <c:v>46.4</c:v>
                </c:pt>
                <c:pt idx="401">
                  <c:v>49.2</c:v>
                </c:pt>
                <c:pt idx="402">
                  <c:v>49.7</c:v>
                </c:pt>
                <c:pt idx="403">
                  <c:v>53.7</c:v>
                </c:pt>
                <c:pt idx="404">
                  <c:v>56</c:v>
                </c:pt>
                <c:pt idx="405">
                  <c:v>57.8</c:v>
                </c:pt>
                <c:pt idx="406">
                  <c:v>57.6</c:v>
                </c:pt>
                <c:pt idx="407">
                  <c:v>59.7</c:v>
                </c:pt>
                <c:pt idx="408">
                  <c:v>60.4</c:v>
                </c:pt>
                <c:pt idx="409">
                  <c:v>57.6</c:v>
                </c:pt>
                <c:pt idx="410">
                  <c:v>56.4</c:v>
                </c:pt>
                <c:pt idx="411">
                  <c:v>51.1</c:v>
                </c:pt>
                <c:pt idx="412">
                  <c:v>56.8</c:v>
                </c:pt>
                <c:pt idx="413">
                  <c:v>56.2</c:v>
                </c:pt>
                <c:pt idx="414">
                  <c:v>51.7</c:v>
                </c:pt>
                <c:pt idx="415">
                  <c:v>53.5</c:v>
                </c:pt>
                <c:pt idx="416">
                  <c:v>50.4</c:v>
                </c:pt>
                <c:pt idx="417">
                  <c:v>51.1</c:v>
                </c:pt>
                <c:pt idx="418">
                  <c:v>48.1</c:v>
                </c:pt>
                <c:pt idx="419">
                  <c:v>47.4</c:v>
                </c:pt>
                <c:pt idx="420">
                  <c:v>45.2</c:v>
                </c:pt>
                <c:pt idx="421">
                  <c:v>44.4</c:v>
                </c:pt>
                <c:pt idx="422">
                  <c:v>45.2</c:v>
                </c:pt>
                <c:pt idx="423">
                  <c:v>44.2</c:v>
                </c:pt>
                <c:pt idx="424">
                  <c:v>43.2</c:v>
                </c:pt>
                <c:pt idx="425">
                  <c:v>40.4</c:v>
                </c:pt>
                <c:pt idx="426">
                  <c:v>44.5</c:v>
                </c:pt>
                <c:pt idx="427">
                  <c:v>45.2</c:v>
                </c:pt>
                <c:pt idx="428">
                  <c:v>41.1</c:v>
                </c:pt>
                <c:pt idx="429">
                  <c:v>41.8</c:v>
                </c:pt>
                <c:pt idx="430">
                  <c:v>45.2</c:v>
                </c:pt>
                <c:pt idx="431">
                  <c:v>44.5</c:v>
                </c:pt>
                <c:pt idx="432">
                  <c:v>42.6</c:v>
                </c:pt>
                <c:pt idx="433">
                  <c:v>45.1</c:v>
                </c:pt>
                <c:pt idx="434">
                  <c:v>43</c:v>
                </c:pt>
                <c:pt idx="435">
                  <c:v>43.4</c:v>
                </c:pt>
                <c:pt idx="436">
                  <c:v>42.2</c:v>
                </c:pt>
                <c:pt idx="437">
                  <c:v>45.4</c:v>
                </c:pt>
                <c:pt idx="438">
                  <c:v>43.3</c:v>
                </c:pt>
                <c:pt idx="439">
                  <c:v>41.9</c:v>
                </c:pt>
                <c:pt idx="440">
                  <c:v>44.5</c:v>
                </c:pt>
                <c:pt idx="441">
                  <c:v>43.9</c:v>
                </c:pt>
                <c:pt idx="442">
                  <c:v>43.7</c:v>
                </c:pt>
                <c:pt idx="443">
                  <c:v>42.2</c:v>
                </c:pt>
                <c:pt idx="444">
                  <c:v>44.5</c:v>
                </c:pt>
                <c:pt idx="445">
                  <c:v>47.3</c:v>
                </c:pt>
                <c:pt idx="446">
                  <c:v>46.6</c:v>
                </c:pt>
                <c:pt idx="447">
                  <c:v>48.3</c:v>
                </c:pt>
                <c:pt idx="448">
                  <c:v>51.3</c:v>
                </c:pt>
                <c:pt idx="449">
                  <c:v>50.9</c:v>
                </c:pt>
                <c:pt idx="450">
                  <c:v>51.4</c:v>
                </c:pt>
                <c:pt idx="451">
                  <c:v>46.6</c:v>
                </c:pt>
                <c:pt idx="452">
                  <c:v>52.4</c:v>
                </c:pt>
                <c:pt idx="453">
                  <c:v>54.5</c:v>
                </c:pt>
                <c:pt idx="454">
                  <c:v>54.6</c:v>
                </c:pt>
                <c:pt idx="455">
                  <c:v>53.7</c:v>
                </c:pt>
                <c:pt idx="456">
                  <c:v>59.1</c:v>
                </c:pt>
                <c:pt idx="457">
                  <c:v>51.2</c:v>
                </c:pt>
                <c:pt idx="458">
                  <c:v>52.5</c:v>
                </c:pt>
                <c:pt idx="459">
                  <c:v>50.2</c:v>
                </c:pt>
                <c:pt idx="460">
                  <c:v>49.2</c:v>
                </c:pt>
                <c:pt idx="461">
                  <c:v>50.4</c:v>
                </c:pt>
                <c:pt idx="462">
                  <c:v>50.5</c:v>
                </c:pt>
                <c:pt idx="463">
                  <c:v>52.5</c:v>
                </c:pt>
                <c:pt idx="464">
                  <c:v>51.2</c:v>
                </c:pt>
                <c:pt idx="465">
                  <c:v>50.2</c:v>
                </c:pt>
                <c:pt idx="466">
                  <c:v>52.4</c:v>
                </c:pt>
                <c:pt idx="467">
                  <c:v>53.8</c:v>
                </c:pt>
                <c:pt idx="468">
                  <c:v>54.8</c:v>
                </c:pt>
                <c:pt idx="469">
                  <c:v>51.4</c:v>
                </c:pt>
                <c:pt idx="470">
                  <c:v>50</c:v>
                </c:pt>
                <c:pt idx="471">
                  <c:v>50.2</c:v>
                </c:pt>
                <c:pt idx="472">
                  <c:v>50</c:v>
                </c:pt>
                <c:pt idx="473">
                  <c:v>47.6</c:v>
                </c:pt>
                <c:pt idx="474">
                  <c:v>47.4</c:v>
                </c:pt>
                <c:pt idx="475">
                  <c:v>44.5</c:v>
                </c:pt>
                <c:pt idx="476">
                  <c:v>44.6</c:v>
                </c:pt>
                <c:pt idx="477">
                  <c:v>45.4</c:v>
                </c:pt>
                <c:pt idx="478">
                  <c:v>45</c:v>
                </c:pt>
                <c:pt idx="479">
                  <c:v>45.9</c:v>
                </c:pt>
                <c:pt idx="480">
                  <c:v>44.6</c:v>
                </c:pt>
                <c:pt idx="481">
                  <c:v>45.4</c:v>
                </c:pt>
                <c:pt idx="482">
                  <c:v>46.5</c:v>
                </c:pt>
                <c:pt idx="483">
                  <c:v>46.5</c:v>
                </c:pt>
                <c:pt idx="484">
                  <c:v>46.6</c:v>
                </c:pt>
                <c:pt idx="485">
                  <c:v>46.2</c:v>
                </c:pt>
                <c:pt idx="486">
                  <c:v>45.4</c:v>
                </c:pt>
                <c:pt idx="487">
                  <c:v>46.3</c:v>
                </c:pt>
                <c:pt idx="488">
                  <c:v>43.1</c:v>
                </c:pt>
                <c:pt idx="489">
                  <c:v>41.3</c:v>
                </c:pt>
                <c:pt idx="490">
                  <c:v>40.200000000000003</c:v>
                </c:pt>
                <c:pt idx="491">
                  <c:v>36.200000000000003</c:v>
                </c:pt>
                <c:pt idx="492">
                  <c:v>38.799999999999997</c:v>
                </c:pt>
                <c:pt idx="493">
                  <c:v>37.299999999999997</c:v>
                </c:pt>
                <c:pt idx="494">
                  <c:v>35.6</c:v>
                </c:pt>
                <c:pt idx="495">
                  <c:v>33.6</c:v>
                </c:pt>
                <c:pt idx="496">
                  <c:v>35.799999999999997</c:v>
                </c:pt>
                <c:pt idx="497">
                  <c:v>37.4</c:v>
                </c:pt>
                <c:pt idx="498">
                  <c:v>43</c:v>
                </c:pt>
                <c:pt idx="499">
                  <c:v>41.3</c:v>
                </c:pt>
                <c:pt idx="500">
                  <c:v>44</c:v>
                </c:pt>
                <c:pt idx="501">
                  <c:v>47.3</c:v>
                </c:pt>
                <c:pt idx="502">
                  <c:v>44.7</c:v>
                </c:pt>
                <c:pt idx="503">
                  <c:v>43</c:v>
                </c:pt>
                <c:pt idx="504">
                  <c:v>39.799999999999997</c:v>
                </c:pt>
                <c:pt idx="505">
                  <c:v>40.6</c:v>
                </c:pt>
                <c:pt idx="506">
                  <c:v>43.9</c:v>
                </c:pt>
                <c:pt idx="507">
                  <c:v>43.7</c:v>
                </c:pt>
                <c:pt idx="508">
                  <c:v>45</c:v>
                </c:pt>
                <c:pt idx="509">
                  <c:v>49.5</c:v>
                </c:pt>
                <c:pt idx="510">
                  <c:v>46.6</c:v>
                </c:pt>
                <c:pt idx="511">
                  <c:v>45.5</c:v>
                </c:pt>
                <c:pt idx="512">
                  <c:v>47.3</c:v>
                </c:pt>
                <c:pt idx="513">
                  <c:v>45.1</c:v>
                </c:pt>
                <c:pt idx="514">
                  <c:v>44.7</c:v>
                </c:pt>
                <c:pt idx="515">
                  <c:v>47.1</c:v>
                </c:pt>
                <c:pt idx="516">
                  <c:v>45.9</c:v>
                </c:pt>
                <c:pt idx="517">
                  <c:v>46.9</c:v>
                </c:pt>
                <c:pt idx="518">
                  <c:v>47</c:v>
                </c:pt>
                <c:pt idx="519">
                  <c:v>47.1</c:v>
                </c:pt>
                <c:pt idx="520">
                  <c:v>44.8</c:v>
                </c:pt>
                <c:pt idx="521">
                  <c:v>43.6</c:v>
                </c:pt>
                <c:pt idx="522">
                  <c:v>43.2</c:v>
                </c:pt>
                <c:pt idx="523">
                  <c:v>43.6</c:v>
                </c:pt>
                <c:pt idx="524">
                  <c:v>41.9</c:v>
                </c:pt>
                <c:pt idx="525">
                  <c:v>44.5</c:v>
                </c:pt>
                <c:pt idx="526">
                  <c:v>46</c:v>
                </c:pt>
                <c:pt idx="527">
                  <c:v>45.5</c:v>
                </c:pt>
                <c:pt idx="528">
                  <c:v>47.1</c:v>
                </c:pt>
                <c:pt idx="529">
                  <c:v>47.5</c:v>
                </c:pt>
                <c:pt idx="530">
                  <c:v>48.7</c:v>
                </c:pt>
                <c:pt idx="531">
                  <c:v>48.2</c:v>
                </c:pt>
                <c:pt idx="532">
                  <c:v>50.1</c:v>
                </c:pt>
                <c:pt idx="533">
                  <c:v>51.4</c:v>
                </c:pt>
                <c:pt idx="534">
                  <c:v>49.5</c:v>
                </c:pt>
                <c:pt idx="535">
                  <c:v>52.3</c:v>
                </c:pt>
                <c:pt idx="536">
                  <c:v>51.4</c:v>
                </c:pt>
                <c:pt idx="537">
                  <c:v>52.5</c:v>
                </c:pt>
                <c:pt idx="538">
                  <c:v>51.1</c:v>
                </c:pt>
                <c:pt idx="539">
                  <c:v>51.6</c:v>
                </c:pt>
                <c:pt idx="540">
                  <c:v>46.7</c:v>
                </c:pt>
                <c:pt idx="541">
                  <c:v>51.9</c:v>
                </c:pt>
                <c:pt idx="542">
                  <c:v>50</c:v>
                </c:pt>
                <c:pt idx="543">
                  <c:v>48.1</c:v>
                </c:pt>
                <c:pt idx="544">
                  <c:v>47.4</c:v>
                </c:pt>
                <c:pt idx="545">
                  <c:v>43.7</c:v>
                </c:pt>
                <c:pt idx="546">
                  <c:v>46.5</c:v>
                </c:pt>
                <c:pt idx="547">
                  <c:v>48.1</c:v>
                </c:pt>
                <c:pt idx="548">
                  <c:v>45</c:v>
                </c:pt>
                <c:pt idx="549">
                  <c:v>45.5</c:v>
                </c:pt>
                <c:pt idx="550">
                  <c:v>45.9</c:v>
                </c:pt>
                <c:pt idx="551">
                  <c:v>44.5</c:v>
                </c:pt>
                <c:pt idx="552">
                  <c:v>46.2</c:v>
                </c:pt>
                <c:pt idx="553">
                  <c:v>45.3</c:v>
                </c:pt>
                <c:pt idx="554">
                  <c:v>44.6</c:v>
                </c:pt>
                <c:pt idx="555">
                  <c:v>44.4</c:v>
                </c:pt>
                <c:pt idx="556">
                  <c:v>44.7</c:v>
                </c:pt>
                <c:pt idx="557">
                  <c:v>44.7</c:v>
                </c:pt>
                <c:pt idx="558">
                  <c:v>48.2</c:v>
                </c:pt>
                <c:pt idx="559">
                  <c:v>46.7</c:v>
                </c:pt>
                <c:pt idx="560">
                  <c:v>47.4</c:v>
                </c:pt>
                <c:pt idx="561">
                  <c:v>47.2</c:v>
                </c:pt>
                <c:pt idx="562">
                  <c:v>46</c:v>
                </c:pt>
                <c:pt idx="563">
                  <c:v>47.6</c:v>
                </c:pt>
                <c:pt idx="564">
                  <c:v>48.6</c:v>
                </c:pt>
                <c:pt idx="565">
                  <c:v>49.8</c:v>
                </c:pt>
                <c:pt idx="566">
                  <c:v>45.9</c:v>
                </c:pt>
                <c:pt idx="567">
                  <c:v>50.8</c:v>
                </c:pt>
                <c:pt idx="568">
                  <c:v>51.8</c:v>
                </c:pt>
                <c:pt idx="569">
                  <c:v>50.7</c:v>
                </c:pt>
                <c:pt idx="570">
                  <c:v>51.3</c:v>
                </c:pt>
                <c:pt idx="571">
                  <c:v>51.7</c:v>
                </c:pt>
                <c:pt idx="572">
                  <c:v>51.3</c:v>
                </c:pt>
                <c:pt idx="573">
                  <c:v>51.2</c:v>
                </c:pt>
                <c:pt idx="574">
                  <c:v>52.8</c:v>
                </c:pt>
                <c:pt idx="575">
                  <c:v>53.7</c:v>
                </c:pt>
                <c:pt idx="576">
                  <c:v>52.1</c:v>
                </c:pt>
                <c:pt idx="577">
                  <c:v>51.1</c:v>
                </c:pt>
                <c:pt idx="578">
                  <c:v>51.7</c:v>
                </c:pt>
                <c:pt idx="579">
                  <c:v>51.4</c:v>
                </c:pt>
                <c:pt idx="580">
                  <c:v>49</c:v>
                </c:pt>
                <c:pt idx="581">
                  <c:v>49.3</c:v>
                </c:pt>
                <c:pt idx="582">
                  <c:v>47</c:v>
                </c:pt>
                <c:pt idx="583">
                  <c:v>45.1</c:v>
                </c:pt>
                <c:pt idx="584">
                  <c:v>46.7</c:v>
                </c:pt>
                <c:pt idx="585">
                  <c:v>45.7</c:v>
                </c:pt>
                <c:pt idx="586">
                  <c:v>45.2</c:v>
                </c:pt>
                <c:pt idx="587">
                  <c:v>45.3</c:v>
                </c:pt>
                <c:pt idx="588">
                  <c:v>41.9</c:v>
                </c:pt>
                <c:pt idx="589">
                  <c:v>45.5</c:v>
                </c:pt>
                <c:pt idx="590">
                  <c:v>45.8</c:v>
                </c:pt>
                <c:pt idx="591">
                  <c:v>47.6</c:v>
                </c:pt>
                <c:pt idx="592">
                  <c:v>48.8</c:v>
                </c:pt>
                <c:pt idx="593">
                  <c:v>51.1</c:v>
                </c:pt>
                <c:pt idx="594">
                  <c:v>51.3</c:v>
                </c:pt>
                <c:pt idx="595">
                  <c:v>50.4</c:v>
                </c:pt>
                <c:pt idx="596">
                  <c:v>53.1</c:v>
                </c:pt>
                <c:pt idx="597">
                  <c:v>51.3</c:v>
                </c:pt>
                <c:pt idx="598">
                  <c:v>53</c:v>
                </c:pt>
                <c:pt idx="599">
                  <c:v>53.1</c:v>
                </c:pt>
                <c:pt idx="600">
                  <c:v>55.7</c:v>
                </c:pt>
                <c:pt idx="601">
                  <c:v>52.8</c:v>
                </c:pt>
                <c:pt idx="602">
                  <c:v>53.6</c:v>
                </c:pt>
                <c:pt idx="603">
                  <c:v>51.2</c:v>
                </c:pt>
                <c:pt idx="604">
                  <c:v>53.2</c:v>
                </c:pt>
                <c:pt idx="605">
                  <c:v>53</c:v>
                </c:pt>
                <c:pt idx="606">
                  <c:v>50.7</c:v>
                </c:pt>
                <c:pt idx="607">
                  <c:v>52.5</c:v>
                </c:pt>
                <c:pt idx="608">
                  <c:v>48.8</c:v>
                </c:pt>
                <c:pt idx="609">
                  <c:v>50.6</c:v>
                </c:pt>
                <c:pt idx="610">
                  <c:v>48.2</c:v>
                </c:pt>
                <c:pt idx="611">
                  <c:v>47.1</c:v>
                </c:pt>
                <c:pt idx="612">
                  <c:v>42.7</c:v>
                </c:pt>
                <c:pt idx="613">
                  <c:v>42.3</c:v>
                </c:pt>
                <c:pt idx="614">
                  <c:v>37.799999999999997</c:v>
                </c:pt>
                <c:pt idx="615">
                  <c:v>39.9</c:v>
                </c:pt>
                <c:pt idx="616">
                  <c:v>38.200000000000003</c:v>
                </c:pt>
                <c:pt idx="617">
                  <c:v>35.1</c:v>
                </c:pt>
                <c:pt idx="618">
                  <c:v>35.700000000000003</c:v>
                </c:pt>
                <c:pt idx="619">
                  <c:v>37.200000000000003</c:v>
                </c:pt>
                <c:pt idx="620">
                  <c:v>41.3</c:v>
                </c:pt>
                <c:pt idx="621">
                  <c:v>41.5</c:v>
                </c:pt>
                <c:pt idx="622">
                  <c:v>35.6</c:v>
                </c:pt>
                <c:pt idx="623">
                  <c:v>36.4</c:v>
                </c:pt>
                <c:pt idx="624">
                  <c:v>39.1</c:v>
                </c:pt>
                <c:pt idx="625">
                  <c:v>41</c:v>
                </c:pt>
                <c:pt idx="626">
                  <c:v>43.8</c:v>
                </c:pt>
                <c:pt idx="627">
                  <c:v>46.6</c:v>
                </c:pt>
                <c:pt idx="628">
                  <c:v>46.6</c:v>
                </c:pt>
                <c:pt idx="629">
                  <c:v>47.3</c:v>
                </c:pt>
                <c:pt idx="630">
                  <c:v>48.3</c:v>
                </c:pt>
                <c:pt idx="631">
                  <c:v>45</c:v>
                </c:pt>
                <c:pt idx="632">
                  <c:v>46.8</c:v>
                </c:pt>
                <c:pt idx="633">
                  <c:v>45.8</c:v>
                </c:pt>
                <c:pt idx="634">
                  <c:v>46.4</c:v>
                </c:pt>
                <c:pt idx="635">
                  <c:v>44.8</c:v>
                </c:pt>
                <c:pt idx="636">
                  <c:v>47.5</c:v>
                </c:pt>
                <c:pt idx="637">
                  <c:v>47.4</c:v>
                </c:pt>
                <c:pt idx="638">
                  <c:v>42.6</c:v>
                </c:pt>
                <c:pt idx="639">
                  <c:v>42.2</c:v>
                </c:pt>
                <c:pt idx="640">
                  <c:v>41.8</c:v>
                </c:pt>
                <c:pt idx="641">
                  <c:v>42.4</c:v>
                </c:pt>
                <c:pt idx="642">
                  <c:v>45.6</c:v>
                </c:pt>
                <c:pt idx="643">
                  <c:v>46.3</c:v>
                </c:pt>
                <c:pt idx="644">
                  <c:v>47.1</c:v>
                </c:pt>
                <c:pt idx="645">
                  <c:v>46.5</c:v>
                </c:pt>
                <c:pt idx="646">
                  <c:v>48.6</c:v>
                </c:pt>
                <c:pt idx="647">
                  <c:v>50.4</c:v>
                </c:pt>
                <c:pt idx="648">
                  <c:v>54.1</c:v>
                </c:pt>
                <c:pt idx="649">
                  <c:v>54.7</c:v>
                </c:pt>
                <c:pt idx="650">
                  <c:v>55.7</c:v>
                </c:pt>
                <c:pt idx="651">
                  <c:v>57</c:v>
                </c:pt>
                <c:pt idx="652">
                  <c:v>57.2</c:v>
                </c:pt>
                <c:pt idx="653">
                  <c:v>60.1</c:v>
                </c:pt>
                <c:pt idx="654">
                  <c:v>59.4</c:v>
                </c:pt>
                <c:pt idx="655">
                  <c:v>57.4</c:v>
                </c:pt>
                <c:pt idx="656">
                  <c:v>56.4</c:v>
                </c:pt>
                <c:pt idx="657">
                  <c:v>58</c:v>
                </c:pt>
                <c:pt idx="658">
                  <c:v>55.5</c:v>
                </c:pt>
                <c:pt idx="659">
                  <c:v>56.9</c:v>
                </c:pt>
                <c:pt idx="660">
                  <c:v>53.8</c:v>
                </c:pt>
                <c:pt idx="661">
                  <c:v>58.6</c:v>
                </c:pt>
                <c:pt idx="662">
                  <c:v>56</c:v>
                </c:pt>
                <c:pt idx="663">
                  <c:v>52.5</c:v>
                </c:pt>
                <c:pt idx="664">
                  <c:v>53</c:v>
                </c:pt>
                <c:pt idx="665">
                  <c:v>49.3</c:v>
                </c:pt>
                <c:pt idx="666">
                  <c:v>51.1</c:v>
                </c:pt>
                <c:pt idx="667">
                  <c:v>53.2</c:v>
                </c:pt>
                <c:pt idx="668">
                  <c:v>51.8</c:v>
                </c:pt>
                <c:pt idx="669">
                  <c:v>53.4</c:v>
                </c:pt>
                <c:pt idx="670">
                  <c:v>54.3</c:v>
                </c:pt>
                <c:pt idx="671">
                  <c:v>56</c:v>
                </c:pt>
                <c:pt idx="672">
                  <c:v>53.7</c:v>
                </c:pt>
                <c:pt idx="673">
                  <c:v>53.1</c:v>
                </c:pt>
                <c:pt idx="674">
                  <c:v>53.5</c:v>
                </c:pt>
                <c:pt idx="675">
                  <c:v>53.8</c:v>
                </c:pt>
                <c:pt idx="676">
                  <c:v>54.2</c:v>
                </c:pt>
                <c:pt idx="677">
                  <c:v>53.2</c:v>
                </c:pt>
                <c:pt idx="678">
                  <c:v>49.9</c:v>
                </c:pt>
                <c:pt idx="679">
                  <c:v>50.7</c:v>
                </c:pt>
                <c:pt idx="680">
                  <c:v>52.6</c:v>
                </c:pt>
                <c:pt idx="681">
                  <c:v>49.9</c:v>
                </c:pt>
                <c:pt idx="682">
                  <c:v>49.6</c:v>
                </c:pt>
                <c:pt idx="683">
                  <c:v>49.2</c:v>
                </c:pt>
                <c:pt idx="684">
                  <c:v>49.8</c:v>
                </c:pt>
                <c:pt idx="685">
                  <c:v>50.3</c:v>
                </c:pt>
                <c:pt idx="686">
                  <c:v>50.9</c:v>
                </c:pt>
                <c:pt idx="687">
                  <c:v>49.9</c:v>
                </c:pt>
                <c:pt idx="688">
                  <c:v>51.9</c:v>
                </c:pt>
                <c:pt idx="689">
                  <c:v>52.2</c:v>
                </c:pt>
                <c:pt idx="690">
                  <c:v>51.9</c:v>
                </c:pt>
                <c:pt idx="691">
                  <c:v>49.8</c:v>
                </c:pt>
                <c:pt idx="692">
                  <c:v>50</c:v>
                </c:pt>
                <c:pt idx="693">
                  <c:v>52</c:v>
                </c:pt>
                <c:pt idx="694">
                  <c:v>50.7</c:v>
                </c:pt>
                <c:pt idx="695">
                  <c:v>48.4</c:v>
                </c:pt>
                <c:pt idx="696">
                  <c:v>48.6</c:v>
                </c:pt>
                <c:pt idx="697">
                  <c:v>47.1</c:v>
                </c:pt>
                <c:pt idx="698">
                  <c:v>45.8</c:v>
                </c:pt>
                <c:pt idx="699">
                  <c:v>48.2</c:v>
                </c:pt>
                <c:pt idx="700">
                  <c:v>46.6</c:v>
                </c:pt>
                <c:pt idx="701">
                  <c:v>46.1</c:v>
                </c:pt>
                <c:pt idx="702">
                  <c:v>44.8</c:v>
                </c:pt>
                <c:pt idx="703">
                  <c:v>51.2</c:v>
                </c:pt>
                <c:pt idx="704">
                  <c:v>48.9</c:v>
                </c:pt>
                <c:pt idx="705">
                  <c:v>42.1</c:v>
                </c:pt>
                <c:pt idx="706">
                  <c:v>33.700000000000003</c:v>
                </c:pt>
                <c:pt idx="707">
                  <c:v>34.4</c:v>
                </c:pt>
                <c:pt idx="708">
                  <c:v>29.9</c:v>
                </c:pt>
                <c:pt idx="709">
                  <c:v>28.8</c:v>
                </c:pt>
                <c:pt idx="710">
                  <c:v>25.5</c:v>
                </c:pt>
                <c:pt idx="711">
                  <c:v>28.6</c:v>
                </c:pt>
                <c:pt idx="712">
                  <c:v>33.200000000000003</c:v>
                </c:pt>
                <c:pt idx="713">
                  <c:v>34.799999999999997</c:v>
                </c:pt>
                <c:pt idx="714">
                  <c:v>40.700000000000003</c:v>
                </c:pt>
                <c:pt idx="715">
                  <c:v>47.1</c:v>
                </c:pt>
                <c:pt idx="716">
                  <c:v>46.1</c:v>
                </c:pt>
                <c:pt idx="717">
                  <c:v>47.8</c:v>
                </c:pt>
                <c:pt idx="718">
                  <c:v>52.4</c:v>
                </c:pt>
                <c:pt idx="719">
                  <c:v>51.7</c:v>
                </c:pt>
                <c:pt idx="720">
                  <c:v>51.6</c:v>
                </c:pt>
                <c:pt idx="721">
                  <c:v>53.6</c:v>
                </c:pt>
                <c:pt idx="722">
                  <c:v>54.6</c:v>
                </c:pt>
                <c:pt idx="723">
                  <c:v>54</c:v>
                </c:pt>
                <c:pt idx="724">
                  <c:v>55.6</c:v>
                </c:pt>
                <c:pt idx="725">
                  <c:v>57.1</c:v>
                </c:pt>
                <c:pt idx="726">
                  <c:v>55.9</c:v>
                </c:pt>
                <c:pt idx="727">
                  <c:v>59.5</c:v>
                </c:pt>
                <c:pt idx="728">
                  <c:v>62.1</c:v>
                </c:pt>
                <c:pt idx="729">
                  <c:v>57.9</c:v>
                </c:pt>
                <c:pt idx="730">
                  <c:v>59.5</c:v>
                </c:pt>
                <c:pt idx="731">
                  <c:v>60.5</c:v>
                </c:pt>
                <c:pt idx="732">
                  <c:v>58.2</c:v>
                </c:pt>
                <c:pt idx="733">
                  <c:v>60.6</c:v>
                </c:pt>
                <c:pt idx="734">
                  <c:v>61.5</c:v>
                </c:pt>
                <c:pt idx="735">
                  <c:v>60.7</c:v>
                </c:pt>
                <c:pt idx="736">
                  <c:v>59.7</c:v>
                </c:pt>
                <c:pt idx="737">
                  <c:v>57.2</c:v>
                </c:pt>
                <c:pt idx="738">
                  <c:v>60.3</c:v>
                </c:pt>
                <c:pt idx="739">
                  <c:v>56.1</c:v>
                </c:pt>
                <c:pt idx="740">
                  <c:v>54.9</c:v>
                </c:pt>
                <c:pt idx="741">
                  <c:v>54.8</c:v>
                </c:pt>
                <c:pt idx="742">
                  <c:v>55.1</c:v>
                </c:pt>
                <c:pt idx="743">
                  <c:v>53</c:v>
                </c:pt>
                <c:pt idx="744">
                  <c:v>55</c:v>
                </c:pt>
                <c:pt idx="745">
                  <c:v>54</c:v>
                </c:pt>
                <c:pt idx="746">
                  <c:v>53.6</c:v>
                </c:pt>
                <c:pt idx="747">
                  <c:v>54.6</c:v>
                </c:pt>
                <c:pt idx="748">
                  <c:v>56.5</c:v>
                </c:pt>
                <c:pt idx="749">
                  <c:v>56</c:v>
                </c:pt>
                <c:pt idx="750">
                  <c:v>55.8</c:v>
                </c:pt>
                <c:pt idx="751">
                  <c:v>53.3</c:v>
                </c:pt>
                <c:pt idx="752">
                  <c:v>52.9</c:v>
                </c:pt>
                <c:pt idx="753">
                  <c:v>54.3</c:v>
                </c:pt>
                <c:pt idx="754">
                  <c:v>53.1</c:v>
                </c:pt>
                <c:pt idx="755">
                  <c:v>48.8</c:v>
                </c:pt>
                <c:pt idx="756">
                  <c:v>52.7</c:v>
                </c:pt>
                <c:pt idx="757">
                  <c:v>53.8</c:v>
                </c:pt>
                <c:pt idx="758">
                  <c:v>52.2</c:v>
                </c:pt>
                <c:pt idx="759">
                  <c:v>52.1</c:v>
                </c:pt>
                <c:pt idx="760">
                  <c:v>50.5</c:v>
                </c:pt>
                <c:pt idx="761">
                  <c:v>49</c:v>
                </c:pt>
                <c:pt idx="762">
                  <c:v>50</c:v>
                </c:pt>
                <c:pt idx="763">
                  <c:v>55.5</c:v>
                </c:pt>
                <c:pt idx="764">
                  <c:v>55</c:v>
                </c:pt>
                <c:pt idx="765">
                  <c:v>54.8</c:v>
                </c:pt>
                <c:pt idx="766">
                  <c:v>54.3</c:v>
                </c:pt>
                <c:pt idx="767">
                  <c:v>55.4</c:v>
                </c:pt>
                <c:pt idx="768">
                  <c:v>55.8</c:v>
                </c:pt>
                <c:pt idx="769">
                  <c:v>52.3</c:v>
                </c:pt>
                <c:pt idx="770">
                  <c:v>52.3</c:v>
                </c:pt>
                <c:pt idx="771">
                  <c:v>51.1</c:v>
                </c:pt>
                <c:pt idx="772">
                  <c:v>54.7</c:v>
                </c:pt>
                <c:pt idx="773">
                  <c:v>52.8</c:v>
                </c:pt>
                <c:pt idx="774">
                  <c:v>52.8</c:v>
                </c:pt>
                <c:pt idx="775">
                  <c:v>58.2</c:v>
                </c:pt>
                <c:pt idx="776">
                  <c:v>58.1</c:v>
                </c:pt>
                <c:pt idx="777">
                  <c:v>54.6</c:v>
                </c:pt>
                <c:pt idx="778">
                  <c:v>55.5</c:v>
                </c:pt>
                <c:pt idx="779">
                  <c:v>54.9</c:v>
                </c:pt>
                <c:pt idx="780">
                  <c:v>56.8</c:v>
                </c:pt>
                <c:pt idx="781">
                  <c:v>54.1</c:v>
                </c:pt>
                <c:pt idx="782">
                  <c:v>51.4</c:v>
                </c:pt>
                <c:pt idx="783">
                  <c:v>50</c:v>
                </c:pt>
                <c:pt idx="784">
                  <c:v>48.3</c:v>
                </c:pt>
                <c:pt idx="785">
                  <c:v>51.7</c:v>
                </c:pt>
                <c:pt idx="786">
                  <c:v>55.5</c:v>
                </c:pt>
                <c:pt idx="787">
                  <c:v>52.7</c:v>
                </c:pt>
                <c:pt idx="788">
                  <c:v>51.2</c:v>
                </c:pt>
                <c:pt idx="789">
                  <c:v>50.5</c:v>
                </c:pt>
                <c:pt idx="790">
                  <c:v>47.7</c:v>
                </c:pt>
                <c:pt idx="791">
                  <c:v>50.8</c:v>
                </c:pt>
                <c:pt idx="792">
                  <c:v>48</c:v>
                </c:pt>
                <c:pt idx="793">
                  <c:v>45.9</c:v>
                </c:pt>
                <c:pt idx="794">
                  <c:v>48.5</c:v>
                </c:pt>
                <c:pt idx="795">
                  <c:v>48.1</c:v>
                </c:pt>
                <c:pt idx="796">
                  <c:v>49.2</c:v>
                </c:pt>
                <c:pt idx="797">
                  <c:v>49.2</c:v>
                </c:pt>
                <c:pt idx="798">
                  <c:v>50.4</c:v>
                </c:pt>
                <c:pt idx="799">
                  <c:v>49.4</c:v>
                </c:pt>
                <c:pt idx="800">
                  <c:v>48.3</c:v>
                </c:pt>
                <c:pt idx="801">
                  <c:v>49.7</c:v>
                </c:pt>
                <c:pt idx="802">
                  <c:v>52.9</c:v>
                </c:pt>
                <c:pt idx="803">
                  <c:v>52.5</c:v>
                </c:pt>
                <c:pt idx="804">
                  <c:v>52.8</c:v>
                </c:pt>
                <c:pt idx="805">
                  <c:v>56.1</c:v>
                </c:pt>
                <c:pt idx="806">
                  <c:v>54.2</c:v>
                </c:pt>
                <c:pt idx="807">
                  <c:v>58.9</c:v>
                </c:pt>
                <c:pt idx="808">
                  <c:v>52</c:v>
                </c:pt>
                <c:pt idx="809">
                  <c:v>53.5</c:v>
                </c:pt>
                <c:pt idx="810">
                  <c:v>57.2</c:v>
                </c:pt>
                <c:pt idx="811">
                  <c:v>55.2</c:v>
                </c:pt>
                <c:pt idx="812">
                  <c:v>59.9</c:v>
                </c:pt>
                <c:pt idx="813">
                  <c:v>60.3</c:v>
                </c:pt>
                <c:pt idx="814">
                  <c:v>59.8</c:v>
                </c:pt>
                <c:pt idx="815">
                  <c:v>59.2</c:v>
                </c:pt>
                <c:pt idx="816">
                  <c:v>58.1</c:v>
                </c:pt>
                <c:pt idx="817">
                  <c:v>54.2</c:v>
                </c:pt>
                <c:pt idx="818">
                  <c:v>59.7</c:v>
                </c:pt>
                <c:pt idx="819">
                  <c:v>57.3</c:v>
                </c:pt>
                <c:pt idx="820">
                  <c:v>54.2</c:v>
                </c:pt>
                <c:pt idx="821">
                  <c:v>56.3</c:v>
                </c:pt>
                <c:pt idx="822">
                  <c:v>56</c:v>
                </c:pt>
                <c:pt idx="823">
                  <c:v>56.5</c:v>
                </c:pt>
                <c:pt idx="824">
                  <c:v>58.5</c:v>
                </c:pt>
                <c:pt idx="825">
                  <c:v>58.8</c:v>
                </c:pt>
                <c:pt idx="826">
                  <c:v>56.5</c:v>
                </c:pt>
                <c:pt idx="827">
                  <c:v>57.7</c:v>
                </c:pt>
                <c:pt idx="828">
                  <c:v>56</c:v>
                </c:pt>
                <c:pt idx="829">
                  <c:v>55.5</c:v>
                </c:pt>
                <c:pt idx="830">
                  <c:v>52.3</c:v>
                </c:pt>
                <c:pt idx="831">
                  <c:v>57.5</c:v>
                </c:pt>
              </c:numCache>
            </c:numRef>
          </c:val>
          <c:smooth val="0"/>
          <c:extLst>
            <c:ext xmlns:c16="http://schemas.microsoft.com/office/drawing/2014/chart" uri="{C3380CC4-5D6E-409C-BE32-E72D297353CC}">
              <c16:uniqueId val="{00000002-904C-AC4C-8102-529833850235}"/>
            </c:ext>
          </c:extLst>
        </c:ser>
        <c:ser>
          <c:idx val="3"/>
          <c:order val="3"/>
          <c:tx>
            <c:strRef>
              <c:f>'PMI Analysis'!$E$1</c:f>
              <c:strCache>
                <c:ptCount val="1"/>
                <c:pt idx="0">
                  <c:v>Production PMI</c:v>
                </c:pt>
              </c:strCache>
            </c:strRef>
          </c:tx>
          <c:spPr>
            <a:ln w="12700" cap="rnd">
              <a:solidFill>
                <a:schemeClr val="accent4"/>
              </a:solidFill>
              <a:round/>
            </a:ln>
            <a:effectLst/>
          </c:spPr>
          <c:marker>
            <c:symbol val="none"/>
          </c:marker>
          <c:cat>
            <c:numRef>
              <c:f>'PMI Analysis'!$A$2:$A$832</c:f>
              <c:numCache>
                <c:formatCode>m/d/yy</c:formatCode>
                <c:ptCount val="831"/>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numCache>
            </c:numRef>
          </c:cat>
          <c:val>
            <c:numRef>
              <c:f>'PMI Analysis'!$E$2:$E$833</c:f>
              <c:numCache>
                <c:formatCode>General</c:formatCode>
                <c:ptCount val="832"/>
                <c:pt idx="1">
                  <c:v>64.3</c:v>
                </c:pt>
                <c:pt idx="2">
                  <c:v>66.7</c:v>
                </c:pt>
                <c:pt idx="3">
                  <c:v>65.8</c:v>
                </c:pt>
                <c:pt idx="4">
                  <c:v>74.8</c:v>
                </c:pt>
                <c:pt idx="5">
                  <c:v>78.099999999999994</c:v>
                </c:pt>
                <c:pt idx="6">
                  <c:v>79.099999999999994</c:v>
                </c:pt>
                <c:pt idx="7">
                  <c:v>77.099999999999994</c:v>
                </c:pt>
                <c:pt idx="8">
                  <c:v>78.7</c:v>
                </c:pt>
                <c:pt idx="9">
                  <c:v>68.599999999999994</c:v>
                </c:pt>
                <c:pt idx="10">
                  <c:v>62.9</c:v>
                </c:pt>
                <c:pt idx="11">
                  <c:v>63.6</c:v>
                </c:pt>
                <c:pt idx="12">
                  <c:v>62.5</c:v>
                </c:pt>
                <c:pt idx="13">
                  <c:v>63</c:v>
                </c:pt>
                <c:pt idx="14">
                  <c:v>61.4</c:v>
                </c:pt>
                <c:pt idx="15">
                  <c:v>61.2</c:v>
                </c:pt>
                <c:pt idx="16">
                  <c:v>53.5</c:v>
                </c:pt>
                <c:pt idx="17">
                  <c:v>54.2</c:v>
                </c:pt>
                <c:pt idx="18">
                  <c:v>48.6</c:v>
                </c:pt>
                <c:pt idx="19">
                  <c:v>41.6</c:v>
                </c:pt>
                <c:pt idx="20">
                  <c:v>48.4</c:v>
                </c:pt>
                <c:pt idx="21">
                  <c:v>50.2</c:v>
                </c:pt>
                <c:pt idx="22">
                  <c:v>50.3</c:v>
                </c:pt>
                <c:pt idx="23">
                  <c:v>50.9</c:v>
                </c:pt>
                <c:pt idx="24">
                  <c:v>52.8</c:v>
                </c:pt>
                <c:pt idx="25">
                  <c:v>49.5</c:v>
                </c:pt>
                <c:pt idx="26">
                  <c:v>49.9</c:v>
                </c:pt>
                <c:pt idx="27">
                  <c:v>48.7</c:v>
                </c:pt>
                <c:pt idx="28">
                  <c:v>43.5</c:v>
                </c:pt>
                <c:pt idx="29">
                  <c:v>45.7</c:v>
                </c:pt>
                <c:pt idx="30">
                  <c:v>49.5</c:v>
                </c:pt>
                <c:pt idx="31">
                  <c:v>37.200000000000003</c:v>
                </c:pt>
                <c:pt idx="32">
                  <c:v>84</c:v>
                </c:pt>
                <c:pt idx="33">
                  <c:v>66</c:v>
                </c:pt>
                <c:pt idx="34">
                  <c:v>65.3</c:v>
                </c:pt>
                <c:pt idx="35">
                  <c:v>65</c:v>
                </c:pt>
                <c:pt idx="36">
                  <c:v>64.3</c:v>
                </c:pt>
                <c:pt idx="37">
                  <c:v>69.8</c:v>
                </c:pt>
                <c:pt idx="38">
                  <c:v>62.4</c:v>
                </c:pt>
                <c:pt idx="39">
                  <c:v>54</c:v>
                </c:pt>
                <c:pt idx="40">
                  <c:v>57.3</c:v>
                </c:pt>
                <c:pt idx="41">
                  <c:v>57.1</c:v>
                </c:pt>
                <c:pt idx="42">
                  <c:v>55.2</c:v>
                </c:pt>
                <c:pt idx="43">
                  <c:v>53.1</c:v>
                </c:pt>
                <c:pt idx="44">
                  <c:v>50.7</c:v>
                </c:pt>
                <c:pt idx="45">
                  <c:v>46.8</c:v>
                </c:pt>
                <c:pt idx="46">
                  <c:v>44.6</c:v>
                </c:pt>
                <c:pt idx="47">
                  <c:v>43.4</c:v>
                </c:pt>
                <c:pt idx="48">
                  <c:v>41.3</c:v>
                </c:pt>
                <c:pt idx="49">
                  <c:v>45</c:v>
                </c:pt>
                <c:pt idx="50">
                  <c:v>46</c:v>
                </c:pt>
                <c:pt idx="51">
                  <c:v>51.5</c:v>
                </c:pt>
                <c:pt idx="52">
                  <c:v>55.4</c:v>
                </c:pt>
                <c:pt idx="53">
                  <c:v>56.3</c:v>
                </c:pt>
                <c:pt idx="54">
                  <c:v>59.4</c:v>
                </c:pt>
                <c:pt idx="55">
                  <c:v>57.4</c:v>
                </c:pt>
                <c:pt idx="56">
                  <c:v>56.2</c:v>
                </c:pt>
                <c:pt idx="57">
                  <c:v>57</c:v>
                </c:pt>
                <c:pt idx="58">
                  <c:v>62.4</c:v>
                </c:pt>
                <c:pt idx="59">
                  <c:v>63</c:v>
                </c:pt>
                <c:pt idx="60">
                  <c:v>70.5</c:v>
                </c:pt>
                <c:pt idx="61">
                  <c:v>69.099999999999994</c:v>
                </c:pt>
                <c:pt idx="62">
                  <c:v>70.900000000000006</c:v>
                </c:pt>
                <c:pt idx="63">
                  <c:v>71</c:v>
                </c:pt>
                <c:pt idx="64">
                  <c:v>73.8</c:v>
                </c:pt>
                <c:pt idx="65">
                  <c:v>73.5</c:v>
                </c:pt>
                <c:pt idx="66">
                  <c:v>65.5</c:v>
                </c:pt>
                <c:pt idx="67">
                  <c:v>72.099999999999994</c:v>
                </c:pt>
                <c:pt idx="68">
                  <c:v>67.099999999999994</c:v>
                </c:pt>
                <c:pt idx="69">
                  <c:v>64.3</c:v>
                </c:pt>
                <c:pt idx="70">
                  <c:v>65.099999999999994</c:v>
                </c:pt>
                <c:pt idx="71">
                  <c:v>63.9</c:v>
                </c:pt>
                <c:pt idx="72">
                  <c:v>72.400000000000006</c:v>
                </c:pt>
                <c:pt idx="73">
                  <c:v>64</c:v>
                </c:pt>
                <c:pt idx="74">
                  <c:v>63.5</c:v>
                </c:pt>
                <c:pt idx="75">
                  <c:v>61</c:v>
                </c:pt>
                <c:pt idx="76">
                  <c:v>58.9</c:v>
                </c:pt>
                <c:pt idx="77">
                  <c:v>52.8</c:v>
                </c:pt>
                <c:pt idx="78">
                  <c:v>49.2</c:v>
                </c:pt>
                <c:pt idx="79">
                  <c:v>38</c:v>
                </c:pt>
                <c:pt idx="80">
                  <c:v>51.5</c:v>
                </c:pt>
                <c:pt idx="81">
                  <c:v>60.2</c:v>
                </c:pt>
                <c:pt idx="82">
                  <c:v>56.7</c:v>
                </c:pt>
                <c:pt idx="83">
                  <c:v>62.3</c:v>
                </c:pt>
                <c:pt idx="84">
                  <c:v>57.7</c:v>
                </c:pt>
                <c:pt idx="85">
                  <c:v>56.6</c:v>
                </c:pt>
                <c:pt idx="86">
                  <c:v>57.9</c:v>
                </c:pt>
                <c:pt idx="87">
                  <c:v>52.1</c:v>
                </c:pt>
                <c:pt idx="88">
                  <c:v>47.9</c:v>
                </c:pt>
                <c:pt idx="89">
                  <c:v>49.9</c:v>
                </c:pt>
                <c:pt idx="90">
                  <c:v>53.6</c:v>
                </c:pt>
                <c:pt idx="91">
                  <c:v>49.2</c:v>
                </c:pt>
                <c:pt idx="92">
                  <c:v>51.3</c:v>
                </c:pt>
                <c:pt idx="93">
                  <c:v>50.6</c:v>
                </c:pt>
                <c:pt idx="94">
                  <c:v>42.9</c:v>
                </c:pt>
                <c:pt idx="95">
                  <c:v>44.4</c:v>
                </c:pt>
                <c:pt idx="96">
                  <c:v>40</c:v>
                </c:pt>
                <c:pt idx="97">
                  <c:v>34.9</c:v>
                </c:pt>
                <c:pt idx="98">
                  <c:v>37.799999999999997</c:v>
                </c:pt>
                <c:pt idx="99">
                  <c:v>45.1</c:v>
                </c:pt>
                <c:pt idx="100">
                  <c:v>41</c:v>
                </c:pt>
                <c:pt idx="101">
                  <c:v>52.6</c:v>
                </c:pt>
                <c:pt idx="102">
                  <c:v>58.9</c:v>
                </c:pt>
                <c:pt idx="103">
                  <c:v>61.2</c:v>
                </c:pt>
                <c:pt idx="104">
                  <c:v>64.5</c:v>
                </c:pt>
                <c:pt idx="105">
                  <c:v>66.8</c:v>
                </c:pt>
                <c:pt idx="106">
                  <c:v>70</c:v>
                </c:pt>
                <c:pt idx="107">
                  <c:v>68.3</c:v>
                </c:pt>
                <c:pt idx="108">
                  <c:v>63.9</c:v>
                </c:pt>
                <c:pt idx="109">
                  <c:v>70.7</c:v>
                </c:pt>
                <c:pt idx="110">
                  <c:v>70.3</c:v>
                </c:pt>
                <c:pt idx="111">
                  <c:v>71.2</c:v>
                </c:pt>
                <c:pt idx="112">
                  <c:v>72.099999999999994</c:v>
                </c:pt>
                <c:pt idx="113">
                  <c:v>73.900000000000006</c:v>
                </c:pt>
                <c:pt idx="114">
                  <c:v>66.3</c:v>
                </c:pt>
                <c:pt idx="115">
                  <c:v>64.8</c:v>
                </c:pt>
                <c:pt idx="116">
                  <c:v>57.4</c:v>
                </c:pt>
                <c:pt idx="117">
                  <c:v>50.9</c:v>
                </c:pt>
                <c:pt idx="118">
                  <c:v>50.4</c:v>
                </c:pt>
                <c:pt idx="119">
                  <c:v>51.9</c:v>
                </c:pt>
                <c:pt idx="120">
                  <c:v>61.7</c:v>
                </c:pt>
                <c:pt idx="121">
                  <c:v>71.900000000000006</c:v>
                </c:pt>
                <c:pt idx="122">
                  <c:v>58.6</c:v>
                </c:pt>
                <c:pt idx="123">
                  <c:v>52.4</c:v>
                </c:pt>
                <c:pt idx="124">
                  <c:v>49.8</c:v>
                </c:pt>
                <c:pt idx="125">
                  <c:v>45</c:v>
                </c:pt>
                <c:pt idx="126">
                  <c:v>48.5</c:v>
                </c:pt>
                <c:pt idx="127">
                  <c:v>48.2</c:v>
                </c:pt>
                <c:pt idx="128">
                  <c:v>50.3</c:v>
                </c:pt>
                <c:pt idx="129">
                  <c:v>50</c:v>
                </c:pt>
                <c:pt idx="130">
                  <c:v>51.2</c:v>
                </c:pt>
                <c:pt idx="131">
                  <c:v>45.6</c:v>
                </c:pt>
                <c:pt idx="132">
                  <c:v>47.5</c:v>
                </c:pt>
                <c:pt idx="133">
                  <c:v>47.3</c:v>
                </c:pt>
                <c:pt idx="134">
                  <c:v>49.2</c:v>
                </c:pt>
                <c:pt idx="135">
                  <c:v>55.4</c:v>
                </c:pt>
                <c:pt idx="136">
                  <c:v>61.7</c:v>
                </c:pt>
                <c:pt idx="137">
                  <c:v>66.599999999999994</c:v>
                </c:pt>
                <c:pt idx="138">
                  <c:v>65.3</c:v>
                </c:pt>
                <c:pt idx="139">
                  <c:v>64.3</c:v>
                </c:pt>
                <c:pt idx="140">
                  <c:v>68.400000000000006</c:v>
                </c:pt>
                <c:pt idx="141">
                  <c:v>66.8</c:v>
                </c:pt>
                <c:pt idx="142">
                  <c:v>66.3</c:v>
                </c:pt>
                <c:pt idx="143">
                  <c:v>58.3</c:v>
                </c:pt>
                <c:pt idx="144">
                  <c:v>66.099999999999994</c:v>
                </c:pt>
                <c:pt idx="145">
                  <c:v>66.400000000000006</c:v>
                </c:pt>
                <c:pt idx="146">
                  <c:v>64.7</c:v>
                </c:pt>
                <c:pt idx="147">
                  <c:v>66.900000000000006</c:v>
                </c:pt>
                <c:pt idx="148">
                  <c:v>57.4</c:v>
                </c:pt>
                <c:pt idx="149">
                  <c:v>55.3</c:v>
                </c:pt>
                <c:pt idx="150">
                  <c:v>54.8</c:v>
                </c:pt>
                <c:pt idx="151">
                  <c:v>54.7</c:v>
                </c:pt>
                <c:pt idx="152">
                  <c:v>52.5</c:v>
                </c:pt>
                <c:pt idx="153">
                  <c:v>52.4</c:v>
                </c:pt>
                <c:pt idx="154">
                  <c:v>54</c:v>
                </c:pt>
                <c:pt idx="155">
                  <c:v>56.9</c:v>
                </c:pt>
                <c:pt idx="156">
                  <c:v>63.3</c:v>
                </c:pt>
                <c:pt idx="157">
                  <c:v>56.5</c:v>
                </c:pt>
                <c:pt idx="158">
                  <c:v>57.7</c:v>
                </c:pt>
                <c:pt idx="159">
                  <c:v>56.3</c:v>
                </c:pt>
                <c:pt idx="160">
                  <c:v>61</c:v>
                </c:pt>
                <c:pt idx="161">
                  <c:v>60.4</c:v>
                </c:pt>
                <c:pt idx="162">
                  <c:v>60.6</c:v>
                </c:pt>
                <c:pt idx="163">
                  <c:v>60.4</c:v>
                </c:pt>
                <c:pt idx="164">
                  <c:v>56.8</c:v>
                </c:pt>
                <c:pt idx="165">
                  <c:v>63.2</c:v>
                </c:pt>
                <c:pt idx="166">
                  <c:v>63.3</c:v>
                </c:pt>
                <c:pt idx="167">
                  <c:v>64.099999999999994</c:v>
                </c:pt>
                <c:pt idx="168">
                  <c:v>60.7</c:v>
                </c:pt>
                <c:pt idx="169">
                  <c:v>63.3</c:v>
                </c:pt>
                <c:pt idx="170">
                  <c:v>64</c:v>
                </c:pt>
                <c:pt idx="171">
                  <c:v>64.400000000000006</c:v>
                </c:pt>
                <c:pt idx="172">
                  <c:v>60.6</c:v>
                </c:pt>
                <c:pt idx="173">
                  <c:v>61</c:v>
                </c:pt>
                <c:pt idx="174">
                  <c:v>62.1</c:v>
                </c:pt>
                <c:pt idx="175">
                  <c:v>63.7</c:v>
                </c:pt>
                <c:pt idx="176">
                  <c:v>63.9</c:v>
                </c:pt>
                <c:pt idx="177">
                  <c:v>64.900000000000006</c:v>
                </c:pt>
                <c:pt idx="178">
                  <c:v>61.8</c:v>
                </c:pt>
                <c:pt idx="179">
                  <c:v>62.1</c:v>
                </c:pt>
                <c:pt idx="180">
                  <c:v>63.5</c:v>
                </c:pt>
                <c:pt idx="181">
                  <c:v>58.2</c:v>
                </c:pt>
                <c:pt idx="182">
                  <c:v>59.8</c:v>
                </c:pt>
                <c:pt idx="183">
                  <c:v>65.7</c:v>
                </c:pt>
                <c:pt idx="184">
                  <c:v>62.6</c:v>
                </c:pt>
                <c:pt idx="185">
                  <c:v>62.4</c:v>
                </c:pt>
                <c:pt idx="186">
                  <c:v>57.5</c:v>
                </c:pt>
                <c:pt idx="187">
                  <c:v>59</c:v>
                </c:pt>
                <c:pt idx="188">
                  <c:v>56.6</c:v>
                </c:pt>
                <c:pt idx="189">
                  <c:v>63.8</c:v>
                </c:pt>
                <c:pt idx="190">
                  <c:v>60.5</c:v>
                </c:pt>
                <c:pt idx="191">
                  <c:v>60.9</c:v>
                </c:pt>
                <c:pt idx="192">
                  <c:v>64.400000000000006</c:v>
                </c:pt>
                <c:pt idx="193">
                  <c:v>68.400000000000006</c:v>
                </c:pt>
                <c:pt idx="194">
                  <c:v>66.099999999999994</c:v>
                </c:pt>
                <c:pt idx="195">
                  <c:v>63.8</c:v>
                </c:pt>
                <c:pt idx="196">
                  <c:v>63.1</c:v>
                </c:pt>
                <c:pt idx="197">
                  <c:v>55.5</c:v>
                </c:pt>
                <c:pt idx="198">
                  <c:v>57.6</c:v>
                </c:pt>
                <c:pt idx="199">
                  <c:v>59.3</c:v>
                </c:pt>
                <c:pt idx="200">
                  <c:v>57.7</c:v>
                </c:pt>
                <c:pt idx="201">
                  <c:v>57.9</c:v>
                </c:pt>
                <c:pt idx="202">
                  <c:v>57</c:v>
                </c:pt>
                <c:pt idx="203">
                  <c:v>54.2</c:v>
                </c:pt>
                <c:pt idx="204">
                  <c:v>54.1</c:v>
                </c:pt>
                <c:pt idx="205">
                  <c:v>54.1</c:v>
                </c:pt>
                <c:pt idx="206">
                  <c:v>50.4</c:v>
                </c:pt>
                <c:pt idx="207">
                  <c:v>48.7</c:v>
                </c:pt>
                <c:pt idx="208">
                  <c:v>44.3</c:v>
                </c:pt>
                <c:pt idx="209">
                  <c:v>48</c:v>
                </c:pt>
                <c:pt idx="210">
                  <c:v>50.7</c:v>
                </c:pt>
                <c:pt idx="211">
                  <c:v>53.4</c:v>
                </c:pt>
                <c:pt idx="212">
                  <c:v>56.4</c:v>
                </c:pt>
                <c:pt idx="213">
                  <c:v>57.4</c:v>
                </c:pt>
                <c:pt idx="214">
                  <c:v>57.7</c:v>
                </c:pt>
                <c:pt idx="215">
                  <c:v>58.6</c:v>
                </c:pt>
                <c:pt idx="216">
                  <c:v>58.7</c:v>
                </c:pt>
                <c:pt idx="217">
                  <c:v>59.3</c:v>
                </c:pt>
                <c:pt idx="218">
                  <c:v>58.1</c:v>
                </c:pt>
                <c:pt idx="219">
                  <c:v>55.8</c:v>
                </c:pt>
                <c:pt idx="220">
                  <c:v>60.1</c:v>
                </c:pt>
                <c:pt idx="221">
                  <c:v>60</c:v>
                </c:pt>
                <c:pt idx="222">
                  <c:v>54.9</c:v>
                </c:pt>
                <c:pt idx="223">
                  <c:v>56.5</c:v>
                </c:pt>
                <c:pt idx="224">
                  <c:v>56.1</c:v>
                </c:pt>
                <c:pt idx="225">
                  <c:v>57</c:v>
                </c:pt>
                <c:pt idx="226">
                  <c:v>61.1</c:v>
                </c:pt>
                <c:pt idx="227">
                  <c:v>59.8</c:v>
                </c:pt>
                <c:pt idx="228">
                  <c:v>60.6</c:v>
                </c:pt>
                <c:pt idx="229">
                  <c:v>57.1</c:v>
                </c:pt>
                <c:pt idx="230">
                  <c:v>59.1</c:v>
                </c:pt>
                <c:pt idx="231">
                  <c:v>58.8</c:v>
                </c:pt>
                <c:pt idx="232">
                  <c:v>55.1</c:v>
                </c:pt>
                <c:pt idx="233">
                  <c:v>56.3</c:v>
                </c:pt>
                <c:pt idx="234">
                  <c:v>56.9</c:v>
                </c:pt>
                <c:pt idx="235">
                  <c:v>51.2</c:v>
                </c:pt>
                <c:pt idx="236">
                  <c:v>54.1</c:v>
                </c:pt>
                <c:pt idx="237">
                  <c:v>54.8</c:v>
                </c:pt>
                <c:pt idx="238">
                  <c:v>53.2</c:v>
                </c:pt>
                <c:pt idx="239">
                  <c:v>51.2</c:v>
                </c:pt>
                <c:pt idx="240">
                  <c:v>50.3</c:v>
                </c:pt>
                <c:pt idx="241">
                  <c:v>48.1</c:v>
                </c:pt>
                <c:pt idx="242">
                  <c:v>45.9</c:v>
                </c:pt>
                <c:pt idx="243">
                  <c:v>47.3</c:v>
                </c:pt>
                <c:pt idx="244">
                  <c:v>45.5</c:v>
                </c:pt>
                <c:pt idx="245">
                  <c:v>45.2</c:v>
                </c:pt>
                <c:pt idx="246">
                  <c:v>49.7</c:v>
                </c:pt>
                <c:pt idx="247">
                  <c:v>54.5</c:v>
                </c:pt>
                <c:pt idx="248">
                  <c:v>49.7</c:v>
                </c:pt>
                <c:pt idx="249">
                  <c:v>45.1</c:v>
                </c:pt>
                <c:pt idx="250">
                  <c:v>44.1</c:v>
                </c:pt>
                <c:pt idx="251">
                  <c:v>38.5</c:v>
                </c:pt>
                <c:pt idx="252">
                  <c:v>46.8</c:v>
                </c:pt>
                <c:pt idx="253">
                  <c:v>50.5</c:v>
                </c:pt>
                <c:pt idx="254">
                  <c:v>60</c:v>
                </c:pt>
                <c:pt idx="255">
                  <c:v>54.4</c:v>
                </c:pt>
                <c:pt idx="256">
                  <c:v>58.1</c:v>
                </c:pt>
                <c:pt idx="257">
                  <c:v>58.9</c:v>
                </c:pt>
                <c:pt idx="258">
                  <c:v>55.4</c:v>
                </c:pt>
                <c:pt idx="259">
                  <c:v>56.8</c:v>
                </c:pt>
                <c:pt idx="260">
                  <c:v>55.6</c:v>
                </c:pt>
                <c:pt idx="261">
                  <c:v>59.3</c:v>
                </c:pt>
                <c:pt idx="262">
                  <c:v>60.8</c:v>
                </c:pt>
                <c:pt idx="263">
                  <c:v>56.1</c:v>
                </c:pt>
                <c:pt idx="264">
                  <c:v>63.9</c:v>
                </c:pt>
                <c:pt idx="265">
                  <c:v>65.599999999999994</c:v>
                </c:pt>
                <c:pt idx="266">
                  <c:v>67.7</c:v>
                </c:pt>
                <c:pt idx="267">
                  <c:v>63.5</c:v>
                </c:pt>
                <c:pt idx="268">
                  <c:v>62.6</c:v>
                </c:pt>
                <c:pt idx="269">
                  <c:v>65.7</c:v>
                </c:pt>
                <c:pt idx="270">
                  <c:v>62.2</c:v>
                </c:pt>
                <c:pt idx="271">
                  <c:v>65.3</c:v>
                </c:pt>
                <c:pt idx="272">
                  <c:v>63.2</c:v>
                </c:pt>
                <c:pt idx="273">
                  <c:v>68.3</c:v>
                </c:pt>
                <c:pt idx="274">
                  <c:v>66.900000000000006</c:v>
                </c:pt>
                <c:pt idx="275">
                  <c:v>72.7</c:v>
                </c:pt>
                <c:pt idx="276">
                  <c:v>71.8</c:v>
                </c:pt>
                <c:pt idx="277">
                  <c:v>71.099999999999994</c:v>
                </c:pt>
                <c:pt idx="278">
                  <c:v>68.5</c:v>
                </c:pt>
                <c:pt idx="279">
                  <c:v>67.7</c:v>
                </c:pt>
                <c:pt idx="280">
                  <c:v>65.599999999999994</c:v>
                </c:pt>
                <c:pt idx="281">
                  <c:v>59.2</c:v>
                </c:pt>
                <c:pt idx="282">
                  <c:v>62.7</c:v>
                </c:pt>
                <c:pt idx="283">
                  <c:v>50.4</c:v>
                </c:pt>
                <c:pt idx="284">
                  <c:v>59</c:v>
                </c:pt>
                <c:pt idx="285">
                  <c:v>58.2</c:v>
                </c:pt>
                <c:pt idx="286">
                  <c:v>58.4</c:v>
                </c:pt>
                <c:pt idx="287">
                  <c:v>62</c:v>
                </c:pt>
                <c:pt idx="288">
                  <c:v>56</c:v>
                </c:pt>
                <c:pt idx="289">
                  <c:v>55.9</c:v>
                </c:pt>
                <c:pt idx="290">
                  <c:v>49.7</c:v>
                </c:pt>
                <c:pt idx="291">
                  <c:v>55.8</c:v>
                </c:pt>
                <c:pt idx="292">
                  <c:v>54.5</c:v>
                </c:pt>
                <c:pt idx="293">
                  <c:v>51.6</c:v>
                </c:pt>
                <c:pt idx="294">
                  <c:v>50.4</c:v>
                </c:pt>
                <c:pt idx="295">
                  <c:v>52</c:v>
                </c:pt>
                <c:pt idx="296">
                  <c:v>49.6</c:v>
                </c:pt>
                <c:pt idx="297">
                  <c:v>46.3</c:v>
                </c:pt>
                <c:pt idx="298">
                  <c:v>44.3</c:v>
                </c:pt>
                <c:pt idx="299">
                  <c:v>40.9</c:v>
                </c:pt>
                <c:pt idx="300">
                  <c:v>33.4</c:v>
                </c:pt>
                <c:pt idx="301">
                  <c:v>33.4</c:v>
                </c:pt>
                <c:pt idx="302">
                  <c:v>41.5</c:v>
                </c:pt>
                <c:pt idx="303">
                  <c:v>33.1</c:v>
                </c:pt>
                <c:pt idx="304">
                  <c:v>45.5</c:v>
                </c:pt>
                <c:pt idx="305">
                  <c:v>50.5</c:v>
                </c:pt>
                <c:pt idx="306">
                  <c:v>53.1</c:v>
                </c:pt>
                <c:pt idx="307">
                  <c:v>55.8</c:v>
                </c:pt>
                <c:pt idx="308">
                  <c:v>61.1</c:v>
                </c:pt>
                <c:pt idx="309">
                  <c:v>62.3</c:v>
                </c:pt>
                <c:pt idx="310">
                  <c:v>62.3</c:v>
                </c:pt>
                <c:pt idx="311">
                  <c:v>60</c:v>
                </c:pt>
                <c:pt idx="312">
                  <c:v>62.4</c:v>
                </c:pt>
                <c:pt idx="313">
                  <c:v>65.599999999999994</c:v>
                </c:pt>
                <c:pt idx="314">
                  <c:v>64.8</c:v>
                </c:pt>
                <c:pt idx="315">
                  <c:v>63.3</c:v>
                </c:pt>
                <c:pt idx="316">
                  <c:v>64.099999999999994</c:v>
                </c:pt>
                <c:pt idx="317">
                  <c:v>60.5</c:v>
                </c:pt>
                <c:pt idx="318">
                  <c:v>60.5</c:v>
                </c:pt>
                <c:pt idx="319">
                  <c:v>56.7</c:v>
                </c:pt>
                <c:pt idx="320">
                  <c:v>52.9</c:v>
                </c:pt>
                <c:pt idx="321">
                  <c:v>53.2</c:v>
                </c:pt>
                <c:pt idx="322">
                  <c:v>56.1</c:v>
                </c:pt>
                <c:pt idx="323">
                  <c:v>54.4</c:v>
                </c:pt>
                <c:pt idx="324">
                  <c:v>59.6</c:v>
                </c:pt>
                <c:pt idx="325">
                  <c:v>56.9</c:v>
                </c:pt>
                <c:pt idx="326">
                  <c:v>50.8</c:v>
                </c:pt>
                <c:pt idx="327">
                  <c:v>62.5</c:v>
                </c:pt>
                <c:pt idx="328">
                  <c:v>59.2</c:v>
                </c:pt>
                <c:pt idx="329">
                  <c:v>63</c:v>
                </c:pt>
                <c:pt idx="330">
                  <c:v>62.5</c:v>
                </c:pt>
                <c:pt idx="331">
                  <c:v>60.6</c:v>
                </c:pt>
                <c:pt idx="332">
                  <c:v>53.9</c:v>
                </c:pt>
                <c:pt idx="333">
                  <c:v>54.9</c:v>
                </c:pt>
                <c:pt idx="334">
                  <c:v>57</c:v>
                </c:pt>
                <c:pt idx="335">
                  <c:v>58.7</c:v>
                </c:pt>
                <c:pt idx="336">
                  <c:v>64.7</c:v>
                </c:pt>
                <c:pt idx="337">
                  <c:v>57.7</c:v>
                </c:pt>
                <c:pt idx="338">
                  <c:v>54.6</c:v>
                </c:pt>
                <c:pt idx="339">
                  <c:v>57</c:v>
                </c:pt>
                <c:pt idx="340">
                  <c:v>60.3</c:v>
                </c:pt>
                <c:pt idx="341">
                  <c:v>62.3</c:v>
                </c:pt>
                <c:pt idx="342">
                  <c:v>61.7</c:v>
                </c:pt>
                <c:pt idx="343">
                  <c:v>65.099999999999994</c:v>
                </c:pt>
                <c:pt idx="344">
                  <c:v>64.900000000000006</c:v>
                </c:pt>
                <c:pt idx="345">
                  <c:v>65</c:v>
                </c:pt>
                <c:pt idx="346">
                  <c:v>62</c:v>
                </c:pt>
                <c:pt idx="347">
                  <c:v>61.3</c:v>
                </c:pt>
                <c:pt idx="348">
                  <c:v>60.4</c:v>
                </c:pt>
                <c:pt idx="349">
                  <c:v>58.8</c:v>
                </c:pt>
                <c:pt idx="350">
                  <c:v>59</c:v>
                </c:pt>
                <c:pt idx="351">
                  <c:v>57.4</c:v>
                </c:pt>
                <c:pt idx="352">
                  <c:v>55.5</c:v>
                </c:pt>
                <c:pt idx="353">
                  <c:v>52.1</c:v>
                </c:pt>
                <c:pt idx="354">
                  <c:v>50.2</c:v>
                </c:pt>
                <c:pt idx="355">
                  <c:v>49.4</c:v>
                </c:pt>
                <c:pt idx="356">
                  <c:v>49</c:v>
                </c:pt>
                <c:pt idx="357">
                  <c:v>48.3</c:v>
                </c:pt>
                <c:pt idx="358">
                  <c:v>49</c:v>
                </c:pt>
                <c:pt idx="359">
                  <c:v>52.6</c:v>
                </c:pt>
                <c:pt idx="360">
                  <c:v>48.2</c:v>
                </c:pt>
                <c:pt idx="361">
                  <c:v>48.4</c:v>
                </c:pt>
                <c:pt idx="362">
                  <c:v>53.1</c:v>
                </c:pt>
                <c:pt idx="363">
                  <c:v>46.7</c:v>
                </c:pt>
                <c:pt idx="364">
                  <c:v>37.9</c:v>
                </c:pt>
                <c:pt idx="365">
                  <c:v>28.1</c:v>
                </c:pt>
                <c:pt idx="366">
                  <c:v>31.5</c:v>
                </c:pt>
                <c:pt idx="367">
                  <c:v>35.1</c:v>
                </c:pt>
                <c:pt idx="368">
                  <c:v>46.9</c:v>
                </c:pt>
                <c:pt idx="369">
                  <c:v>55.1</c:v>
                </c:pt>
                <c:pt idx="370">
                  <c:v>60.7</c:v>
                </c:pt>
                <c:pt idx="371">
                  <c:v>66.8</c:v>
                </c:pt>
                <c:pt idx="372">
                  <c:v>57.2</c:v>
                </c:pt>
                <c:pt idx="373">
                  <c:v>51.8</c:v>
                </c:pt>
                <c:pt idx="374">
                  <c:v>50.9</c:v>
                </c:pt>
                <c:pt idx="375">
                  <c:v>52.8</c:v>
                </c:pt>
                <c:pt idx="376">
                  <c:v>55</c:v>
                </c:pt>
                <c:pt idx="377">
                  <c:v>59</c:v>
                </c:pt>
                <c:pt idx="378">
                  <c:v>53.9</c:v>
                </c:pt>
                <c:pt idx="379">
                  <c:v>47.6</c:v>
                </c:pt>
                <c:pt idx="380">
                  <c:v>49.5</c:v>
                </c:pt>
                <c:pt idx="381">
                  <c:v>43.8</c:v>
                </c:pt>
                <c:pt idx="382">
                  <c:v>39.4</c:v>
                </c:pt>
                <c:pt idx="383">
                  <c:v>36.1</c:v>
                </c:pt>
                <c:pt idx="384">
                  <c:v>37.299999999999997</c:v>
                </c:pt>
                <c:pt idx="385">
                  <c:v>39</c:v>
                </c:pt>
                <c:pt idx="386">
                  <c:v>40.1</c:v>
                </c:pt>
                <c:pt idx="387">
                  <c:v>38</c:v>
                </c:pt>
                <c:pt idx="388">
                  <c:v>41.3</c:v>
                </c:pt>
                <c:pt idx="389">
                  <c:v>37.200000000000003</c:v>
                </c:pt>
                <c:pt idx="390">
                  <c:v>39.4</c:v>
                </c:pt>
                <c:pt idx="391">
                  <c:v>41.1</c:v>
                </c:pt>
                <c:pt idx="392">
                  <c:v>39.9</c:v>
                </c:pt>
                <c:pt idx="393">
                  <c:v>41.3</c:v>
                </c:pt>
                <c:pt idx="394">
                  <c:v>42</c:v>
                </c:pt>
                <c:pt idx="395">
                  <c:v>42.6</c:v>
                </c:pt>
                <c:pt idx="396">
                  <c:v>44</c:v>
                </c:pt>
                <c:pt idx="397">
                  <c:v>50.8</c:v>
                </c:pt>
                <c:pt idx="398">
                  <c:v>61.1</c:v>
                </c:pt>
                <c:pt idx="399">
                  <c:v>58.4</c:v>
                </c:pt>
                <c:pt idx="400">
                  <c:v>58.2</c:v>
                </c:pt>
                <c:pt idx="401">
                  <c:v>61.5</c:v>
                </c:pt>
                <c:pt idx="402">
                  <c:v>63.2</c:v>
                </c:pt>
                <c:pt idx="403">
                  <c:v>71.5</c:v>
                </c:pt>
                <c:pt idx="404">
                  <c:v>69.900000000000006</c:v>
                </c:pt>
                <c:pt idx="405">
                  <c:v>67.8</c:v>
                </c:pt>
                <c:pt idx="406">
                  <c:v>69.599999999999994</c:v>
                </c:pt>
                <c:pt idx="407">
                  <c:v>70.7</c:v>
                </c:pt>
                <c:pt idx="408">
                  <c:v>80.599999999999994</c:v>
                </c:pt>
                <c:pt idx="409">
                  <c:v>59.9</c:v>
                </c:pt>
                <c:pt idx="410">
                  <c:v>64</c:v>
                </c:pt>
                <c:pt idx="411">
                  <c:v>61.5</c:v>
                </c:pt>
                <c:pt idx="412">
                  <c:v>62.3</c:v>
                </c:pt>
                <c:pt idx="413">
                  <c:v>59.3</c:v>
                </c:pt>
                <c:pt idx="414">
                  <c:v>62.3</c:v>
                </c:pt>
                <c:pt idx="415">
                  <c:v>58.2</c:v>
                </c:pt>
                <c:pt idx="416">
                  <c:v>54.3</c:v>
                </c:pt>
                <c:pt idx="417">
                  <c:v>52.2</c:v>
                </c:pt>
                <c:pt idx="418">
                  <c:v>53.4</c:v>
                </c:pt>
                <c:pt idx="419">
                  <c:v>53.8</c:v>
                </c:pt>
                <c:pt idx="420">
                  <c:v>54.9</c:v>
                </c:pt>
                <c:pt idx="421">
                  <c:v>54.9</c:v>
                </c:pt>
                <c:pt idx="422">
                  <c:v>54.2</c:v>
                </c:pt>
                <c:pt idx="423">
                  <c:v>51.2</c:v>
                </c:pt>
                <c:pt idx="424">
                  <c:v>51.6</c:v>
                </c:pt>
                <c:pt idx="425">
                  <c:v>51.9</c:v>
                </c:pt>
                <c:pt idx="426">
                  <c:v>50.5</c:v>
                </c:pt>
                <c:pt idx="427">
                  <c:v>48.2</c:v>
                </c:pt>
                <c:pt idx="428">
                  <c:v>50.6</c:v>
                </c:pt>
                <c:pt idx="429">
                  <c:v>52.8</c:v>
                </c:pt>
                <c:pt idx="430">
                  <c:v>54.9</c:v>
                </c:pt>
                <c:pt idx="431">
                  <c:v>56.5</c:v>
                </c:pt>
                <c:pt idx="432">
                  <c:v>55.3</c:v>
                </c:pt>
                <c:pt idx="433">
                  <c:v>52.9</c:v>
                </c:pt>
                <c:pt idx="434">
                  <c:v>53.6</c:v>
                </c:pt>
                <c:pt idx="435">
                  <c:v>56</c:v>
                </c:pt>
                <c:pt idx="436">
                  <c:v>52.5</c:v>
                </c:pt>
                <c:pt idx="437">
                  <c:v>55.1</c:v>
                </c:pt>
                <c:pt idx="438">
                  <c:v>53.5</c:v>
                </c:pt>
                <c:pt idx="439">
                  <c:v>49.3</c:v>
                </c:pt>
                <c:pt idx="440">
                  <c:v>56</c:v>
                </c:pt>
                <c:pt idx="441">
                  <c:v>56.5</c:v>
                </c:pt>
                <c:pt idx="442">
                  <c:v>54.2</c:v>
                </c:pt>
                <c:pt idx="443">
                  <c:v>54.7</c:v>
                </c:pt>
                <c:pt idx="444">
                  <c:v>53</c:v>
                </c:pt>
                <c:pt idx="445">
                  <c:v>60.7</c:v>
                </c:pt>
                <c:pt idx="446">
                  <c:v>57.3</c:v>
                </c:pt>
                <c:pt idx="447">
                  <c:v>57.6</c:v>
                </c:pt>
                <c:pt idx="448">
                  <c:v>59.3</c:v>
                </c:pt>
                <c:pt idx="449">
                  <c:v>60.6</c:v>
                </c:pt>
                <c:pt idx="450">
                  <c:v>60.1</c:v>
                </c:pt>
                <c:pt idx="451">
                  <c:v>62.5</c:v>
                </c:pt>
                <c:pt idx="452">
                  <c:v>64.2</c:v>
                </c:pt>
                <c:pt idx="453">
                  <c:v>65.5</c:v>
                </c:pt>
                <c:pt idx="454">
                  <c:v>63.2</c:v>
                </c:pt>
                <c:pt idx="455">
                  <c:v>61.9</c:v>
                </c:pt>
                <c:pt idx="456">
                  <c:v>65.099999999999994</c:v>
                </c:pt>
                <c:pt idx="457">
                  <c:v>59.3</c:v>
                </c:pt>
                <c:pt idx="458">
                  <c:v>58.6</c:v>
                </c:pt>
                <c:pt idx="459">
                  <c:v>57.7</c:v>
                </c:pt>
                <c:pt idx="460">
                  <c:v>59.1</c:v>
                </c:pt>
                <c:pt idx="461">
                  <c:v>58</c:v>
                </c:pt>
                <c:pt idx="462">
                  <c:v>61.7</c:v>
                </c:pt>
                <c:pt idx="463">
                  <c:v>61.2</c:v>
                </c:pt>
                <c:pt idx="464">
                  <c:v>57.8</c:v>
                </c:pt>
                <c:pt idx="465">
                  <c:v>54.8</c:v>
                </c:pt>
                <c:pt idx="466">
                  <c:v>58.7</c:v>
                </c:pt>
                <c:pt idx="467">
                  <c:v>57.5</c:v>
                </c:pt>
                <c:pt idx="468">
                  <c:v>57.6</c:v>
                </c:pt>
                <c:pt idx="469">
                  <c:v>57.9</c:v>
                </c:pt>
                <c:pt idx="470">
                  <c:v>55.6</c:v>
                </c:pt>
                <c:pt idx="471">
                  <c:v>52.7</c:v>
                </c:pt>
                <c:pt idx="472">
                  <c:v>54.9</c:v>
                </c:pt>
                <c:pt idx="473">
                  <c:v>50.7</c:v>
                </c:pt>
                <c:pt idx="474">
                  <c:v>49.5</c:v>
                </c:pt>
                <c:pt idx="475">
                  <c:v>46.9</c:v>
                </c:pt>
                <c:pt idx="476">
                  <c:v>46.7</c:v>
                </c:pt>
                <c:pt idx="477">
                  <c:v>48</c:v>
                </c:pt>
                <c:pt idx="478">
                  <c:v>48.5</c:v>
                </c:pt>
                <c:pt idx="479">
                  <c:v>49.2</c:v>
                </c:pt>
                <c:pt idx="480">
                  <c:v>49.7</c:v>
                </c:pt>
                <c:pt idx="481">
                  <c:v>47.4</c:v>
                </c:pt>
                <c:pt idx="482">
                  <c:v>52.8</c:v>
                </c:pt>
                <c:pt idx="483">
                  <c:v>54.7</c:v>
                </c:pt>
                <c:pt idx="484">
                  <c:v>53.5</c:v>
                </c:pt>
                <c:pt idx="485">
                  <c:v>53.9</c:v>
                </c:pt>
                <c:pt idx="486">
                  <c:v>51.3</c:v>
                </c:pt>
                <c:pt idx="487">
                  <c:v>49.8</c:v>
                </c:pt>
                <c:pt idx="488">
                  <c:v>47.9</c:v>
                </c:pt>
                <c:pt idx="489">
                  <c:v>45.5</c:v>
                </c:pt>
                <c:pt idx="490">
                  <c:v>43.6</c:v>
                </c:pt>
                <c:pt idx="491">
                  <c:v>42.1</c:v>
                </c:pt>
                <c:pt idx="492">
                  <c:v>41.8</c:v>
                </c:pt>
                <c:pt idx="493">
                  <c:v>38.9</c:v>
                </c:pt>
                <c:pt idx="494">
                  <c:v>39.1</c:v>
                </c:pt>
                <c:pt idx="495">
                  <c:v>41.2</c:v>
                </c:pt>
                <c:pt idx="496">
                  <c:v>44.5</c:v>
                </c:pt>
                <c:pt idx="497">
                  <c:v>46.9</c:v>
                </c:pt>
                <c:pt idx="498">
                  <c:v>53.7</c:v>
                </c:pt>
                <c:pt idx="499">
                  <c:v>57.2</c:v>
                </c:pt>
                <c:pt idx="500">
                  <c:v>59.8</c:v>
                </c:pt>
                <c:pt idx="501">
                  <c:v>61.2</c:v>
                </c:pt>
                <c:pt idx="502">
                  <c:v>60.7</c:v>
                </c:pt>
                <c:pt idx="503">
                  <c:v>52.1</c:v>
                </c:pt>
                <c:pt idx="504">
                  <c:v>50.6</c:v>
                </c:pt>
                <c:pt idx="505">
                  <c:v>50.4</c:v>
                </c:pt>
                <c:pt idx="506">
                  <c:v>58.7</c:v>
                </c:pt>
                <c:pt idx="507">
                  <c:v>59.7</c:v>
                </c:pt>
                <c:pt idx="508">
                  <c:v>57.8</c:v>
                </c:pt>
                <c:pt idx="509">
                  <c:v>61.2</c:v>
                </c:pt>
                <c:pt idx="510">
                  <c:v>57.6</c:v>
                </c:pt>
                <c:pt idx="511">
                  <c:v>57.4</c:v>
                </c:pt>
                <c:pt idx="512">
                  <c:v>56.8</c:v>
                </c:pt>
                <c:pt idx="513">
                  <c:v>53.9</c:v>
                </c:pt>
                <c:pt idx="514">
                  <c:v>54.7</c:v>
                </c:pt>
                <c:pt idx="515">
                  <c:v>58.6</c:v>
                </c:pt>
                <c:pt idx="516">
                  <c:v>57.9</c:v>
                </c:pt>
                <c:pt idx="517">
                  <c:v>61.5</c:v>
                </c:pt>
                <c:pt idx="518">
                  <c:v>63.5</c:v>
                </c:pt>
                <c:pt idx="519">
                  <c:v>56.7</c:v>
                </c:pt>
                <c:pt idx="520">
                  <c:v>51.6</c:v>
                </c:pt>
                <c:pt idx="521">
                  <c:v>55</c:v>
                </c:pt>
                <c:pt idx="522">
                  <c:v>53.1</c:v>
                </c:pt>
                <c:pt idx="523">
                  <c:v>52.7</c:v>
                </c:pt>
                <c:pt idx="524">
                  <c:v>53.9</c:v>
                </c:pt>
                <c:pt idx="525">
                  <c:v>55.2</c:v>
                </c:pt>
                <c:pt idx="526">
                  <c:v>56.1</c:v>
                </c:pt>
                <c:pt idx="527">
                  <c:v>57.5</c:v>
                </c:pt>
                <c:pt idx="528">
                  <c:v>61.7</c:v>
                </c:pt>
                <c:pt idx="529">
                  <c:v>59.7</c:v>
                </c:pt>
                <c:pt idx="530">
                  <c:v>60.2</c:v>
                </c:pt>
                <c:pt idx="531">
                  <c:v>63.4</c:v>
                </c:pt>
                <c:pt idx="532">
                  <c:v>61.4</c:v>
                </c:pt>
                <c:pt idx="533">
                  <c:v>62.7</c:v>
                </c:pt>
                <c:pt idx="534">
                  <c:v>62</c:v>
                </c:pt>
                <c:pt idx="535">
                  <c:v>62.3</c:v>
                </c:pt>
                <c:pt idx="536">
                  <c:v>60.2</c:v>
                </c:pt>
                <c:pt idx="537">
                  <c:v>62.8</c:v>
                </c:pt>
                <c:pt idx="538">
                  <c:v>63.3</c:v>
                </c:pt>
                <c:pt idx="539">
                  <c:v>63.9</c:v>
                </c:pt>
                <c:pt idx="540">
                  <c:v>59.5</c:v>
                </c:pt>
                <c:pt idx="541">
                  <c:v>60.9</c:v>
                </c:pt>
                <c:pt idx="542">
                  <c:v>57.4</c:v>
                </c:pt>
                <c:pt idx="543">
                  <c:v>54.8</c:v>
                </c:pt>
                <c:pt idx="544">
                  <c:v>54.1</c:v>
                </c:pt>
                <c:pt idx="545">
                  <c:v>49.9</c:v>
                </c:pt>
                <c:pt idx="546">
                  <c:v>46.1</c:v>
                </c:pt>
                <c:pt idx="547">
                  <c:v>51.6</c:v>
                </c:pt>
                <c:pt idx="548">
                  <c:v>49.1</c:v>
                </c:pt>
                <c:pt idx="549">
                  <c:v>50.5</c:v>
                </c:pt>
                <c:pt idx="550">
                  <c:v>47</c:v>
                </c:pt>
                <c:pt idx="551">
                  <c:v>45</c:v>
                </c:pt>
                <c:pt idx="552">
                  <c:v>46.9</c:v>
                </c:pt>
                <c:pt idx="553">
                  <c:v>45.6</c:v>
                </c:pt>
                <c:pt idx="554">
                  <c:v>45.7</c:v>
                </c:pt>
                <c:pt idx="555">
                  <c:v>47.3</c:v>
                </c:pt>
                <c:pt idx="556">
                  <c:v>51.6</c:v>
                </c:pt>
                <c:pt idx="557">
                  <c:v>53</c:v>
                </c:pt>
                <c:pt idx="558">
                  <c:v>55.5</c:v>
                </c:pt>
                <c:pt idx="559">
                  <c:v>52.4</c:v>
                </c:pt>
                <c:pt idx="560">
                  <c:v>55.1</c:v>
                </c:pt>
                <c:pt idx="561">
                  <c:v>53.5</c:v>
                </c:pt>
                <c:pt idx="562">
                  <c:v>55.4</c:v>
                </c:pt>
                <c:pt idx="563">
                  <c:v>58.1</c:v>
                </c:pt>
                <c:pt idx="564">
                  <c:v>58.9</c:v>
                </c:pt>
                <c:pt idx="565">
                  <c:v>59.8</c:v>
                </c:pt>
                <c:pt idx="566">
                  <c:v>58.9</c:v>
                </c:pt>
                <c:pt idx="567">
                  <c:v>55</c:v>
                </c:pt>
                <c:pt idx="568">
                  <c:v>56.8</c:v>
                </c:pt>
                <c:pt idx="569">
                  <c:v>56.7</c:v>
                </c:pt>
                <c:pt idx="570">
                  <c:v>56.5</c:v>
                </c:pt>
                <c:pt idx="571">
                  <c:v>64.5</c:v>
                </c:pt>
                <c:pt idx="572">
                  <c:v>61.5</c:v>
                </c:pt>
                <c:pt idx="573">
                  <c:v>56.6</c:v>
                </c:pt>
                <c:pt idx="574">
                  <c:v>59.4</c:v>
                </c:pt>
                <c:pt idx="575">
                  <c:v>60.1</c:v>
                </c:pt>
                <c:pt idx="576">
                  <c:v>56.7</c:v>
                </c:pt>
                <c:pt idx="577">
                  <c:v>55.6</c:v>
                </c:pt>
                <c:pt idx="578">
                  <c:v>54.6</c:v>
                </c:pt>
                <c:pt idx="579">
                  <c:v>54.5</c:v>
                </c:pt>
                <c:pt idx="580">
                  <c:v>53.3</c:v>
                </c:pt>
                <c:pt idx="581">
                  <c:v>53.2</c:v>
                </c:pt>
                <c:pt idx="582">
                  <c:v>50.6</c:v>
                </c:pt>
                <c:pt idx="583">
                  <c:v>50.8</c:v>
                </c:pt>
                <c:pt idx="584">
                  <c:v>50.7</c:v>
                </c:pt>
                <c:pt idx="585">
                  <c:v>51.2</c:v>
                </c:pt>
                <c:pt idx="586">
                  <c:v>52.4</c:v>
                </c:pt>
                <c:pt idx="587">
                  <c:v>50.4</c:v>
                </c:pt>
                <c:pt idx="588">
                  <c:v>47.7</c:v>
                </c:pt>
                <c:pt idx="589">
                  <c:v>55.6</c:v>
                </c:pt>
                <c:pt idx="590">
                  <c:v>56</c:v>
                </c:pt>
                <c:pt idx="591">
                  <c:v>55.7</c:v>
                </c:pt>
                <c:pt idx="592">
                  <c:v>57.2</c:v>
                </c:pt>
                <c:pt idx="593">
                  <c:v>58.5</c:v>
                </c:pt>
                <c:pt idx="594">
                  <c:v>61.6</c:v>
                </c:pt>
                <c:pt idx="595">
                  <c:v>58.1</c:v>
                </c:pt>
                <c:pt idx="596">
                  <c:v>58.3</c:v>
                </c:pt>
                <c:pt idx="597">
                  <c:v>59.9</c:v>
                </c:pt>
                <c:pt idx="598">
                  <c:v>59.7</c:v>
                </c:pt>
                <c:pt idx="599">
                  <c:v>60.2</c:v>
                </c:pt>
                <c:pt idx="600">
                  <c:v>60.6</c:v>
                </c:pt>
                <c:pt idx="601">
                  <c:v>57.8</c:v>
                </c:pt>
                <c:pt idx="602">
                  <c:v>59.1</c:v>
                </c:pt>
                <c:pt idx="603">
                  <c:v>59.5</c:v>
                </c:pt>
                <c:pt idx="604">
                  <c:v>58.1</c:v>
                </c:pt>
                <c:pt idx="605">
                  <c:v>56.4</c:v>
                </c:pt>
                <c:pt idx="606">
                  <c:v>53.4</c:v>
                </c:pt>
                <c:pt idx="607">
                  <c:v>53.7</c:v>
                </c:pt>
                <c:pt idx="608">
                  <c:v>49.7</c:v>
                </c:pt>
                <c:pt idx="609">
                  <c:v>51.5</c:v>
                </c:pt>
                <c:pt idx="610">
                  <c:v>49.3</c:v>
                </c:pt>
                <c:pt idx="611">
                  <c:v>50.1</c:v>
                </c:pt>
                <c:pt idx="612">
                  <c:v>42.9</c:v>
                </c:pt>
                <c:pt idx="613">
                  <c:v>39.200000000000003</c:v>
                </c:pt>
                <c:pt idx="614">
                  <c:v>38.6</c:v>
                </c:pt>
                <c:pt idx="615">
                  <c:v>42.6</c:v>
                </c:pt>
                <c:pt idx="616">
                  <c:v>43.1</c:v>
                </c:pt>
                <c:pt idx="617">
                  <c:v>43.1</c:v>
                </c:pt>
                <c:pt idx="618">
                  <c:v>45.3</c:v>
                </c:pt>
                <c:pt idx="619">
                  <c:v>47</c:v>
                </c:pt>
                <c:pt idx="620">
                  <c:v>51.8</c:v>
                </c:pt>
                <c:pt idx="621">
                  <c:v>51.8</c:v>
                </c:pt>
                <c:pt idx="622">
                  <c:v>41.8</c:v>
                </c:pt>
                <c:pt idx="623">
                  <c:v>46.9</c:v>
                </c:pt>
                <c:pt idx="624">
                  <c:v>49.2</c:v>
                </c:pt>
                <c:pt idx="625">
                  <c:v>51.1</c:v>
                </c:pt>
                <c:pt idx="626">
                  <c:v>58.1</c:v>
                </c:pt>
                <c:pt idx="627">
                  <c:v>58.3</c:v>
                </c:pt>
                <c:pt idx="628">
                  <c:v>59.1</c:v>
                </c:pt>
                <c:pt idx="629">
                  <c:v>59.4</c:v>
                </c:pt>
                <c:pt idx="630">
                  <c:v>61.1</c:v>
                </c:pt>
                <c:pt idx="631">
                  <c:v>56.6</c:v>
                </c:pt>
                <c:pt idx="632">
                  <c:v>54.9</c:v>
                </c:pt>
                <c:pt idx="633">
                  <c:v>53.5</c:v>
                </c:pt>
                <c:pt idx="634">
                  <c:v>51.3</c:v>
                </c:pt>
                <c:pt idx="635">
                  <c:v>52.7</c:v>
                </c:pt>
                <c:pt idx="636">
                  <c:v>53.9</c:v>
                </c:pt>
                <c:pt idx="637">
                  <c:v>54.1</c:v>
                </c:pt>
                <c:pt idx="638">
                  <c:v>53.6</c:v>
                </c:pt>
                <c:pt idx="639">
                  <c:v>47</c:v>
                </c:pt>
                <c:pt idx="640">
                  <c:v>48.5</c:v>
                </c:pt>
                <c:pt idx="641">
                  <c:v>52.9</c:v>
                </c:pt>
                <c:pt idx="642">
                  <c:v>54.1</c:v>
                </c:pt>
                <c:pt idx="643">
                  <c:v>53.9</c:v>
                </c:pt>
                <c:pt idx="644">
                  <c:v>61.8</c:v>
                </c:pt>
                <c:pt idx="645">
                  <c:v>57.8</c:v>
                </c:pt>
                <c:pt idx="646">
                  <c:v>62.8</c:v>
                </c:pt>
                <c:pt idx="647">
                  <c:v>66.599999999999994</c:v>
                </c:pt>
                <c:pt idx="648">
                  <c:v>70</c:v>
                </c:pt>
                <c:pt idx="649">
                  <c:v>69.3</c:v>
                </c:pt>
                <c:pt idx="650">
                  <c:v>65.599999999999994</c:v>
                </c:pt>
                <c:pt idx="651">
                  <c:v>66.8</c:v>
                </c:pt>
                <c:pt idx="652">
                  <c:v>66.599999999999994</c:v>
                </c:pt>
                <c:pt idx="653">
                  <c:v>65.3</c:v>
                </c:pt>
                <c:pt idx="654">
                  <c:v>63.7</c:v>
                </c:pt>
                <c:pt idx="655">
                  <c:v>63.8</c:v>
                </c:pt>
                <c:pt idx="656">
                  <c:v>59.3</c:v>
                </c:pt>
                <c:pt idx="657">
                  <c:v>59.8</c:v>
                </c:pt>
                <c:pt idx="658">
                  <c:v>59.3</c:v>
                </c:pt>
                <c:pt idx="659">
                  <c:v>57.3</c:v>
                </c:pt>
                <c:pt idx="660">
                  <c:v>57.9</c:v>
                </c:pt>
                <c:pt idx="661">
                  <c:v>59.3</c:v>
                </c:pt>
                <c:pt idx="662">
                  <c:v>58.2</c:v>
                </c:pt>
                <c:pt idx="663">
                  <c:v>57.5</c:v>
                </c:pt>
                <c:pt idx="664">
                  <c:v>54.2</c:v>
                </c:pt>
                <c:pt idx="665">
                  <c:v>54.7</c:v>
                </c:pt>
                <c:pt idx="666">
                  <c:v>55.1</c:v>
                </c:pt>
                <c:pt idx="667">
                  <c:v>57.4</c:v>
                </c:pt>
                <c:pt idx="668">
                  <c:v>55.6</c:v>
                </c:pt>
                <c:pt idx="669">
                  <c:v>62.4</c:v>
                </c:pt>
                <c:pt idx="670">
                  <c:v>62.1</c:v>
                </c:pt>
                <c:pt idx="671">
                  <c:v>62.4</c:v>
                </c:pt>
                <c:pt idx="672">
                  <c:v>60.3</c:v>
                </c:pt>
                <c:pt idx="673">
                  <c:v>59.7</c:v>
                </c:pt>
                <c:pt idx="674">
                  <c:v>57.9</c:v>
                </c:pt>
                <c:pt idx="675">
                  <c:v>57</c:v>
                </c:pt>
                <c:pt idx="676">
                  <c:v>57.1</c:v>
                </c:pt>
                <c:pt idx="677">
                  <c:v>56</c:v>
                </c:pt>
                <c:pt idx="678">
                  <c:v>53.4</c:v>
                </c:pt>
                <c:pt idx="679">
                  <c:v>56.9</c:v>
                </c:pt>
                <c:pt idx="680">
                  <c:v>55.2</c:v>
                </c:pt>
                <c:pt idx="681">
                  <c:v>56.2</c:v>
                </c:pt>
                <c:pt idx="682">
                  <c:v>54.3</c:v>
                </c:pt>
                <c:pt idx="683">
                  <c:v>50.7</c:v>
                </c:pt>
                <c:pt idx="684">
                  <c:v>52.7</c:v>
                </c:pt>
                <c:pt idx="685">
                  <c:v>51.2</c:v>
                </c:pt>
                <c:pt idx="686">
                  <c:v>53.8</c:v>
                </c:pt>
                <c:pt idx="687">
                  <c:v>53.1</c:v>
                </c:pt>
                <c:pt idx="688">
                  <c:v>56.2</c:v>
                </c:pt>
                <c:pt idx="689">
                  <c:v>56.2</c:v>
                </c:pt>
                <c:pt idx="690">
                  <c:v>59.5</c:v>
                </c:pt>
                <c:pt idx="691">
                  <c:v>57</c:v>
                </c:pt>
                <c:pt idx="692">
                  <c:v>54.3</c:v>
                </c:pt>
                <c:pt idx="693">
                  <c:v>56.3</c:v>
                </c:pt>
                <c:pt idx="694">
                  <c:v>51.3</c:v>
                </c:pt>
                <c:pt idx="695">
                  <c:v>53.7</c:v>
                </c:pt>
                <c:pt idx="696">
                  <c:v>49.2</c:v>
                </c:pt>
                <c:pt idx="697">
                  <c:v>53.7</c:v>
                </c:pt>
                <c:pt idx="698">
                  <c:v>47.4</c:v>
                </c:pt>
                <c:pt idx="699">
                  <c:v>48.3</c:v>
                </c:pt>
                <c:pt idx="700">
                  <c:v>48.3</c:v>
                </c:pt>
                <c:pt idx="701">
                  <c:v>49.4</c:v>
                </c:pt>
                <c:pt idx="702">
                  <c:v>50.7</c:v>
                </c:pt>
                <c:pt idx="703">
                  <c:v>54.6</c:v>
                </c:pt>
                <c:pt idx="704">
                  <c:v>50.4</c:v>
                </c:pt>
                <c:pt idx="705">
                  <c:v>45.4</c:v>
                </c:pt>
                <c:pt idx="706">
                  <c:v>33.6</c:v>
                </c:pt>
                <c:pt idx="707">
                  <c:v>32.4</c:v>
                </c:pt>
                <c:pt idx="708">
                  <c:v>26.3</c:v>
                </c:pt>
                <c:pt idx="709">
                  <c:v>30.3</c:v>
                </c:pt>
                <c:pt idx="710">
                  <c:v>35.299999999999997</c:v>
                </c:pt>
                <c:pt idx="711">
                  <c:v>36.299999999999997</c:v>
                </c:pt>
                <c:pt idx="712">
                  <c:v>39</c:v>
                </c:pt>
                <c:pt idx="713">
                  <c:v>42.7</c:v>
                </c:pt>
                <c:pt idx="714">
                  <c:v>55.4</c:v>
                </c:pt>
                <c:pt idx="715">
                  <c:v>59.9</c:v>
                </c:pt>
                <c:pt idx="716">
                  <c:v>62.4</c:v>
                </c:pt>
                <c:pt idx="717">
                  <c:v>61.2</c:v>
                </c:pt>
                <c:pt idx="718">
                  <c:v>63</c:v>
                </c:pt>
                <c:pt idx="719">
                  <c:v>62.7</c:v>
                </c:pt>
                <c:pt idx="720">
                  <c:v>62.3</c:v>
                </c:pt>
                <c:pt idx="721">
                  <c:v>64.7</c:v>
                </c:pt>
                <c:pt idx="722">
                  <c:v>58.4</c:v>
                </c:pt>
                <c:pt idx="723">
                  <c:v>60.7</c:v>
                </c:pt>
                <c:pt idx="724">
                  <c:v>63</c:v>
                </c:pt>
                <c:pt idx="725">
                  <c:v>64.599999999999994</c:v>
                </c:pt>
                <c:pt idx="726">
                  <c:v>62.2</c:v>
                </c:pt>
                <c:pt idx="727">
                  <c:v>57.7</c:v>
                </c:pt>
                <c:pt idx="728">
                  <c:v>60.7</c:v>
                </c:pt>
                <c:pt idx="729">
                  <c:v>60.2</c:v>
                </c:pt>
                <c:pt idx="730">
                  <c:v>63.5</c:v>
                </c:pt>
                <c:pt idx="731">
                  <c:v>56</c:v>
                </c:pt>
                <c:pt idx="732">
                  <c:v>62.5</c:v>
                </c:pt>
                <c:pt idx="733">
                  <c:v>62.9</c:v>
                </c:pt>
                <c:pt idx="734">
                  <c:v>63.5</c:v>
                </c:pt>
                <c:pt idx="735">
                  <c:v>63.8</c:v>
                </c:pt>
                <c:pt idx="736">
                  <c:v>60.7</c:v>
                </c:pt>
                <c:pt idx="737">
                  <c:v>54.4</c:v>
                </c:pt>
                <c:pt idx="738">
                  <c:v>57.3</c:v>
                </c:pt>
                <c:pt idx="739">
                  <c:v>54.3</c:v>
                </c:pt>
                <c:pt idx="740">
                  <c:v>51.7</c:v>
                </c:pt>
                <c:pt idx="741">
                  <c:v>53.7</c:v>
                </c:pt>
                <c:pt idx="742">
                  <c:v>52.8</c:v>
                </c:pt>
                <c:pt idx="743">
                  <c:v>54.4</c:v>
                </c:pt>
                <c:pt idx="744">
                  <c:v>59.9</c:v>
                </c:pt>
                <c:pt idx="745">
                  <c:v>54.3</c:v>
                </c:pt>
                <c:pt idx="746">
                  <c:v>55.5</c:v>
                </c:pt>
                <c:pt idx="747">
                  <c:v>56.5</c:v>
                </c:pt>
                <c:pt idx="748">
                  <c:v>59.2</c:v>
                </c:pt>
                <c:pt idx="749">
                  <c:v>56.6</c:v>
                </c:pt>
                <c:pt idx="750">
                  <c:v>53.8</c:v>
                </c:pt>
                <c:pt idx="751">
                  <c:v>50.6</c:v>
                </c:pt>
                <c:pt idx="752">
                  <c:v>49.5</c:v>
                </c:pt>
                <c:pt idx="753">
                  <c:v>51.9</c:v>
                </c:pt>
                <c:pt idx="754">
                  <c:v>51.9</c:v>
                </c:pt>
                <c:pt idx="755">
                  <c:v>52.2</c:v>
                </c:pt>
                <c:pt idx="756">
                  <c:v>53.1</c:v>
                </c:pt>
                <c:pt idx="757">
                  <c:v>53.8</c:v>
                </c:pt>
                <c:pt idx="758">
                  <c:v>54.5</c:v>
                </c:pt>
                <c:pt idx="759">
                  <c:v>53.9</c:v>
                </c:pt>
                <c:pt idx="760">
                  <c:v>52.1</c:v>
                </c:pt>
                <c:pt idx="761">
                  <c:v>52.5</c:v>
                </c:pt>
                <c:pt idx="762">
                  <c:v>55.7</c:v>
                </c:pt>
                <c:pt idx="763">
                  <c:v>60.8</c:v>
                </c:pt>
                <c:pt idx="764">
                  <c:v>63</c:v>
                </c:pt>
                <c:pt idx="765">
                  <c:v>61.2</c:v>
                </c:pt>
                <c:pt idx="766">
                  <c:v>60.8</c:v>
                </c:pt>
                <c:pt idx="767">
                  <c:v>62.4</c:v>
                </c:pt>
                <c:pt idx="768">
                  <c:v>61.7</c:v>
                </c:pt>
                <c:pt idx="769">
                  <c:v>54.8</c:v>
                </c:pt>
                <c:pt idx="770">
                  <c:v>48.2</c:v>
                </c:pt>
                <c:pt idx="771">
                  <c:v>55.9</c:v>
                </c:pt>
                <c:pt idx="772">
                  <c:v>55.7</c:v>
                </c:pt>
                <c:pt idx="773">
                  <c:v>61</c:v>
                </c:pt>
                <c:pt idx="774">
                  <c:v>60</c:v>
                </c:pt>
                <c:pt idx="775">
                  <c:v>61.2</c:v>
                </c:pt>
                <c:pt idx="776">
                  <c:v>64.5</c:v>
                </c:pt>
                <c:pt idx="777">
                  <c:v>64.599999999999994</c:v>
                </c:pt>
                <c:pt idx="778">
                  <c:v>64.8</c:v>
                </c:pt>
                <c:pt idx="779">
                  <c:v>64.400000000000006</c:v>
                </c:pt>
                <c:pt idx="780">
                  <c:v>58.8</c:v>
                </c:pt>
                <c:pt idx="781">
                  <c:v>56.5</c:v>
                </c:pt>
                <c:pt idx="782">
                  <c:v>53.7</c:v>
                </c:pt>
                <c:pt idx="783">
                  <c:v>53.8</c:v>
                </c:pt>
                <c:pt idx="784">
                  <c:v>56</c:v>
                </c:pt>
                <c:pt idx="785">
                  <c:v>54.5</c:v>
                </c:pt>
                <c:pt idx="786">
                  <c:v>54</c:v>
                </c:pt>
                <c:pt idx="787">
                  <c:v>56</c:v>
                </c:pt>
                <c:pt idx="788">
                  <c:v>53.6</c:v>
                </c:pt>
                <c:pt idx="789">
                  <c:v>51.8</c:v>
                </c:pt>
                <c:pt idx="790">
                  <c:v>52.5</c:v>
                </c:pt>
                <c:pt idx="791">
                  <c:v>49.8</c:v>
                </c:pt>
                <c:pt idx="792">
                  <c:v>49.9</c:v>
                </c:pt>
                <c:pt idx="793">
                  <c:v>50.2</c:v>
                </c:pt>
                <c:pt idx="794">
                  <c:v>52.8</c:v>
                </c:pt>
                <c:pt idx="795">
                  <c:v>55.3</c:v>
                </c:pt>
                <c:pt idx="796">
                  <c:v>54.2</c:v>
                </c:pt>
                <c:pt idx="797">
                  <c:v>52.6</c:v>
                </c:pt>
                <c:pt idx="798">
                  <c:v>54.7</c:v>
                </c:pt>
                <c:pt idx="799">
                  <c:v>55.4</c:v>
                </c:pt>
                <c:pt idx="800">
                  <c:v>49.6</c:v>
                </c:pt>
                <c:pt idx="801">
                  <c:v>52.8</c:v>
                </c:pt>
                <c:pt idx="802">
                  <c:v>54.6</c:v>
                </c:pt>
                <c:pt idx="803">
                  <c:v>55.6</c:v>
                </c:pt>
                <c:pt idx="804">
                  <c:v>59.4</c:v>
                </c:pt>
                <c:pt idx="805">
                  <c:v>61.4</c:v>
                </c:pt>
                <c:pt idx="806">
                  <c:v>62.9</c:v>
                </c:pt>
                <c:pt idx="807">
                  <c:v>57.6</c:v>
                </c:pt>
                <c:pt idx="808">
                  <c:v>58.6</c:v>
                </c:pt>
                <c:pt idx="809">
                  <c:v>57.1</c:v>
                </c:pt>
                <c:pt idx="810">
                  <c:v>62.4</c:v>
                </c:pt>
                <c:pt idx="811">
                  <c:v>60.6</c:v>
                </c:pt>
                <c:pt idx="812">
                  <c:v>61</c:v>
                </c:pt>
                <c:pt idx="813">
                  <c:v>62.2</c:v>
                </c:pt>
                <c:pt idx="814">
                  <c:v>61</c:v>
                </c:pt>
                <c:pt idx="815">
                  <c:v>64.3</c:v>
                </c:pt>
                <c:pt idx="816">
                  <c:v>65.2</c:v>
                </c:pt>
                <c:pt idx="817">
                  <c:v>64.5</c:v>
                </c:pt>
                <c:pt idx="818">
                  <c:v>62</c:v>
                </c:pt>
                <c:pt idx="819">
                  <c:v>61</c:v>
                </c:pt>
                <c:pt idx="820">
                  <c:v>57.2</c:v>
                </c:pt>
                <c:pt idx="821">
                  <c:v>61.5</c:v>
                </c:pt>
                <c:pt idx="822">
                  <c:v>62.3</c:v>
                </c:pt>
                <c:pt idx="823">
                  <c:v>58.5</c:v>
                </c:pt>
                <c:pt idx="824">
                  <c:v>63.3</c:v>
                </c:pt>
                <c:pt idx="825">
                  <c:v>63.9</c:v>
                </c:pt>
                <c:pt idx="826">
                  <c:v>59.3</c:v>
                </c:pt>
                <c:pt idx="827">
                  <c:v>59.9</c:v>
                </c:pt>
                <c:pt idx="828">
                  <c:v>54.1</c:v>
                </c:pt>
                <c:pt idx="829">
                  <c:v>60.5</c:v>
                </c:pt>
                <c:pt idx="830">
                  <c:v>54.8</c:v>
                </c:pt>
                <c:pt idx="831">
                  <c:v>55.8</c:v>
                </c:pt>
              </c:numCache>
            </c:numRef>
          </c:val>
          <c:smooth val="0"/>
          <c:extLst>
            <c:ext xmlns:c16="http://schemas.microsoft.com/office/drawing/2014/chart" uri="{C3380CC4-5D6E-409C-BE32-E72D297353CC}">
              <c16:uniqueId val="{00000003-904C-AC4C-8102-529833850235}"/>
            </c:ext>
          </c:extLst>
        </c:ser>
        <c:ser>
          <c:idx val="4"/>
          <c:order val="4"/>
          <c:tx>
            <c:strRef>
              <c:f>'PMI Analysis'!$F$1</c:f>
              <c:strCache>
                <c:ptCount val="1"/>
                <c:pt idx="0">
                  <c:v>Deliveries PMI</c:v>
                </c:pt>
              </c:strCache>
            </c:strRef>
          </c:tx>
          <c:spPr>
            <a:ln w="12700" cap="rnd">
              <a:solidFill>
                <a:schemeClr val="accent5"/>
              </a:solidFill>
              <a:round/>
            </a:ln>
            <a:effectLst/>
          </c:spPr>
          <c:marker>
            <c:symbol val="none"/>
          </c:marker>
          <c:cat>
            <c:numRef>
              <c:f>'PMI Analysis'!$A$2:$A$832</c:f>
              <c:numCache>
                <c:formatCode>m/d/yy</c:formatCode>
                <c:ptCount val="831"/>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numCache>
            </c:numRef>
          </c:cat>
          <c:val>
            <c:numRef>
              <c:f>'PMI Analysis'!$F$2:$F$833</c:f>
              <c:numCache>
                <c:formatCode>General</c:formatCode>
                <c:ptCount val="832"/>
                <c:pt idx="1">
                  <c:v>56.3</c:v>
                </c:pt>
                <c:pt idx="2">
                  <c:v>68</c:v>
                </c:pt>
                <c:pt idx="3">
                  <c:v>72</c:v>
                </c:pt>
                <c:pt idx="4">
                  <c:v>68.8</c:v>
                </c:pt>
                <c:pt idx="5">
                  <c:v>82.9</c:v>
                </c:pt>
                <c:pt idx="6">
                  <c:v>76.5</c:v>
                </c:pt>
                <c:pt idx="7">
                  <c:v>89.4</c:v>
                </c:pt>
                <c:pt idx="8">
                  <c:v>81.7</c:v>
                </c:pt>
                <c:pt idx="9">
                  <c:v>73.7</c:v>
                </c:pt>
                <c:pt idx="10">
                  <c:v>70.3</c:v>
                </c:pt>
                <c:pt idx="11">
                  <c:v>79.099999999999994</c:v>
                </c:pt>
                <c:pt idx="12">
                  <c:v>87.5</c:v>
                </c:pt>
                <c:pt idx="13">
                  <c:v>88.7</c:v>
                </c:pt>
                <c:pt idx="14">
                  <c:v>93.3</c:v>
                </c:pt>
                <c:pt idx="15">
                  <c:v>85.1</c:v>
                </c:pt>
                <c:pt idx="16">
                  <c:v>65.7</c:v>
                </c:pt>
                <c:pt idx="17">
                  <c:v>45</c:v>
                </c:pt>
                <c:pt idx="18">
                  <c:v>36.700000000000003</c:v>
                </c:pt>
                <c:pt idx="19">
                  <c:v>32.200000000000003</c:v>
                </c:pt>
                <c:pt idx="20">
                  <c:v>32</c:v>
                </c:pt>
                <c:pt idx="21">
                  <c:v>46.4</c:v>
                </c:pt>
                <c:pt idx="22">
                  <c:v>47.2</c:v>
                </c:pt>
                <c:pt idx="23">
                  <c:v>34.9</c:v>
                </c:pt>
                <c:pt idx="24">
                  <c:v>33.6</c:v>
                </c:pt>
                <c:pt idx="25">
                  <c:v>31.3</c:v>
                </c:pt>
                <c:pt idx="26">
                  <c:v>24.9</c:v>
                </c:pt>
                <c:pt idx="27">
                  <c:v>18.8</c:v>
                </c:pt>
                <c:pt idx="28">
                  <c:v>19.399999999999999</c:v>
                </c:pt>
                <c:pt idx="29">
                  <c:v>22.4</c:v>
                </c:pt>
                <c:pt idx="30">
                  <c:v>33</c:v>
                </c:pt>
                <c:pt idx="31">
                  <c:v>47.4</c:v>
                </c:pt>
                <c:pt idx="32">
                  <c:v>41.2</c:v>
                </c:pt>
                <c:pt idx="33">
                  <c:v>42.7</c:v>
                </c:pt>
                <c:pt idx="34">
                  <c:v>43.3</c:v>
                </c:pt>
                <c:pt idx="35">
                  <c:v>45</c:v>
                </c:pt>
                <c:pt idx="36">
                  <c:v>43.5</c:v>
                </c:pt>
                <c:pt idx="37">
                  <c:v>41.5</c:v>
                </c:pt>
                <c:pt idx="38">
                  <c:v>41.8</c:v>
                </c:pt>
                <c:pt idx="39">
                  <c:v>41.8</c:v>
                </c:pt>
                <c:pt idx="40">
                  <c:v>38.6</c:v>
                </c:pt>
                <c:pt idx="41">
                  <c:v>35.1</c:v>
                </c:pt>
                <c:pt idx="42">
                  <c:v>33.299999999999997</c:v>
                </c:pt>
                <c:pt idx="43">
                  <c:v>28.5</c:v>
                </c:pt>
                <c:pt idx="44">
                  <c:v>26.5</c:v>
                </c:pt>
                <c:pt idx="45">
                  <c:v>23.2</c:v>
                </c:pt>
                <c:pt idx="46">
                  <c:v>20.7</c:v>
                </c:pt>
                <c:pt idx="47">
                  <c:v>20.2</c:v>
                </c:pt>
                <c:pt idx="48">
                  <c:v>21.8</c:v>
                </c:pt>
                <c:pt idx="49">
                  <c:v>23.6</c:v>
                </c:pt>
                <c:pt idx="50">
                  <c:v>26.9</c:v>
                </c:pt>
                <c:pt idx="51">
                  <c:v>28</c:v>
                </c:pt>
                <c:pt idx="52">
                  <c:v>30.3</c:v>
                </c:pt>
                <c:pt idx="53">
                  <c:v>34.299999999999997</c:v>
                </c:pt>
                <c:pt idx="54">
                  <c:v>35.799999999999997</c:v>
                </c:pt>
                <c:pt idx="55">
                  <c:v>38.1</c:v>
                </c:pt>
                <c:pt idx="56">
                  <c:v>36.4</c:v>
                </c:pt>
                <c:pt idx="57">
                  <c:v>43.6</c:v>
                </c:pt>
                <c:pt idx="58">
                  <c:v>49.5</c:v>
                </c:pt>
                <c:pt idx="59">
                  <c:v>51.9</c:v>
                </c:pt>
                <c:pt idx="60">
                  <c:v>54.5</c:v>
                </c:pt>
                <c:pt idx="61">
                  <c:v>60.6</c:v>
                </c:pt>
                <c:pt idx="62">
                  <c:v>67.2</c:v>
                </c:pt>
                <c:pt idx="63">
                  <c:v>68.5</c:v>
                </c:pt>
                <c:pt idx="64">
                  <c:v>71.900000000000006</c:v>
                </c:pt>
                <c:pt idx="65">
                  <c:v>68.7</c:v>
                </c:pt>
                <c:pt idx="66">
                  <c:v>65.7</c:v>
                </c:pt>
                <c:pt idx="67">
                  <c:v>67</c:v>
                </c:pt>
                <c:pt idx="68">
                  <c:v>64.3</c:v>
                </c:pt>
                <c:pt idx="69">
                  <c:v>66.3</c:v>
                </c:pt>
                <c:pt idx="70">
                  <c:v>66.5</c:v>
                </c:pt>
                <c:pt idx="71">
                  <c:v>64.900000000000006</c:v>
                </c:pt>
                <c:pt idx="72">
                  <c:v>61.4</c:v>
                </c:pt>
                <c:pt idx="73">
                  <c:v>53.5</c:v>
                </c:pt>
                <c:pt idx="74">
                  <c:v>51.3</c:v>
                </c:pt>
                <c:pt idx="75">
                  <c:v>51</c:v>
                </c:pt>
                <c:pt idx="76">
                  <c:v>51</c:v>
                </c:pt>
                <c:pt idx="77">
                  <c:v>38.6</c:v>
                </c:pt>
                <c:pt idx="78">
                  <c:v>41</c:v>
                </c:pt>
                <c:pt idx="79">
                  <c:v>53.9</c:v>
                </c:pt>
                <c:pt idx="80">
                  <c:v>46.8</c:v>
                </c:pt>
                <c:pt idx="81">
                  <c:v>42.8</c:v>
                </c:pt>
                <c:pt idx="82">
                  <c:v>40.1</c:v>
                </c:pt>
                <c:pt idx="83">
                  <c:v>44.6</c:v>
                </c:pt>
                <c:pt idx="84">
                  <c:v>39.5</c:v>
                </c:pt>
                <c:pt idx="85">
                  <c:v>36.299999999999997</c:v>
                </c:pt>
                <c:pt idx="86">
                  <c:v>31.2</c:v>
                </c:pt>
                <c:pt idx="87">
                  <c:v>26.3</c:v>
                </c:pt>
                <c:pt idx="88">
                  <c:v>28.9</c:v>
                </c:pt>
                <c:pt idx="89">
                  <c:v>30</c:v>
                </c:pt>
                <c:pt idx="90">
                  <c:v>30</c:v>
                </c:pt>
                <c:pt idx="91">
                  <c:v>36.799999999999997</c:v>
                </c:pt>
                <c:pt idx="92">
                  <c:v>30.8</c:v>
                </c:pt>
                <c:pt idx="93">
                  <c:v>28.8</c:v>
                </c:pt>
                <c:pt idx="94">
                  <c:v>32.6</c:v>
                </c:pt>
                <c:pt idx="95">
                  <c:v>27.8</c:v>
                </c:pt>
                <c:pt idx="96">
                  <c:v>27.3</c:v>
                </c:pt>
                <c:pt idx="97">
                  <c:v>30.3</c:v>
                </c:pt>
                <c:pt idx="98">
                  <c:v>31</c:v>
                </c:pt>
                <c:pt idx="99">
                  <c:v>34</c:v>
                </c:pt>
                <c:pt idx="100">
                  <c:v>35.5</c:v>
                </c:pt>
                <c:pt idx="101">
                  <c:v>38.5</c:v>
                </c:pt>
                <c:pt idx="102">
                  <c:v>39.200000000000003</c:v>
                </c:pt>
                <c:pt idx="103">
                  <c:v>43</c:v>
                </c:pt>
                <c:pt idx="104">
                  <c:v>44.7</c:v>
                </c:pt>
                <c:pt idx="105">
                  <c:v>51.1</c:v>
                </c:pt>
                <c:pt idx="106">
                  <c:v>52.4</c:v>
                </c:pt>
                <c:pt idx="107">
                  <c:v>55.8</c:v>
                </c:pt>
                <c:pt idx="108">
                  <c:v>56.4</c:v>
                </c:pt>
                <c:pt idx="109">
                  <c:v>61.8</c:v>
                </c:pt>
                <c:pt idx="110">
                  <c:v>67.3</c:v>
                </c:pt>
                <c:pt idx="111">
                  <c:v>66.3</c:v>
                </c:pt>
                <c:pt idx="112">
                  <c:v>64.8</c:v>
                </c:pt>
                <c:pt idx="113">
                  <c:v>63</c:v>
                </c:pt>
                <c:pt idx="114">
                  <c:v>63.7</c:v>
                </c:pt>
                <c:pt idx="115">
                  <c:v>59.1</c:v>
                </c:pt>
                <c:pt idx="116">
                  <c:v>57.4</c:v>
                </c:pt>
                <c:pt idx="117">
                  <c:v>57.5</c:v>
                </c:pt>
                <c:pt idx="118">
                  <c:v>58.5</c:v>
                </c:pt>
                <c:pt idx="119">
                  <c:v>54.6</c:v>
                </c:pt>
                <c:pt idx="120">
                  <c:v>53.7</c:v>
                </c:pt>
                <c:pt idx="121">
                  <c:v>46.2</c:v>
                </c:pt>
                <c:pt idx="122">
                  <c:v>31.7</c:v>
                </c:pt>
                <c:pt idx="123">
                  <c:v>28.8</c:v>
                </c:pt>
                <c:pt idx="124">
                  <c:v>28.9</c:v>
                </c:pt>
                <c:pt idx="125">
                  <c:v>32.299999999999997</c:v>
                </c:pt>
                <c:pt idx="126">
                  <c:v>34.799999999999997</c:v>
                </c:pt>
                <c:pt idx="127">
                  <c:v>35.799999999999997</c:v>
                </c:pt>
                <c:pt idx="128">
                  <c:v>38</c:v>
                </c:pt>
                <c:pt idx="129">
                  <c:v>37.299999999999997</c:v>
                </c:pt>
                <c:pt idx="130">
                  <c:v>36.200000000000003</c:v>
                </c:pt>
                <c:pt idx="131">
                  <c:v>37.6</c:v>
                </c:pt>
                <c:pt idx="132">
                  <c:v>40.4</c:v>
                </c:pt>
                <c:pt idx="133">
                  <c:v>39.200000000000003</c:v>
                </c:pt>
                <c:pt idx="134">
                  <c:v>41.1</c:v>
                </c:pt>
                <c:pt idx="135">
                  <c:v>42.1</c:v>
                </c:pt>
                <c:pt idx="136">
                  <c:v>47.5</c:v>
                </c:pt>
                <c:pt idx="137">
                  <c:v>47.9</c:v>
                </c:pt>
                <c:pt idx="138">
                  <c:v>49.3</c:v>
                </c:pt>
                <c:pt idx="139">
                  <c:v>49.4</c:v>
                </c:pt>
                <c:pt idx="140">
                  <c:v>50.6</c:v>
                </c:pt>
                <c:pt idx="141">
                  <c:v>50.7</c:v>
                </c:pt>
                <c:pt idx="142">
                  <c:v>52.4</c:v>
                </c:pt>
                <c:pt idx="143">
                  <c:v>51.1</c:v>
                </c:pt>
                <c:pt idx="144">
                  <c:v>55.8</c:v>
                </c:pt>
                <c:pt idx="145">
                  <c:v>57.1</c:v>
                </c:pt>
                <c:pt idx="146">
                  <c:v>56.2</c:v>
                </c:pt>
                <c:pt idx="147">
                  <c:v>57</c:v>
                </c:pt>
                <c:pt idx="148">
                  <c:v>47.4</c:v>
                </c:pt>
                <c:pt idx="149">
                  <c:v>45.2</c:v>
                </c:pt>
                <c:pt idx="150">
                  <c:v>43.3</c:v>
                </c:pt>
                <c:pt idx="151">
                  <c:v>45.1</c:v>
                </c:pt>
                <c:pt idx="152">
                  <c:v>43.7</c:v>
                </c:pt>
                <c:pt idx="153">
                  <c:v>45.1</c:v>
                </c:pt>
                <c:pt idx="154">
                  <c:v>46.7</c:v>
                </c:pt>
                <c:pt idx="155">
                  <c:v>48.7</c:v>
                </c:pt>
                <c:pt idx="156">
                  <c:v>50.1</c:v>
                </c:pt>
                <c:pt idx="157">
                  <c:v>50.4</c:v>
                </c:pt>
                <c:pt idx="158">
                  <c:v>51</c:v>
                </c:pt>
                <c:pt idx="159">
                  <c:v>54.9</c:v>
                </c:pt>
                <c:pt idx="160">
                  <c:v>58.2</c:v>
                </c:pt>
                <c:pt idx="161">
                  <c:v>56.4</c:v>
                </c:pt>
                <c:pt idx="162">
                  <c:v>56.3</c:v>
                </c:pt>
                <c:pt idx="163">
                  <c:v>43.6</c:v>
                </c:pt>
                <c:pt idx="164">
                  <c:v>48.5</c:v>
                </c:pt>
                <c:pt idx="165">
                  <c:v>49.7</c:v>
                </c:pt>
                <c:pt idx="166">
                  <c:v>47.4</c:v>
                </c:pt>
                <c:pt idx="167">
                  <c:v>48.7</c:v>
                </c:pt>
                <c:pt idx="168">
                  <c:v>47.6</c:v>
                </c:pt>
                <c:pt idx="169">
                  <c:v>55.3</c:v>
                </c:pt>
                <c:pt idx="170">
                  <c:v>51.9</c:v>
                </c:pt>
                <c:pt idx="171">
                  <c:v>60.3</c:v>
                </c:pt>
                <c:pt idx="172">
                  <c:v>57.7</c:v>
                </c:pt>
                <c:pt idx="173">
                  <c:v>61.4</c:v>
                </c:pt>
                <c:pt idx="174">
                  <c:v>57.6</c:v>
                </c:pt>
                <c:pt idx="175">
                  <c:v>61.8</c:v>
                </c:pt>
                <c:pt idx="176">
                  <c:v>66.2</c:v>
                </c:pt>
                <c:pt idx="177">
                  <c:v>71.900000000000006</c:v>
                </c:pt>
                <c:pt idx="178">
                  <c:v>71.2</c:v>
                </c:pt>
                <c:pt idx="179">
                  <c:v>70.3</c:v>
                </c:pt>
                <c:pt idx="180">
                  <c:v>67.8</c:v>
                </c:pt>
                <c:pt idx="181">
                  <c:v>68.5</c:v>
                </c:pt>
                <c:pt idx="182">
                  <c:v>68.099999999999994</c:v>
                </c:pt>
                <c:pt idx="183">
                  <c:v>65.900000000000006</c:v>
                </c:pt>
                <c:pt idx="184">
                  <c:v>69.400000000000006</c:v>
                </c:pt>
                <c:pt idx="185">
                  <c:v>68.900000000000006</c:v>
                </c:pt>
                <c:pt idx="186">
                  <c:v>69.3</c:v>
                </c:pt>
                <c:pt idx="187">
                  <c:v>65.099999999999994</c:v>
                </c:pt>
                <c:pt idx="188">
                  <c:v>65.400000000000006</c:v>
                </c:pt>
                <c:pt idx="189">
                  <c:v>61.2</c:v>
                </c:pt>
                <c:pt idx="190">
                  <c:v>59.1</c:v>
                </c:pt>
                <c:pt idx="191">
                  <c:v>65.099999999999994</c:v>
                </c:pt>
                <c:pt idx="192">
                  <c:v>73.5</c:v>
                </c:pt>
                <c:pt idx="193">
                  <c:v>74.900000000000006</c:v>
                </c:pt>
                <c:pt idx="194">
                  <c:v>80.099999999999994</c:v>
                </c:pt>
                <c:pt idx="195">
                  <c:v>86.4</c:v>
                </c:pt>
                <c:pt idx="196">
                  <c:v>79.3</c:v>
                </c:pt>
                <c:pt idx="197">
                  <c:v>74.599999999999994</c:v>
                </c:pt>
                <c:pt idx="198">
                  <c:v>71.599999999999994</c:v>
                </c:pt>
                <c:pt idx="199">
                  <c:v>73.099999999999994</c:v>
                </c:pt>
                <c:pt idx="200">
                  <c:v>74.3</c:v>
                </c:pt>
                <c:pt idx="201">
                  <c:v>72.400000000000006</c:v>
                </c:pt>
                <c:pt idx="202">
                  <c:v>68.7</c:v>
                </c:pt>
                <c:pt idx="203">
                  <c:v>62.6</c:v>
                </c:pt>
                <c:pt idx="204">
                  <c:v>57.9</c:v>
                </c:pt>
                <c:pt idx="205">
                  <c:v>48.2</c:v>
                </c:pt>
                <c:pt idx="206">
                  <c:v>49.9</c:v>
                </c:pt>
                <c:pt idx="207">
                  <c:v>38</c:v>
                </c:pt>
                <c:pt idx="208">
                  <c:v>36.9</c:v>
                </c:pt>
                <c:pt idx="209">
                  <c:v>34.4</c:v>
                </c:pt>
                <c:pt idx="210">
                  <c:v>36.5</c:v>
                </c:pt>
                <c:pt idx="211">
                  <c:v>40.9</c:v>
                </c:pt>
                <c:pt idx="212">
                  <c:v>44.8</c:v>
                </c:pt>
                <c:pt idx="213">
                  <c:v>46.5</c:v>
                </c:pt>
                <c:pt idx="214">
                  <c:v>51.1</c:v>
                </c:pt>
                <c:pt idx="215">
                  <c:v>51.4</c:v>
                </c:pt>
                <c:pt idx="216">
                  <c:v>49.9</c:v>
                </c:pt>
                <c:pt idx="217">
                  <c:v>50.6</c:v>
                </c:pt>
                <c:pt idx="218">
                  <c:v>53.9</c:v>
                </c:pt>
                <c:pt idx="219">
                  <c:v>54</c:v>
                </c:pt>
                <c:pt idx="220">
                  <c:v>49</c:v>
                </c:pt>
                <c:pt idx="221">
                  <c:v>49.4</c:v>
                </c:pt>
                <c:pt idx="222">
                  <c:v>49.9</c:v>
                </c:pt>
                <c:pt idx="223">
                  <c:v>55.9</c:v>
                </c:pt>
                <c:pt idx="224">
                  <c:v>47.8</c:v>
                </c:pt>
                <c:pt idx="225">
                  <c:v>48.4</c:v>
                </c:pt>
                <c:pt idx="226">
                  <c:v>53.3</c:v>
                </c:pt>
                <c:pt idx="227">
                  <c:v>61</c:v>
                </c:pt>
                <c:pt idx="228">
                  <c:v>58.3</c:v>
                </c:pt>
                <c:pt idx="229">
                  <c:v>63.6</c:v>
                </c:pt>
                <c:pt idx="230">
                  <c:v>60.1</c:v>
                </c:pt>
                <c:pt idx="231">
                  <c:v>60.5</c:v>
                </c:pt>
                <c:pt idx="232">
                  <c:v>63.9</c:v>
                </c:pt>
                <c:pt idx="233">
                  <c:v>64.900000000000006</c:v>
                </c:pt>
                <c:pt idx="234">
                  <c:v>67</c:v>
                </c:pt>
                <c:pt idx="235">
                  <c:v>65.7</c:v>
                </c:pt>
                <c:pt idx="236">
                  <c:v>70.3</c:v>
                </c:pt>
                <c:pt idx="237">
                  <c:v>68.900000000000006</c:v>
                </c:pt>
                <c:pt idx="238">
                  <c:v>66.8</c:v>
                </c:pt>
                <c:pt idx="239">
                  <c:v>64.099999999999994</c:v>
                </c:pt>
                <c:pt idx="240">
                  <c:v>66.8</c:v>
                </c:pt>
                <c:pt idx="241">
                  <c:v>57.9</c:v>
                </c:pt>
                <c:pt idx="242">
                  <c:v>57.7</c:v>
                </c:pt>
                <c:pt idx="243">
                  <c:v>49.3</c:v>
                </c:pt>
                <c:pt idx="244">
                  <c:v>48.7</c:v>
                </c:pt>
                <c:pt idx="245">
                  <c:v>67.2</c:v>
                </c:pt>
                <c:pt idx="246">
                  <c:v>66.099999999999994</c:v>
                </c:pt>
                <c:pt idx="247">
                  <c:v>49.8</c:v>
                </c:pt>
                <c:pt idx="248">
                  <c:v>46.1</c:v>
                </c:pt>
                <c:pt idx="249">
                  <c:v>46.5</c:v>
                </c:pt>
                <c:pt idx="250">
                  <c:v>39</c:v>
                </c:pt>
                <c:pt idx="251">
                  <c:v>37.799999999999997</c:v>
                </c:pt>
                <c:pt idx="252">
                  <c:v>37.5</c:v>
                </c:pt>
                <c:pt idx="253">
                  <c:v>39.799999999999997</c:v>
                </c:pt>
                <c:pt idx="254">
                  <c:v>44.2</c:v>
                </c:pt>
                <c:pt idx="255">
                  <c:v>45</c:v>
                </c:pt>
                <c:pt idx="256">
                  <c:v>48.9</c:v>
                </c:pt>
                <c:pt idx="257">
                  <c:v>49.4</c:v>
                </c:pt>
                <c:pt idx="258">
                  <c:v>47.9</c:v>
                </c:pt>
                <c:pt idx="259">
                  <c:v>47.4</c:v>
                </c:pt>
                <c:pt idx="260">
                  <c:v>49.7</c:v>
                </c:pt>
                <c:pt idx="261">
                  <c:v>48.9</c:v>
                </c:pt>
                <c:pt idx="262">
                  <c:v>50.9</c:v>
                </c:pt>
                <c:pt idx="263">
                  <c:v>50.9</c:v>
                </c:pt>
                <c:pt idx="264">
                  <c:v>53.3</c:v>
                </c:pt>
                <c:pt idx="265">
                  <c:v>55.2</c:v>
                </c:pt>
                <c:pt idx="266">
                  <c:v>52.6</c:v>
                </c:pt>
                <c:pt idx="267">
                  <c:v>57.1</c:v>
                </c:pt>
                <c:pt idx="268">
                  <c:v>55</c:v>
                </c:pt>
                <c:pt idx="269">
                  <c:v>56.1</c:v>
                </c:pt>
                <c:pt idx="270">
                  <c:v>57.7</c:v>
                </c:pt>
                <c:pt idx="271">
                  <c:v>61.7</c:v>
                </c:pt>
                <c:pt idx="272">
                  <c:v>62.9</c:v>
                </c:pt>
                <c:pt idx="273">
                  <c:v>65.5</c:v>
                </c:pt>
                <c:pt idx="274">
                  <c:v>73</c:v>
                </c:pt>
                <c:pt idx="275">
                  <c:v>74.5</c:v>
                </c:pt>
                <c:pt idx="276">
                  <c:v>80.7</c:v>
                </c:pt>
                <c:pt idx="277">
                  <c:v>83.7</c:v>
                </c:pt>
                <c:pt idx="278">
                  <c:v>85.2</c:v>
                </c:pt>
                <c:pt idx="279">
                  <c:v>87.5</c:v>
                </c:pt>
                <c:pt idx="280">
                  <c:v>86.7</c:v>
                </c:pt>
                <c:pt idx="281">
                  <c:v>86.6</c:v>
                </c:pt>
                <c:pt idx="282">
                  <c:v>85.6</c:v>
                </c:pt>
                <c:pt idx="283">
                  <c:v>85.2</c:v>
                </c:pt>
                <c:pt idx="284">
                  <c:v>86.7</c:v>
                </c:pt>
                <c:pt idx="285">
                  <c:v>90.1</c:v>
                </c:pt>
                <c:pt idx="286">
                  <c:v>88.7</c:v>
                </c:pt>
                <c:pt idx="287">
                  <c:v>96.8</c:v>
                </c:pt>
                <c:pt idx="288">
                  <c:v>92.8</c:v>
                </c:pt>
                <c:pt idx="289">
                  <c:v>91.8</c:v>
                </c:pt>
                <c:pt idx="290">
                  <c:v>88.8</c:v>
                </c:pt>
                <c:pt idx="291">
                  <c:v>88.9</c:v>
                </c:pt>
                <c:pt idx="292">
                  <c:v>82.1</c:v>
                </c:pt>
                <c:pt idx="293">
                  <c:v>74.5</c:v>
                </c:pt>
                <c:pt idx="294">
                  <c:v>73.099999999999994</c:v>
                </c:pt>
                <c:pt idx="295">
                  <c:v>69.2</c:v>
                </c:pt>
                <c:pt idx="296">
                  <c:v>66.3</c:v>
                </c:pt>
                <c:pt idx="297">
                  <c:v>51.8</c:v>
                </c:pt>
                <c:pt idx="298">
                  <c:v>45.3</c:v>
                </c:pt>
                <c:pt idx="299">
                  <c:v>34</c:v>
                </c:pt>
                <c:pt idx="300">
                  <c:v>23.2</c:v>
                </c:pt>
                <c:pt idx="301">
                  <c:v>19.5</c:v>
                </c:pt>
                <c:pt idx="302">
                  <c:v>15.9</c:v>
                </c:pt>
                <c:pt idx="303">
                  <c:v>17.3</c:v>
                </c:pt>
                <c:pt idx="304">
                  <c:v>21.7</c:v>
                </c:pt>
                <c:pt idx="305">
                  <c:v>22.7</c:v>
                </c:pt>
                <c:pt idx="306">
                  <c:v>24.9</c:v>
                </c:pt>
                <c:pt idx="307">
                  <c:v>28.7</c:v>
                </c:pt>
                <c:pt idx="308">
                  <c:v>35.1</c:v>
                </c:pt>
                <c:pt idx="309">
                  <c:v>43.8</c:v>
                </c:pt>
                <c:pt idx="310">
                  <c:v>44.8</c:v>
                </c:pt>
                <c:pt idx="311">
                  <c:v>46.8</c:v>
                </c:pt>
                <c:pt idx="312">
                  <c:v>41.2</c:v>
                </c:pt>
                <c:pt idx="313">
                  <c:v>54</c:v>
                </c:pt>
                <c:pt idx="314">
                  <c:v>56.1</c:v>
                </c:pt>
                <c:pt idx="315">
                  <c:v>56.7</c:v>
                </c:pt>
                <c:pt idx="316">
                  <c:v>57.3</c:v>
                </c:pt>
                <c:pt idx="317">
                  <c:v>58.3</c:v>
                </c:pt>
                <c:pt idx="318">
                  <c:v>58.6</c:v>
                </c:pt>
                <c:pt idx="319">
                  <c:v>54</c:v>
                </c:pt>
                <c:pt idx="320">
                  <c:v>55.2</c:v>
                </c:pt>
                <c:pt idx="321">
                  <c:v>52.6</c:v>
                </c:pt>
                <c:pt idx="322">
                  <c:v>49</c:v>
                </c:pt>
                <c:pt idx="323">
                  <c:v>47.2</c:v>
                </c:pt>
                <c:pt idx="324">
                  <c:v>53.3</c:v>
                </c:pt>
                <c:pt idx="325">
                  <c:v>55.3</c:v>
                </c:pt>
                <c:pt idx="326">
                  <c:v>65.099999999999994</c:v>
                </c:pt>
                <c:pt idx="327">
                  <c:v>49.6</c:v>
                </c:pt>
                <c:pt idx="328">
                  <c:v>54.6</c:v>
                </c:pt>
                <c:pt idx="329">
                  <c:v>55.4</c:v>
                </c:pt>
                <c:pt idx="330">
                  <c:v>53.3</c:v>
                </c:pt>
                <c:pt idx="331">
                  <c:v>58.3</c:v>
                </c:pt>
                <c:pt idx="332">
                  <c:v>53.5</c:v>
                </c:pt>
                <c:pt idx="333">
                  <c:v>56.7</c:v>
                </c:pt>
                <c:pt idx="334">
                  <c:v>53.6</c:v>
                </c:pt>
                <c:pt idx="335">
                  <c:v>56.3</c:v>
                </c:pt>
                <c:pt idx="336">
                  <c:v>57.1</c:v>
                </c:pt>
                <c:pt idx="337">
                  <c:v>55.6</c:v>
                </c:pt>
                <c:pt idx="338">
                  <c:v>63.4</c:v>
                </c:pt>
                <c:pt idx="339">
                  <c:v>58.9</c:v>
                </c:pt>
                <c:pt idx="340">
                  <c:v>57.1</c:v>
                </c:pt>
                <c:pt idx="341">
                  <c:v>57.4</c:v>
                </c:pt>
                <c:pt idx="342">
                  <c:v>61.1</c:v>
                </c:pt>
                <c:pt idx="343">
                  <c:v>59.4</c:v>
                </c:pt>
                <c:pt idx="344">
                  <c:v>60.6</c:v>
                </c:pt>
                <c:pt idx="345">
                  <c:v>60</c:v>
                </c:pt>
                <c:pt idx="346">
                  <c:v>64.7</c:v>
                </c:pt>
                <c:pt idx="347">
                  <c:v>64.5</c:v>
                </c:pt>
                <c:pt idx="348">
                  <c:v>63.5</c:v>
                </c:pt>
                <c:pt idx="349">
                  <c:v>66.400000000000006</c:v>
                </c:pt>
                <c:pt idx="350">
                  <c:v>64</c:v>
                </c:pt>
                <c:pt idx="351">
                  <c:v>66.7</c:v>
                </c:pt>
                <c:pt idx="352">
                  <c:v>75.599999999999994</c:v>
                </c:pt>
                <c:pt idx="353">
                  <c:v>63.7</c:v>
                </c:pt>
                <c:pt idx="354">
                  <c:v>61.4</c:v>
                </c:pt>
                <c:pt idx="355">
                  <c:v>57.4</c:v>
                </c:pt>
                <c:pt idx="356">
                  <c:v>52.9</c:v>
                </c:pt>
                <c:pt idx="357">
                  <c:v>50.7</c:v>
                </c:pt>
                <c:pt idx="358">
                  <c:v>46.9</c:v>
                </c:pt>
                <c:pt idx="359">
                  <c:v>46.8</c:v>
                </c:pt>
                <c:pt idx="360">
                  <c:v>42.2</c:v>
                </c:pt>
                <c:pt idx="361">
                  <c:v>42.1</c:v>
                </c:pt>
                <c:pt idx="362">
                  <c:v>46</c:v>
                </c:pt>
                <c:pt idx="363">
                  <c:v>39.1</c:v>
                </c:pt>
                <c:pt idx="364">
                  <c:v>36.9</c:v>
                </c:pt>
                <c:pt idx="365">
                  <c:v>29.8</c:v>
                </c:pt>
                <c:pt idx="366">
                  <c:v>32.4</c:v>
                </c:pt>
                <c:pt idx="367">
                  <c:v>36.299999999999997</c:v>
                </c:pt>
                <c:pt idx="368">
                  <c:v>40.1</c:v>
                </c:pt>
                <c:pt idx="369">
                  <c:v>41.2</c:v>
                </c:pt>
                <c:pt idx="370">
                  <c:v>46.5</c:v>
                </c:pt>
                <c:pt idx="371">
                  <c:v>46.8</c:v>
                </c:pt>
                <c:pt idx="372">
                  <c:v>50.1</c:v>
                </c:pt>
                <c:pt idx="373">
                  <c:v>49.7</c:v>
                </c:pt>
                <c:pt idx="374">
                  <c:v>48.5</c:v>
                </c:pt>
                <c:pt idx="375">
                  <c:v>48.7</c:v>
                </c:pt>
                <c:pt idx="376">
                  <c:v>51.2</c:v>
                </c:pt>
                <c:pt idx="377">
                  <c:v>50.2</c:v>
                </c:pt>
                <c:pt idx="378">
                  <c:v>47.9</c:v>
                </c:pt>
                <c:pt idx="379">
                  <c:v>44.9</c:v>
                </c:pt>
                <c:pt idx="380">
                  <c:v>49.6</c:v>
                </c:pt>
                <c:pt idx="381">
                  <c:v>45.9</c:v>
                </c:pt>
                <c:pt idx="382">
                  <c:v>37.700000000000003</c:v>
                </c:pt>
                <c:pt idx="383">
                  <c:v>40.5</c:v>
                </c:pt>
                <c:pt idx="384">
                  <c:v>41.2</c:v>
                </c:pt>
                <c:pt idx="385">
                  <c:v>40.1</c:v>
                </c:pt>
                <c:pt idx="386">
                  <c:v>40.799999999999997</c:v>
                </c:pt>
                <c:pt idx="387">
                  <c:v>36.4</c:v>
                </c:pt>
                <c:pt idx="388">
                  <c:v>38.200000000000003</c:v>
                </c:pt>
                <c:pt idx="389">
                  <c:v>42.1</c:v>
                </c:pt>
                <c:pt idx="390">
                  <c:v>45.2</c:v>
                </c:pt>
                <c:pt idx="391">
                  <c:v>45.8</c:v>
                </c:pt>
                <c:pt idx="392">
                  <c:v>45.3</c:v>
                </c:pt>
                <c:pt idx="393">
                  <c:v>45.9</c:v>
                </c:pt>
                <c:pt idx="394">
                  <c:v>46.5</c:v>
                </c:pt>
                <c:pt idx="395">
                  <c:v>46.9</c:v>
                </c:pt>
                <c:pt idx="396">
                  <c:v>48.6</c:v>
                </c:pt>
                <c:pt idx="397">
                  <c:v>46.7</c:v>
                </c:pt>
                <c:pt idx="398">
                  <c:v>49.9</c:v>
                </c:pt>
                <c:pt idx="399">
                  <c:v>50.8</c:v>
                </c:pt>
                <c:pt idx="400">
                  <c:v>52.7</c:v>
                </c:pt>
                <c:pt idx="401">
                  <c:v>51.9</c:v>
                </c:pt>
                <c:pt idx="402">
                  <c:v>56.8</c:v>
                </c:pt>
                <c:pt idx="403">
                  <c:v>58.9</c:v>
                </c:pt>
                <c:pt idx="404">
                  <c:v>60.2</c:v>
                </c:pt>
                <c:pt idx="405">
                  <c:v>60.7</c:v>
                </c:pt>
                <c:pt idx="406">
                  <c:v>62.8</c:v>
                </c:pt>
                <c:pt idx="407">
                  <c:v>67.5</c:v>
                </c:pt>
                <c:pt idx="408">
                  <c:v>62.1</c:v>
                </c:pt>
                <c:pt idx="409">
                  <c:v>64.400000000000006</c:v>
                </c:pt>
                <c:pt idx="410">
                  <c:v>61.5</c:v>
                </c:pt>
                <c:pt idx="411">
                  <c:v>65.5</c:v>
                </c:pt>
                <c:pt idx="412">
                  <c:v>64.599999999999994</c:v>
                </c:pt>
                <c:pt idx="413">
                  <c:v>62.5</c:v>
                </c:pt>
                <c:pt idx="414">
                  <c:v>56.2</c:v>
                </c:pt>
                <c:pt idx="415">
                  <c:v>59.1</c:v>
                </c:pt>
                <c:pt idx="416">
                  <c:v>55.2</c:v>
                </c:pt>
                <c:pt idx="417">
                  <c:v>52.8</c:v>
                </c:pt>
                <c:pt idx="418">
                  <c:v>49.3</c:v>
                </c:pt>
                <c:pt idx="419">
                  <c:v>48.1</c:v>
                </c:pt>
                <c:pt idx="420">
                  <c:v>48.8</c:v>
                </c:pt>
                <c:pt idx="421">
                  <c:v>50.4</c:v>
                </c:pt>
                <c:pt idx="422">
                  <c:v>48.6</c:v>
                </c:pt>
                <c:pt idx="423">
                  <c:v>46.7</c:v>
                </c:pt>
                <c:pt idx="424">
                  <c:v>46.1</c:v>
                </c:pt>
                <c:pt idx="425">
                  <c:v>48</c:v>
                </c:pt>
                <c:pt idx="426">
                  <c:v>47.1</c:v>
                </c:pt>
                <c:pt idx="427">
                  <c:v>45.7</c:v>
                </c:pt>
                <c:pt idx="428">
                  <c:v>46.6</c:v>
                </c:pt>
                <c:pt idx="429">
                  <c:v>49.5</c:v>
                </c:pt>
                <c:pt idx="430">
                  <c:v>50</c:v>
                </c:pt>
                <c:pt idx="431">
                  <c:v>48.5</c:v>
                </c:pt>
                <c:pt idx="432">
                  <c:v>49.3</c:v>
                </c:pt>
                <c:pt idx="433">
                  <c:v>50.1</c:v>
                </c:pt>
                <c:pt idx="434">
                  <c:v>49.8</c:v>
                </c:pt>
                <c:pt idx="435">
                  <c:v>50.5</c:v>
                </c:pt>
                <c:pt idx="436">
                  <c:v>50.7</c:v>
                </c:pt>
                <c:pt idx="437">
                  <c:v>50.2</c:v>
                </c:pt>
                <c:pt idx="438">
                  <c:v>49.9</c:v>
                </c:pt>
                <c:pt idx="439">
                  <c:v>49.9</c:v>
                </c:pt>
                <c:pt idx="440">
                  <c:v>50.8</c:v>
                </c:pt>
                <c:pt idx="441">
                  <c:v>49.6</c:v>
                </c:pt>
                <c:pt idx="442">
                  <c:v>51.3</c:v>
                </c:pt>
                <c:pt idx="443">
                  <c:v>52</c:v>
                </c:pt>
                <c:pt idx="444">
                  <c:v>52.8</c:v>
                </c:pt>
                <c:pt idx="445">
                  <c:v>51.5</c:v>
                </c:pt>
                <c:pt idx="446">
                  <c:v>51.2</c:v>
                </c:pt>
                <c:pt idx="447">
                  <c:v>51.9</c:v>
                </c:pt>
                <c:pt idx="448">
                  <c:v>52.8</c:v>
                </c:pt>
                <c:pt idx="449">
                  <c:v>54</c:v>
                </c:pt>
                <c:pt idx="450">
                  <c:v>56.8</c:v>
                </c:pt>
                <c:pt idx="451">
                  <c:v>58.9</c:v>
                </c:pt>
                <c:pt idx="452">
                  <c:v>60.3</c:v>
                </c:pt>
                <c:pt idx="453">
                  <c:v>61.5</c:v>
                </c:pt>
                <c:pt idx="454">
                  <c:v>62.2</c:v>
                </c:pt>
                <c:pt idx="455">
                  <c:v>64.900000000000006</c:v>
                </c:pt>
                <c:pt idx="456">
                  <c:v>62.7</c:v>
                </c:pt>
                <c:pt idx="457">
                  <c:v>62</c:v>
                </c:pt>
                <c:pt idx="458">
                  <c:v>61.2</c:v>
                </c:pt>
                <c:pt idx="459">
                  <c:v>57.3</c:v>
                </c:pt>
                <c:pt idx="460">
                  <c:v>58.6</c:v>
                </c:pt>
                <c:pt idx="461">
                  <c:v>56.9</c:v>
                </c:pt>
                <c:pt idx="462">
                  <c:v>65.599999999999994</c:v>
                </c:pt>
                <c:pt idx="463">
                  <c:v>58.4</c:v>
                </c:pt>
                <c:pt idx="464">
                  <c:v>57.4</c:v>
                </c:pt>
                <c:pt idx="465">
                  <c:v>55.2</c:v>
                </c:pt>
                <c:pt idx="466">
                  <c:v>54.8</c:v>
                </c:pt>
                <c:pt idx="467">
                  <c:v>52.1</c:v>
                </c:pt>
                <c:pt idx="468">
                  <c:v>53</c:v>
                </c:pt>
                <c:pt idx="469">
                  <c:v>53.9</c:v>
                </c:pt>
                <c:pt idx="470">
                  <c:v>54</c:v>
                </c:pt>
                <c:pt idx="471">
                  <c:v>52.5</c:v>
                </c:pt>
                <c:pt idx="472">
                  <c:v>52.2</c:v>
                </c:pt>
                <c:pt idx="473">
                  <c:v>49.1</c:v>
                </c:pt>
                <c:pt idx="474">
                  <c:v>46.5</c:v>
                </c:pt>
                <c:pt idx="475">
                  <c:v>46.1</c:v>
                </c:pt>
                <c:pt idx="476">
                  <c:v>44</c:v>
                </c:pt>
                <c:pt idx="477">
                  <c:v>43.9</c:v>
                </c:pt>
                <c:pt idx="478">
                  <c:v>43.3</c:v>
                </c:pt>
                <c:pt idx="479">
                  <c:v>42.5</c:v>
                </c:pt>
                <c:pt idx="480">
                  <c:v>43.5</c:v>
                </c:pt>
                <c:pt idx="481">
                  <c:v>48.2</c:v>
                </c:pt>
                <c:pt idx="482">
                  <c:v>44.4</c:v>
                </c:pt>
                <c:pt idx="483">
                  <c:v>47.2</c:v>
                </c:pt>
                <c:pt idx="484">
                  <c:v>47.2</c:v>
                </c:pt>
                <c:pt idx="485">
                  <c:v>48.2</c:v>
                </c:pt>
                <c:pt idx="486">
                  <c:v>49.8</c:v>
                </c:pt>
                <c:pt idx="487">
                  <c:v>46.4</c:v>
                </c:pt>
                <c:pt idx="488">
                  <c:v>50.1</c:v>
                </c:pt>
                <c:pt idx="489">
                  <c:v>48.9</c:v>
                </c:pt>
                <c:pt idx="490">
                  <c:v>48.1</c:v>
                </c:pt>
                <c:pt idx="491">
                  <c:v>48.6</c:v>
                </c:pt>
                <c:pt idx="492">
                  <c:v>47.2</c:v>
                </c:pt>
                <c:pt idx="493">
                  <c:v>44.4</c:v>
                </c:pt>
                <c:pt idx="494">
                  <c:v>44.7</c:v>
                </c:pt>
                <c:pt idx="495">
                  <c:v>43.9</c:v>
                </c:pt>
                <c:pt idx="496">
                  <c:v>45</c:v>
                </c:pt>
                <c:pt idx="497">
                  <c:v>46</c:v>
                </c:pt>
                <c:pt idx="498">
                  <c:v>47.1</c:v>
                </c:pt>
                <c:pt idx="499">
                  <c:v>49.6</c:v>
                </c:pt>
                <c:pt idx="500">
                  <c:v>48.3</c:v>
                </c:pt>
                <c:pt idx="501">
                  <c:v>48.8</c:v>
                </c:pt>
                <c:pt idx="502">
                  <c:v>50.2</c:v>
                </c:pt>
                <c:pt idx="503">
                  <c:v>50.1</c:v>
                </c:pt>
                <c:pt idx="504">
                  <c:v>49.4</c:v>
                </c:pt>
                <c:pt idx="505">
                  <c:v>48.7</c:v>
                </c:pt>
                <c:pt idx="506">
                  <c:v>49.3</c:v>
                </c:pt>
                <c:pt idx="507">
                  <c:v>50.3</c:v>
                </c:pt>
                <c:pt idx="508">
                  <c:v>47.4</c:v>
                </c:pt>
                <c:pt idx="509">
                  <c:v>50</c:v>
                </c:pt>
                <c:pt idx="510">
                  <c:v>50.8</c:v>
                </c:pt>
                <c:pt idx="511">
                  <c:v>52.5</c:v>
                </c:pt>
                <c:pt idx="512">
                  <c:v>50.3</c:v>
                </c:pt>
                <c:pt idx="513">
                  <c:v>51.2</c:v>
                </c:pt>
                <c:pt idx="514">
                  <c:v>48.6</c:v>
                </c:pt>
                <c:pt idx="515">
                  <c:v>51.3</c:v>
                </c:pt>
                <c:pt idx="516">
                  <c:v>51.5</c:v>
                </c:pt>
                <c:pt idx="517">
                  <c:v>52.3</c:v>
                </c:pt>
                <c:pt idx="518">
                  <c:v>51.7</c:v>
                </c:pt>
                <c:pt idx="519">
                  <c:v>52.7</c:v>
                </c:pt>
                <c:pt idx="520">
                  <c:v>52.8</c:v>
                </c:pt>
                <c:pt idx="521">
                  <c:v>51.5</c:v>
                </c:pt>
                <c:pt idx="522">
                  <c:v>50.4</c:v>
                </c:pt>
                <c:pt idx="523">
                  <c:v>51</c:v>
                </c:pt>
                <c:pt idx="524">
                  <c:v>51.8</c:v>
                </c:pt>
                <c:pt idx="525">
                  <c:v>51.3</c:v>
                </c:pt>
                <c:pt idx="526">
                  <c:v>50.7</c:v>
                </c:pt>
                <c:pt idx="527">
                  <c:v>50.9</c:v>
                </c:pt>
                <c:pt idx="528">
                  <c:v>51.5</c:v>
                </c:pt>
                <c:pt idx="529">
                  <c:v>54.4</c:v>
                </c:pt>
                <c:pt idx="530">
                  <c:v>57</c:v>
                </c:pt>
                <c:pt idx="531">
                  <c:v>55.4</c:v>
                </c:pt>
                <c:pt idx="532">
                  <c:v>57.2</c:v>
                </c:pt>
                <c:pt idx="533">
                  <c:v>60.2</c:v>
                </c:pt>
                <c:pt idx="534">
                  <c:v>60.3</c:v>
                </c:pt>
                <c:pt idx="535">
                  <c:v>58.1</c:v>
                </c:pt>
                <c:pt idx="536">
                  <c:v>61.6</c:v>
                </c:pt>
                <c:pt idx="537">
                  <c:v>62.5</c:v>
                </c:pt>
                <c:pt idx="538">
                  <c:v>64.900000000000006</c:v>
                </c:pt>
                <c:pt idx="539">
                  <c:v>64.7</c:v>
                </c:pt>
                <c:pt idx="540">
                  <c:v>64.8</c:v>
                </c:pt>
                <c:pt idx="541">
                  <c:v>62.7</c:v>
                </c:pt>
                <c:pt idx="542">
                  <c:v>60.7</c:v>
                </c:pt>
                <c:pt idx="543">
                  <c:v>56.9</c:v>
                </c:pt>
                <c:pt idx="544">
                  <c:v>56.3</c:v>
                </c:pt>
                <c:pt idx="545">
                  <c:v>53.3</c:v>
                </c:pt>
                <c:pt idx="546">
                  <c:v>51.8</c:v>
                </c:pt>
                <c:pt idx="547">
                  <c:v>51.3</c:v>
                </c:pt>
                <c:pt idx="548">
                  <c:v>49.1</c:v>
                </c:pt>
                <c:pt idx="549">
                  <c:v>50</c:v>
                </c:pt>
                <c:pt idx="550">
                  <c:v>48.4</c:v>
                </c:pt>
                <c:pt idx="551">
                  <c:v>45.3</c:v>
                </c:pt>
                <c:pt idx="552">
                  <c:v>47.5</c:v>
                </c:pt>
                <c:pt idx="553">
                  <c:v>47.8</c:v>
                </c:pt>
                <c:pt idx="554">
                  <c:v>49.5</c:v>
                </c:pt>
                <c:pt idx="555">
                  <c:v>49.6</c:v>
                </c:pt>
                <c:pt idx="556">
                  <c:v>49.4</c:v>
                </c:pt>
                <c:pt idx="557">
                  <c:v>49.9</c:v>
                </c:pt>
                <c:pt idx="558">
                  <c:v>52.8</c:v>
                </c:pt>
                <c:pt idx="559">
                  <c:v>50.8</c:v>
                </c:pt>
                <c:pt idx="560">
                  <c:v>51.9</c:v>
                </c:pt>
                <c:pt idx="561">
                  <c:v>50</c:v>
                </c:pt>
                <c:pt idx="562">
                  <c:v>50.9</c:v>
                </c:pt>
                <c:pt idx="563">
                  <c:v>51.2</c:v>
                </c:pt>
                <c:pt idx="564">
                  <c:v>52</c:v>
                </c:pt>
                <c:pt idx="565">
                  <c:v>49.7</c:v>
                </c:pt>
                <c:pt idx="566">
                  <c:v>52.1</c:v>
                </c:pt>
                <c:pt idx="567">
                  <c:v>53.1</c:v>
                </c:pt>
                <c:pt idx="568">
                  <c:v>53.4</c:v>
                </c:pt>
                <c:pt idx="569">
                  <c:v>55</c:v>
                </c:pt>
                <c:pt idx="570">
                  <c:v>54.6</c:v>
                </c:pt>
                <c:pt idx="571">
                  <c:v>54.7</c:v>
                </c:pt>
                <c:pt idx="572">
                  <c:v>55.2</c:v>
                </c:pt>
                <c:pt idx="573">
                  <c:v>54.8</c:v>
                </c:pt>
                <c:pt idx="574">
                  <c:v>54.9</c:v>
                </c:pt>
                <c:pt idx="575">
                  <c:v>55.2</c:v>
                </c:pt>
                <c:pt idx="576">
                  <c:v>53.9</c:v>
                </c:pt>
                <c:pt idx="577">
                  <c:v>53</c:v>
                </c:pt>
                <c:pt idx="578">
                  <c:v>52.8</c:v>
                </c:pt>
                <c:pt idx="579">
                  <c:v>53</c:v>
                </c:pt>
                <c:pt idx="580">
                  <c:v>52.4</c:v>
                </c:pt>
                <c:pt idx="581">
                  <c:v>51.5</c:v>
                </c:pt>
                <c:pt idx="582">
                  <c:v>50.9</c:v>
                </c:pt>
                <c:pt idx="583">
                  <c:v>50.2</c:v>
                </c:pt>
                <c:pt idx="584">
                  <c:v>50.3</c:v>
                </c:pt>
                <c:pt idx="585">
                  <c:v>50.8</c:v>
                </c:pt>
                <c:pt idx="586">
                  <c:v>49.8</c:v>
                </c:pt>
                <c:pt idx="587">
                  <c:v>50.4</c:v>
                </c:pt>
                <c:pt idx="588">
                  <c:v>48.5</c:v>
                </c:pt>
                <c:pt idx="589">
                  <c:v>51</c:v>
                </c:pt>
                <c:pt idx="590">
                  <c:v>50.8</c:v>
                </c:pt>
                <c:pt idx="591">
                  <c:v>52.3</c:v>
                </c:pt>
                <c:pt idx="592">
                  <c:v>49.5</c:v>
                </c:pt>
                <c:pt idx="593">
                  <c:v>52.1</c:v>
                </c:pt>
                <c:pt idx="594">
                  <c:v>52.6</c:v>
                </c:pt>
                <c:pt idx="595">
                  <c:v>54</c:v>
                </c:pt>
                <c:pt idx="596">
                  <c:v>51.4</c:v>
                </c:pt>
                <c:pt idx="597">
                  <c:v>55.8</c:v>
                </c:pt>
                <c:pt idx="598">
                  <c:v>56.2</c:v>
                </c:pt>
                <c:pt idx="599">
                  <c:v>56.8</c:v>
                </c:pt>
                <c:pt idx="600">
                  <c:v>56.7</c:v>
                </c:pt>
                <c:pt idx="601">
                  <c:v>55</c:v>
                </c:pt>
                <c:pt idx="602">
                  <c:v>54.4</c:v>
                </c:pt>
                <c:pt idx="603">
                  <c:v>54.3</c:v>
                </c:pt>
                <c:pt idx="604">
                  <c:v>55.4</c:v>
                </c:pt>
                <c:pt idx="605">
                  <c:v>55.4</c:v>
                </c:pt>
                <c:pt idx="606">
                  <c:v>54.5</c:v>
                </c:pt>
                <c:pt idx="607">
                  <c:v>53.9</c:v>
                </c:pt>
                <c:pt idx="608">
                  <c:v>53.5</c:v>
                </c:pt>
                <c:pt idx="609">
                  <c:v>49.6</c:v>
                </c:pt>
                <c:pt idx="610">
                  <c:v>51.1</c:v>
                </c:pt>
                <c:pt idx="611">
                  <c:v>50.3</c:v>
                </c:pt>
                <c:pt idx="612">
                  <c:v>52.8</c:v>
                </c:pt>
                <c:pt idx="613">
                  <c:v>49.8</c:v>
                </c:pt>
                <c:pt idx="614">
                  <c:v>50.2</c:v>
                </c:pt>
                <c:pt idx="615">
                  <c:v>47.7</c:v>
                </c:pt>
                <c:pt idx="616">
                  <c:v>47.2</c:v>
                </c:pt>
                <c:pt idx="617">
                  <c:v>45.4</c:v>
                </c:pt>
                <c:pt idx="618">
                  <c:v>47.1</c:v>
                </c:pt>
                <c:pt idx="619">
                  <c:v>46.8</c:v>
                </c:pt>
                <c:pt idx="620">
                  <c:v>46.7</c:v>
                </c:pt>
                <c:pt idx="621">
                  <c:v>47.5</c:v>
                </c:pt>
                <c:pt idx="622">
                  <c:v>49.5</c:v>
                </c:pt>
                <c:pt idx="623">
                  <c:v>49.1</c:v>
                </c:pt>
                <c:pt idx="624">
                  <c:v>49.3</c:v>
                </c:pt>
                <c:pt idx="625">
                  <c:v>51.2</c:v>
                </c:pt>
                <c:pt idx="626">
                  <c:v>51.4</c:v>
                </c:pt>
                <c:pt idx="627">
                  <c:v>51.9</c:v>
                </c:pt>
                <c:pt idx="628">
                  <c:v>53.5</c:v>
                </c:pt>
                <c:pt idx="629">
                  <c:v>53.4</c:v>
                </c:pt>
                <c:pt idx="630">
                  <c:v>54.4</c:v>
                </c:pt>
                <c:pt idx="631">
                  <c:v>54.8</c:v>
                </c:pt>
                <c:pt idx="632">
                  <c:v>53.6</c:v>
                </c:pt>
                <c:pt idx="633">
                  <c:v>56.7</c:v>
                </c:pt>
                <c:pt idx="634">
                  <c:v>53.4</c:v>
                </c:pt>
                <c:pt idx="635">
                  <c:v>52.1</c:v>
                </c:pt>
                <c:pt idx="636">
                  <c:v>52.9</c:v>
                </c:pt>
                <c:pt idx="637">
                  <c:v>52.8</c:v>
                </c:pt>
                <c:pt idx="638">
                  <c:v>52.8</c:v>
                </c:pt>
                <c:pt idx="639">
                  <c:v>52.6</c:v>
                </c:pt>
                <c:pt idx="640">
                  <c:v>49.9</c:v>
                </c:pt>
                <c:pt idx="641">
                  <c:v>50.6</c:v>
                </c:pt>
                <c:pt idx="642">
                  <c:v>49.8</c:v>
                </c:pt>
                <c:pt idx="643">
                  <c:v>51.5</c:v>
                </c:pt>
                <c:pt idx="644">
                  <c:v>53</c:v>
                </c:pt>
                <c:pt idx="645">
                  <c:v>53.4</c:v>
                </c:pt>
                <c:pt idx="646">
                  <c:v>54.6</c:v>
                </c:pt>
                <c:pt idx="647">
                  <c:v>56.4</c:v>
                </c:pt>
                <c:pt idx="648">
                  <c:v>59.3</c:v>
                </c:pt>
                <c:pt idx="649">
                  <c:v>61.5</c:v>
                </c:pt>
                <c:pt idx="650">
                  <c:v>62.9</c:v>
                </c:pt>
                <c:pt idx="651">
                  <c:v>66.7</c:v>
                </c:pt>
                <c:pt idx="652">
                  <c:v>66.7</c:v>
                </c:pt>
                <c:pt idx="653">
                  <c:v>68.3</c:v>
                </c:pt>
                <c:pt idx="654">
                  <c:v>67.099999999999994</c:v>
                </c:pt>
                <c:pt idx="655">
                  <c:v>64.5</c:v>
                </c:pt>
                <c:pt idx="656">
                  <c:v>62.8</c:v>
                </c:pt>
                <c:pt idx="657">
                  <c:v>59.8</c:v>
                </c:pt>
                <c:pt idx="658">
                  <c:v>59.2</c:v>
                </c:pt>
                <c:pt idx="659">
                  <c:v>56.8</c:v>
                </c:pt>
                <c:pt idx="660">
                  <c:v>55.3</c:v>
                </c:pt>
                <c:pt idx="661">
                  <c:v>54.7</c:v>
                </c:pt>
                <c:pt idx="662">
                  <c:v>56.5</c:v>
                </c:pt>
                <c:pt idx="663">
                  <c:v>53.5</c:v>
                </c:pt>
                <c:pt idx="664">
                  <c:v>51.8</c:v>
                </c:pt>
                <c:pt idx="665">
                  <c:v>49.8</c:v>
                </c:pt>
                <c:pt idx="666">
                  <c:v>52</c:v>
                </c:pt>
                <c:pt idx="667">
                  <c:v>50.8</c:v>
                </c:pt>
                <c:pt idx="668">
                  <c:v>49.9</c:v>
                </c:pt>
                <c:pt idx="669">
                  <c:v>57.7</c:v>
                </c:pt>
                <c:pt idx="670">
                  <c:v>61.8</c:v>
                </c:pt>
                <c:pt idx="671">
                  <c:v>57</c:v>
                </c:pt>
                <c:pt idx="672">
                  <c:v>54.9</c:v>
                </c:pt>
                <c:pt idx="673">
                  <c:v>55.7</c:v>
                </c:pt>
                <c:pt idx="674">
                  <c:v>54.4</c:v>
                </c:pt>
                <c:pt idx="675">
                  <c:v>53.9</c:v>
                </c:pt>
                <c:pt idx="676">
                  <c:v>57.4</c:v>
                </c:pt>
                <c:pt idx="677">
                  <c:v>56.1</c:v>
                </c:pt>
                <c:pt idx="678">
                  <c:v>54</c:v>
                </c:pt>
                <c:pt idx="679">
                  <c:v>53.5</c:v>
                </c:pt>
                <c:pt idx="680">
                  <c:v>54.2</c:v>
                </c:pt>
                <c:pt idx="681">
                  <c:v>52.9</c:v>
                </c:pt>
                <c:pt idx="682">
                  <c:v>51.3</c:v>
                </c:pt>
                <c:pt idx="683">
                  <c:v>53.1</c:v>
                </c:pt>
                <c:pt idx="684">
                  <c:v>55.7</c:v>
                </c:pt>
                <c:pt idx="685">
                  <c:v>53.1</c:v>
                </c:pt>
                <c:pt idx="686">
                  <c:v>52.8</c:v>
                </c:pt>
                <c:pt idx="687">
                  <c:v>51.2</c:v>
                </c:pt>
                <c:pt idx="688">
                  <c:v>50.3</c:v>
                </c:pt>
                <c:pt idx="689">
                  <c:v>49.3</c:v>
                </c:pt>
                <c:pt idx="690">
                  <c:v>48.9</c:v>
                </c:pt>
                <c:pt idx="691">
                  <c:v>50</c:v>
                </c:pt>
                <c:pt idx="692">
                  <c:v>49.2</c:v>
                </c:pt>
                <c:pt idx="693">
                  <c:v>50.7</c:v>
                </c:pt>
                <c:pt idx="694">
                  <c:v>51.6</c:v>
                </c:pt>
                <c:pt idx="695">
                  <c:v>52.4</c:v>
                </c:pt>
                <c:pt idx="696">
                  <c:v>56</c:v>
                </c:pt>
                <c:pt idx="697">
                  <c:v>53.8</c:v>
                </c:pt>
                <c:pt idx="698">
                  <c:v>51.6</c:v>
                </c:pt>
                <c:pt idx="699">
                  <c:v>52.7</c:v>
                </c:pt>
                <c:pt idx="700">
                  <c:v>53.8</c:v>
                </c:pt>
                <c:pt idx="701">
                  <c:v>52.2</c:v>
                </c:pt>
                <c:pt idx="702">
                  <c:v>53.9</c:v>
                </c:pt>
                <c:pt idx="703">
                  <c:v>53.3</c:v>
                </c:pt>
                <c:pt idx="704">
                  <c:v>49.3</c:v>
                </c:pt>
                <c:pt idx="705">
                  <c:v>51.6</c:v>
                </c:pt>
                <c:pt idx="706">
                  <c:v>50.3</c:v>
                </c:pt>
                <c:pt idx="707">
                  <c:v>49.7</c:v>
                </c:pt>
                <c:pt idx="708">
                  <c:v>48.1</c:v>
                </c:pt>
                <c:pt idx="709">
                  <c:v>45.5</c:v>
                </c:pt>
                <c:pt idx="710">
                  <c:v>46</c:v>
                </c:pt>
                <c:pt idx="711">
                  <c:v>41.9</c:v>
                </c:pt>
                <c:pt idx="712">
                  <c:v>44.4</c:v>
                </c:pt>
                <c:pt idx="713">
                  <c:v>49.2</c:v>
                </c:pt>
                <c:pt idx="714">
                  <c:v>50.4</c:v>
                </c:pt>
                <c:pt idx="715">
                  <c:v>52.2</c:v>
                </c:pt>
                <c:pt idx="716">
                  <c:v>56.5</c:v>
                </c:pt>
                <c:pt idx="717">
                  <c:v>58.4</c:v>
                </c:pt>
                <c:pt idx="718">
                  <c:v>58.4</c:v>
                </c:pt>
                <c:pt idx="719">
                  <c:v>57.5</c:v>
                </c:pt>
                <c:pt idx="720">
                  <c:v>58.3</c:v>
                </c:pt>
                <c:pt idx="721">
                  <c:v>59</c:v>
                </c:pt>
                <c:pt idx="722">
                  <c:v>59.8</c:v>
                </c:pt>
                <c:pt idx="723">
                  <c:v>61.3</c:v>
                </c:pt>
                <c:pt idx="724">
                  <c:v>58.9</c:v>
                </c:pt>
                <c:pt idx="725">
                  <c:v>60.8</c:v>
                </c:pt>
                <c:pt idx="726">
                  <c:v>57.8</c:v>
                </c:pt>
                <c:pt idx="727">
                  <c:v>58.9</c:v>
                </c:pt>
                <c:pt idx="728">
                  <c:v>57.1</c:v>
                </c:pt>
                <c:pt idx="729">
                  <c:v>54</c:v>
                </c:pt>
                <c:pt idx="730">
                  <c:v>52.9</c:v>
                </c:pt>
                <c:pt idx="731">
                  <c:v>59.5</c:v>
                </c:pt>
                <c:pt idx="732">
                  <c:v>57</c:v>
                </c:pt>
                <c:pt idx="733">
                  <c:v>57.2</c:v>
                </c:pt>
                <c:pt idx="734">
                  <c:v>59.2</c:v>
                </c:pt>
                <c:pt idx="735">
                  <c:v>59.9</c:v>
                </c:pt>
                <c:pt idx="736">
                  <c:v>59.2</c:v>
                </c:pt>
                <c:pt idx="737">
                  <c:v>55.9</c:v>
                </c:pt>
                <c:pt idx="738">
                  <c:v>56.4</c:v>
                </c:pt>
                <c:pt idx="739">
                  <c:v>51.4</c:v>
                </c:pt>
                <c:pt idx="740">
                  <c:v>52</c:v>
                </c:pt>
                <c:pt idx="741">
                  <c:v>51.9</c:v>
                </c:pt>
                <c:pt idx="742">
                  <c:v>52</c:v>
                </c:pt>
                <c:pt idx="743">
                  <c:v>51.3</c:v>
                </c:pt>
                <c:pt idx="744">
                  <c:v>49.9</c:v>
                </c:pt>
                <c:pt idx="745">
                  <c:v>50.8</c:v>
                </c:pt>
                <c:pt idx="746">
                  <c:v>48.4</c:v>
                </c:pt>
                <c:pt idx="747">
                  <c:v>48.6</c:v>
                </c:pt>
                <c:pt idx="748">
                  <c:v>48.7</c:v>
                </c:pt>
                <c:pt idx="749">
                  <c:v>50.2</c:v>
                </c:pt>
                <c:pt idx="750">
                  <c:v>50</c:v>
                </c:pt>
                <c:pt idx="751">
                  <c:v>49.6</c:v>
                </c:pt>
                <c:pt idx="752">
                  <c:v>50.3</c:v>
                </c:pt>
                <c:pt idx="753">
                  <c:v>50.6</c:v>
                </c:pt>
                <c:pt idx="754">
                  <c:v>49.4</c:v>
                </c:pt>
                <c:pt idx="755">
                  <c:v>50.2</c:v>
                </c:pt>
                <c:pt idx="756">
                  <c:v>52.9</c:v>
                </c:pt>
                <c:pt idx="757">
                  <c:v>51.9</c:v>
                </c:pt>
                <c:pt idx="758">
                  <c:v>51.5</c:v>
                </c:pt>
                <c:pt idx="759">
                  <c:v>50.4</c:v>
                </c:pt>
                <c:pt idx="760">
                  <c:v>51.1</c:v>
                </c:pt>
                <c:pt idx="761">
                  <c:v>49.7</c:v>
                </c:pt>
                <c:pt idx="762">
                  <c:v>50.4</c:v>
                </c:pt>
                <c:pt idx="763">
                  <c:v>52</c:v>
                </c:pt>
                <c:pt idx="764">
                  <c:v>52.4</c:v>
                </c:pt>
                <c:pt idx="765">
                  <c:v>52.7</c:v>
                </c:pt>
                <c:pt idx="766">
                  <c:v>54.1</c:v>
                </c:pt>
                <c:pt idx="767">
                  <c:v>53.3</c:v>
                </c:pt>
                <c:pt idx="768">
                  <c:v>53.7</c:v>
                </c:pt>
                <c:pt idx="769">
                  <c:v>54.3</c:v>
                </c:pt>
                <c:pt idx="770">
                  <c:v>58.5</c:v>
                </c:pt>
                <c:pt idx="771">
                  <c:v>54</c:v>
                </c:pt>
                <c:pt idx="772">
                  <c:v>55.9</c:v>
                </c:pt>
                <c:pt idx="773">
                  <c:v>53.2</c:v>
                </c:pt>
                <c:pt idx="774">
                  <c:v>51.9</c:v>
                </c:pt>
                <c:pt idx="775">
                  <c:v>54.1</c:v>
                </c:pt>
                <c:pt idx="776">
                  <c:v>53.9</c:v>
                </c:pt>
                <c:pt idx="777">
                  <c:v>52.2</c:v>
                </c:pt>
                <c:pt idx="778">
                  <c:v>56.2</c:v>
                </c:pt>
                <c:pt idx="779">
                  <c:v>56.8</c:v>
                </c:pt>
                <c:pt idx="780">
                  <c:v>59.3</c:v>
                </c:pt>
                <c:pt idx="781">
                  <c:v>52.9</c:v>
                </c:pt>
                <c:pt idx="782">
                  <c:v>54.3</c:v>
                </c:pt>
                <c:pt idx="783">
                  <c:v>50.5</c:v>
                </c:pt>
                <c:pt idx="784">
                  <c:v>50.1</c:v>
                </c:pt>
                <c:pt idx="785">
                  <c:v>50.7</c:v>
                </c:pt>
                <c:pt idx="786">
                  <c:v>48.8</c:v>
                </c:pt>
                <c:pt idx="787">
                  <c:v>48.9</c:v>
                </c:pt>
                <c:pt idx="788">
                  <c:v>50.7</c:v>
                </c:pt>
                <c:pt idx="789">
                  <c:v>50.2</c:v>
                </c:pt>
                <c:pt idx="790">
                  <c:v>49.7</c:v>
                </c:pt>
                <c:pt idx="791">
                  <c:v>49.6</c:v>
                </c:pt>
                <c:pt idx="792">
                  <c:v>49.8</c:v>
                </c:pt>
                <c:pt idx="793">
                  <c:v>50</c:v>
                </c:pt>
                <c:pt idx="794">
                  <c:v>49.7</c:v>
                </c:pt>
                <c:pt idx="795">
                  <c:v>50.2</c:v>
                </c:pt>
                <c:pt idx="796">
                  <c:v>49.1</c:v>
                </c:pt>
                <c:pt idx="797">
                  <c:v>54.1</c:v>
                </c:pt>
                <c:pt idx="798">
                  <c:v>55.4</c:v>
                </c:pt>
                <c:pt idx="799">
                  <c:v>51.8</c:v>
                </c:pt>
                <c:pt idx="800">
                  <c:v>50.9</c:v>
                </c:pt>
                <c:pt idx="801">
                  <c:v>50.3</c:v>
                </c:pt>
                <c:pt idx="802">
                  <c:v>52.2</c:v>
                </c:pt>
                <c:pt idx="803">
                  <c:v>55.5</c:v>
                </c:pt>
                <c:pt idx="804">
                  <c:v>53</c:v>
                </c:pt>
                <c:pt idx="805">
                  <c:v>53.6</c:v>
                </c:pt>
                <c:pt idx="806">
                  <c:v>54.8</c:v>
                </c:pt>
                <c:pt idx="807">
                  <c:v>55.9</c:v>
                </c:pt>
                <c:pt idx="808">
                  <c:v>55.1</c:v>
                </c:pt>
                <c:pt idx="809">
                  <c:v>53.1</c:v>
                </c:pt>
                <c:pt idx="810">
                  <c:v>57</c:v>
                </c:pt>
                <c:pt idx="811">
                  <c:v>55.4</c:v>
                </c:pt>
                <c:pt idx="812">
                  <c:v>57.1</c:v>
                </c:pt>
                <c:pt idx="813">
                  <c:v>64.400000000000006</c:v>
                </c:pt>
                <c:pt idx="814">
                  <c:v>60.1</c:v>
                </c:pt>
                <c:pt idx="815">
                  <c:v>56.6</c:v>
                </c:pt>
                <c:pt idx="816">
                  <c:v>57.2</c:v>
                </c:pt>
                <c:pt idx="817">
                  <c:v>59.1</c:v>
                </c:pt>
                <c:pt idx="818">
                  <c:v>61.1</c:v>
                </c:pt>
                <c:pt idx="819">
                  <c:v>60.6</c:v>
                </c:pt>
                <c:pt idx="820">
                  <c:v>61.1</c:v>
                </c:pt>
                <c:pt idx="821">
                  <c:v>62</c:v>
                </c:pt>
                <c:pt idx="822">
                  <c:v>68.2</c:v>
                </c:pt>
                <c:pt idx="823">
                  <c:v>62.1</c:v>
                </c:pt>
                <c:pt idx="824">
                  <c:v>64.5</c:v>
                </c:pt>
                <c:pt idx="825">
                  <c:v>61.1</c:v>
                </c:pt>
                <c:pt idx="826">
                  <c:v>63.2</c:v>
                </c:pt>
                <c:pt idx="827">
                  <c:v>61.5</c:v>
                </c:pt>
                <c:pt idx="828">
                  <c:v>59</c:v>
                </c:pt>
                <c:pt idx="829">
                  <c:v>56.2</c:v>
                </c:pt>
                <c:pt idx="830">
                  <c:v>54.9</c:v>
                </c:pt>
                <c:pt idx="831">
                  <c:v>54.2</c:v>
                </c:pt>
              </c:numCache>
            </c:numRef>
          </c:val>
          <c:smooth val="0"/>
          <c:extLst>
            <c:ext xmlns:c16="http://schemas.microsoft.com/office/drawing/2014/chart" uri="{C3380CC4-5D6E-409C-BE32-E72D297353CC}">
              <c16:uniqueId val="{00000004-904C-AC4C-8102-529833850235}"/>
            </c:ext>
          </c:extLst>
        </c:ser>
        <c:ser>
          <c:idx val="5"/>
          <c:order val="5"/>
          <c:tx>
            <c:strRef>
              <c:f>'PMI Analysis'!$G$1</c:f>
              <c:strCache>
                <c:ptCount val="1"/>
                <c:pt idx="0">
                  <c:v>Inventories PMI</c:v>
                </c:pt>
              </c:strCache>
            </c:strRef>
          </c:tx>
          <c:spPr>
            <a:ln w="12700" cap="rnd">
              <a:solidFill>
                <a:schemeClr val="accent6"/>
              </a:solidFill>
              <a:round/>
            </a:ln>
            <a:effectLst/>
          </c:spPr>
          <c:marker>
            <c:symbol val="none"/>
          </c:marker>
          <c:cat>
            <c:numRef>
              <c:f>'PMI Analysis'!$A$2:$A$832</c:f>
              <c:numCache>
                <c:formatCode>m/d/yy</c:formatCode>
                <c:ptCount val="831"/>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numCache>
            </c:numRef>
          </c:cat>
          <c:val>
            <c:numRef>
              <c:f>'PMI Analysis'!$G$2:$G$833</c:f>
              <c:numCache>
                <c:formatCode>General</c:formatCode>
                <c:ptCount val="832"/>
                <c:pt idx="1">
                  <c:v>43.6</c:v>
                </c:pt>
                <c:pt idx="2">
                  <c:v>46.4</c:v>
                </c:pt>
                <c:pt idx="3">
                  <c:v>48.8</c:v>
                </c:pt>
                <c:pt idx="4">
                  <c:v>50.6</c:v>
                </c:pt>
                <c:pt idx="5">
                  <c:v>58.2</c:v>
                </c:pt>
                <c:pt idx="6">
                  <c:v>62.1</c:v>
                </c:pt>
                <c:pt idx="7">
                  <c:v>62.7</c:v>
                </c:pt>
                <c:pt idx="8">
                  <c:v>62.3</c:v>
                </c:pt>
                <c:pt idx="9">
                  <c:v>55.2</c:v>
                </c:pt>
                <c:pt idx="10">
                  <c:v>50.6</c:v>
                </c:pt>
                <c:pt idx="11">
                  <c:v>48.3</c:v>
                </c:pt>
                <c:pt idx="12">
                  <c:v>49.7</c:v>
                </c:pt>
                <c:pt idx="13">
                  <c:v>48</c:v>
                </c:pt>
                <c:pt idx="14">
                  <c:v>42.1</c:v>
                </c:pt>
                <c:pt idx="15">
                  <c:v>47.4</c:v>
                </c:pt>
                <c:pt idx="16">
                  <c:v>51.8</c:v>
                </c:pt>
                <c:pt idx="17">
                  <c:v>51.2</c:v>
                </c:pt>
                <c:pt idx="18">
                  <c:v>48.4</c:v>
                </c:pt>
                <c:pt idx="19">
                  <c:v>47.8</c:v>
                </c:pt>
                <c:pt idx="20">
                  <c:v>46.7</c:v>
                </c:pt>
                <c:pt idx="21">
                  <c:v>43.8</c:v>
                </c:pt>
                <c:pt idx="22">
                  <c:v>42</c:v>
                </c:pt>
                <c:pt idx="23">
                  <c:v>44.5</c:v>
                </c:pt>
                <c:pt idx="24">
                  <c:v>42.6</c:v>
                </c:pt>
                <c:pt idx="25">
                  <c:v>42.5</c:v>
                </c:pt>
                <c:pt idx="26">
                  <c:v>39.299999999999997</c:v>
                </c:pt>
                <c:pt idx="27">
                  <c:v>35.6</c:v>
                </c:pt>
                <c:pt idx="28">
                  <c:v>35.4</c:v>
                </c:pt>
                <c:pt idx="29">
                  <c:v>30.3</c:v>
                </c:pt>
                <c:pt idx="30">
                  <c:v>33.799999999999997</c:v>
                </c:pt>
                <c:pt idx="31">
                  <c:v>31.6</c:v>
                </c:pt>
                <c:pt idx="32">
                  <c:v>30.5</c:v>
                </c:pt>
                <c:pt idx="33">
                  <c:v>38.6</c:v>
                </c:pt>
                <c:pt idx="34">
                  <c:v>38.200000000000003</c:v>
                </c:pt>
                <c:pt idx="35">
                  <c:v>39.9</c:v>
                </c:pt>
                <c:pt idx="36">
                  <c:v>40</c:v>
                </c:pt>
                <c:pt idx="37">
                  <c:v>40.9</c:v>
                </c:pt>
                <c:pt idx="38">
                  <c:v>44.3</c:v>
                </c:pt>
                <c:pt idx="39">
                  <c:v>46.4</c:v>
                </c:pt>
                <c:pt idx="40">
                  <c:v>43.8</c:v>
                </c:pt>
                <c:pt idx="41">
                  <c:v>41.2</c:v>
                </c:pt>
                <c:pt idx="42">
                  <c:v>44.6</c:v>
                </c:pt>
                <c:pt idx="43">
                  <c:v>45.6</c:v>
                </c:pt>
                <c:pt idx="44">
                  <c:v>46.2</c:v>
                </c:pt>
                <c:pt idx="45">
                  <c:v>43.3</c:v>
                </c:pt>
                <c:pt idx="46">
                  <c:v>41.3</c:v>
                </c:pt>
                <c:pt idx="47">
                  <c:v>35.5</c:v>
                </c:pt>
                <c:pt idx="48">
                  <c:v>34.200000000000003</c:v>
                </c:pt>
                <c:pt idx="49">
                  <c:v>34.200000000000003</c:v>
                </c:pt>
                <c:pt idx="50">
                  <c:v>30.9</c:v>
                </c:pt>
                <c:pt idx="51">
                  <c:v>31.6</c:v>
                </c:pt>
                <c:pt idx="52">
                  <c:v>33.200000000000003</c:v>
                </c:pt>
                <c:pt idx="53">
                  <c:v>39.1</c:v>
                </c:pt>
                <c:pt idx="54">
                  <c:v>34.4</c:v>
                </c:pt>
                <c:pt idx="55">
                  <c:v>35.700000000000003</c:v>
                </c:pt>
                <c:pt idx="56">
                  <c:v>37.700000000000003</c:v>
                </c:pt>
                <c:pt idx="57">
                  <c:v>40.799999999999997</c:v>
                </c:pt>
                <c:pt idx="58">
                  <c:v>40.5</c:v>
                </c:pt>
                <c:pt idx="59">
                  <c:v>44.7</c:v>
                </c:pt>
                <c:pt idx="60">
                  <c:v>47.1</c:v>
                </c:pt>
                <c:pt idx="61">
                  <c:v>48</c:v>
                </c:pt>
                <c:pt idx="62">
                  <c:v>51.3</c:v>
                </c:pt>
                <c:pt idx="63">
                  <c:v>54.4</c:v>
                </c:pt>
                <c:pt idx="64">
                  <c:v>54.2</c:v>
                </c:pt>
                <c:pt idx="65">
                  <c:v>56.6</c:v>
                </c:pt>
                <c:pt idx="66">
                  <c:v>65.2</c:v>
                </c:pt>
                <c:pt idx="67">
                  <c:v>58.4</c:v>
                </c:pt>
                <c:pt idx="68">
                  <c:v>54.2</c:v>
                </c:pt>
                <c:pt idx="69">
                  <c:v>53.5</c:v>
                </c:pt>
                <c:pt idx="70">
                  <c:v>53.5</c:v>
                </c:pt>
                <c:pt idx="71">
                  <c:v>55.5</c:v>
                </c:pt>
                <c:pt idx="72">
                  <c:v>55.4</c:v>
                </c:pt>
                <c:pt idx="73">
                  <c:v>52.2</c:v>
                </c:pt>
                <c:pt idx="74">
                  <c:v>56.1</c:v>
                </c:pt>
                <c:pt idx="75">
                  <c:v>57.2</c:v>
                </c:pt>
                <c:pt idx="76">
                  <c:v>57.5</c:v>
                </c:pt>
                <c:pt idx="77">
                  <c:v>60.3</c:v>
                </c:pt>
                <c:pt idx="78">
                  <c:v>58.4</c:v>
                </c:pt>
                <c:pt idx="79">
                  <c:v>51.5</c:v>
                </c:pt>
                <c:pt idx="80">
                  <c:v>52.1</c:v>
                </c:pt>
                <c:pt idx="81">
                  <c:v>53.1</c:v>
                </c:pt>
                <c:pt idx="82">
                  <c:v>53.6</c:v>
                </c:pt>
                <c:pt idx="83">
                  <c:v>44.6</c:v>
                </c:pt>
                <c:pt idx="84">
                  <c:v>54.3</c:v>
                </c:pt>
                <c:pt idx="85">
                  <c:v>53.9</c:v>
                </c:pt>
                <c:pt idx="86">
                  <c:v>53.1</c:v>
                </c:pt>
                <c:pt idx="87">
                  <c:v>46.6</c:v>
                </c:pt>
                <c:pt idx="88">
                  <c:v>39.9</c:v>
                </c:pt>
                <c:pt idx="89">
                  <c:v>41.8</c:v>
                </c:pt>
                <c:pt idx="90">
                  <c:v>40.700000000000003</c:v>
                </c:pt>
                <c:pt idx="91">
                  <c:v>45.3</c:v>
                </c:pt>
                <c:pt idx="92">
                  <c:v>46</c:v>
                </c:pt>
                <c:pt idx="93">
                  <c:v>42.6</c:v>
                </c:pt>
                <c:pt idx="94">
                  <c:v>42.7</c:v>
                </c:pt>
                <c:pt idx="95">
                  <c:v>39.700000000000003</c:v>
                </c:pt>
                <c:pt idx="96">
                  <c:v>38</c:v>
                </c:pt>
                <c:pt idx="97">
                  <c:v>35.799999999999997</c:v>
                </c:pt>
                <c:pt idx="98">
                  <c:v>33.1</c:v>
                </c:pt>
                <c:pt idx="99">
                  <c:v>31.3</c:v>
                </c:pt>
                <c:pt idx="100">
                  <c:v>30.8</c:v>
                </c:pt>
                <c:pt idx="101">
                  <c:v>27.7</c:v>
                </c:pt>
                <c:pt idx="102">
                  <c:v>32.200000000000003</c:v>
                </c:pt>
                <c:pt idx="103">
                  <c:v>34.6</c:v>
                </c:pt>
                <c:pt idx="104">
                  <c:v>44.8</c:v>
                </c:pt>
                <c:pt idx="105">
                  <c:v>42.5</c:v>
                </c:pt>
                <c:pt idx="106">
                  <c:v>46.4</c:v>
                </c:pt>
                <c:pt idx="107">
                  <c:v>51</c:v>
                </c:pt>
                <c:pt idx="108">
                  <c:v>49</c:v>
                </c:pt>
                <c:pt idx="109">
                  <c:v>45.5</c:v>
                </c:pt>
                <c:pt idx="110">
                  <c:v>55.5</c:v>
                </c:pt>
                <c:pt idx="111">
                  <c:v>58.4</c:v>
                </c:pt>
                <c:pt idx="112">
                  <c:v>63.4</c:v>
                </c:pt>
                <c:pt idx="113">
                  <c:v>63.8</c:v>
                </c:pt>
                <c:pt idx="114">
                  <c:v>65.599999999999994</c:v>
                </c:pt>
                <c:pt idx="115">
                  <c:v>62</c:v>
                </c:pt>
                <c:pt idx="116">
                  <c:v>50.9</c:v>
                </c:pt>
                <c:pt idx="117">
                  <c:v>42.3</c:v>
                </c:pt>
                <c:pt idx="118">
                  <c:v>39.1</c:v>
                </c:pt>
                <c:pt idx="119">
                  <c:v>43.4</c:v>
                </c:pt>
                <c:pt idx="120">
                  <c:v>49.1</c:v>
                </c:pt>
                <c:pt idx="121">
                  <c:v>48.3</c:v>
                </c:pt>
                <c:pt idx="122">
                  <c:v>56.6</c:v>
                </c:pt>
                <c:pt idx="123">
                  <c:v>50.7</c:v>
                </c:pt>
                <c:pt idx="124">
                  <c:v>45.5</c:v>
                </c:pt>
                <c:pt idx="125">
                  <c:v>42.5</c:v>
                </c:pt>
                <c:pt idx="126">
                  <c:v>43.9</c:v>
                </c:pt>
                <c:pt idx="127">
                  <c:v>41.9</c:v>
                </c:pt>
                <c:pt idx="128">
                  <c:v>39.1</c:v>
                </c:pt>
                <c:pt idx="129">
                  <c:v>40.799999999999997</c:v>
                </c:pt>
                <c:pt idx="130">
                  <c:v>39.700000000000003</c:v>
                </c:pt>
                <c:pt idx="131">
                  <c:v>41.7</c:v>
                </c:pt>
                <c:pt idx="132">
                  <c:v>39.299999999999997</c:v>
                </c:pt>
                <c:pt idx="133">
                  <c:v>40.5</c:v>
                </c:pt>
                <c:pt idx="134">
                  <c:v>36.6</c:v>
                </c:pt>
                <c:pt idx="135">
                  <c:v>38.9</c:v>
                </c:pt>
                <c:pt idx="136">
                  <c:v>41.3</c:v>
                </c:pt>
                <c:pt idx="137">
                  <c:v>44</c:v>
                </c:pt>
                <c:pt idx="138">
                  <c:v>42</c:v>
                </c:pt>
                <c:pt idx="139">
                  <c:v>45.3</c:v>
                </c:pt>
                <c:pt idx="140">
                  <c:v>54.5</c:v>
                </c:pt>
                <c:pt idx="141">
                  <c:v>56.3</c:v>
                </c:pt>
                <c:pt idx="142">
                  <c:v>56.7</c:v>
                </c:pt>
                <c:pt idx="143">
                  <c:v>54.6</c:v>
                </c:pt>
                <c:pt idx="144">
                  <c:v>56.1</c:v>
                </c:pt>
                <c:pt idx="145">
                  <c:v>59</c:v>
                </c:pt>
                <c:pt idx="146">
                  <c:v>58.6</c:v>
                </c:pt>
                <c:pt idx="147">
                  <c:v>57.5</c:v>
                </c:pt>
                <c:pt idx="148">
                  <c:v>53.5</c:v>
                </c:pt>
                <c:pt idx="149">
                  <c:v>50.3</c:v>
                </c:pt>
                <c:pt idx="150">
                  <c:v>46.4</c:v>
                </c:pt>
                <c:pt idx="151">
                  <c:v>43.8</c:v>
                </c:pt>
                <c:pt idx="152">
                  <c:v>45.2</c:v>
                </c:pt>
                <c:pt idx="153">
                  <c:v>42.5</c:v>
                </c:pt>
                <c:pt idx="154">
                  <c:v>46.2</c:v>
                </c:pt>
                <c:pt idx="155">
                  <c:v>51.5</c:v>
                </c:pt>
                <c:pt idx="156">
                  <c:v>50.1</c:v>
                </c:pt>
                <c:pt idx="157">
                  <c:v>47.4</c:v>
                </c:pt>
                <c:pt idx="158">
                  <c:v>48.3</c:v>
                </c:pt>
                <c:pt idx="159">
                  <c:v>46.8</c:v>
                </c:pt>
                <c:pt idx="160">
                  <c:v>48.6</c:v>
                </c:pt>
                <c:pt idx="161">
                  <c:v>54.2</c:v>
                </c:pt>
                <c:pt idx="162">
                  <c:v>55</c:v>
                </c:pt>
                <c:pt idx="163">
                  <c:v>54</c:v>
                </c:pt>
                <c:pt idx="164">
                  <c:v>48.1</c:v>
                </c:pt>
                <c:pt idx="165">
                  <c:v>47.9</c:v>
                </c:pt>
                <c:pt idx="166">
                  <c:v>46.4</c:v>
                </c:pt>
                <c:pt idx="167">
                  <c:v>43.7</c:v>
                </c:pt>
                <c:pt idx="168">
                  <c:v>44.2</c:v>
                </c:pt>
                <c:pt idx="169">
                  <c:v>42.9</c:v>
                </c:pt>
                <c:pt idx="170">
                  <c:v>50.4</c:v>
                </c:pt>
                <c:pt idx="171">
                  <c:v>54.6</c:v>
                </c:pt>
                <c:pt idx="172">
                  <c:v>53.1</c:v>
                </c:pt>
                <c:pt idx="173">
                  <c:v>50.3</c:v>
                </c:pt>
                <c:pt idx="174">
                  <c:v>53.5</c:v>
                </c:pt>
                <c:pt idx="175">
                  <c:v>55.5</c:v>
                </c:pt>
                <c:pt idx="176">
                  <c:v>53.5</c:v>
                </c:pt>
                <c:pt idx="177">
                  <c:v>59</c:v>
                </c:pt>
                <c:pt idx="178">
                  <c:v>59.1</c:v>
                </c:pt>
                <c:pt idx="179">
                  <c:v>61</c:v>
                </c:pt>
                <c:pt idx="180">
                  <c:v>59.5</c:v>
                </c:pt>
                <c:pt idx="181">
                  <c:v>61.4</c:v>
                </c:pt>
                <c:pt idx="182">
                  <c:v>63.2</c:v>
                </c:pt>
                <c:pt idx="183">
                  <c:v>57.8</c:v>
                </c:pt>
                <c:pt idx="184">
                  <c:v>61.9</c:v>
                </c:pt>
                <c:pt idx="185">
                  <c:v>60.6</c:v>
                </c:pt>
                <c:pt idx="186">
                  <c:v>55.8</c:v>
                </c:pt>
                <c:pt idx="187">
                  <c:v>53.8</c:v>
                </c:pt>
                <c:pt idx="188">
                  <c:v>57.2</c:v>
                </c:pt>
                <c:pt idx="189">
                  <c:v>55.7</c:v>
                </c:pt>
                <c:pt idx="190">
                  <c:v>46.5</c:v>
                </c:pt>
                <c:pt idx="191">
                  <c:v>48.7</c:v>
                </c:pt>
                <c:pt idx="192">
                  <c:v>47.4</c:v>
                </c:pt>
                <c:pt idx="193">
                  <c:v>49.7</c:v>
                </c:pt>
                <c:pt idx="194">
                  <c:v>48.7</c:v>
                </c:pt>
                <c:pt idx="195">
                  <c:v>52.3</c:v>
                </c:pt>
                <c:pt idx="196">
                  <c:v>53</c:v>
                </c:pt>
                <c:pt idx="197">
                  <c:v>53.8</c:v>
                </c:pt>
                <c:pt idx="198">
                  <c:v>53.3</c:v>
                </c:pt>
                <c:pt idx="199">
                  <c:v>57.9</c:v>
                </c:pt>
                <c:pt idx="200">
                  <c:v>57</c:v>
                </c:pt>
                <c:pt idx="201">
                  <c:v>54.8</c:v>
                </c:pt>
                <c:pt idx="202">
                  <c:v>58.2</c:v>
                </c:pt>
                <c:pt idx="203">
                  <c:v>55.6</c:v>
                </c:pt>
                <c:pt idx="204">
                  <c:v>53.7</c:v>
                </c:pt>
                <c:pt idx="205">
                  <c:v>48.2</c:v>
                </c:pt>
                <c:pt idx="206">
                  <c:v>45.3</c:v>
                </c:pt>
                <c:pt idx="207">
                  <c:v>45.6</c:v>
                </c:pt>
                <c:pt idx="208">
                  <c:v>39.4</c:v>
                </c:pt>
                <c:pt idx="209">
                  <c:v>39.700000000000003</c:v>
                </c:pt>
                <c:pt idx="210">
                  <c:v>39.6</c:v>
                </c:pt>
                <c:pt idx="211">
                  <c:v>38.1</c:v>
                </c:pt>
                <c:pt idx="212">
                  <c:v>41.7</c:v>
                </c:pt>
                <c:pt idx="213">
                  <c:v>46.8</c:v>
                </c:pt>
                <c:pt idx="214">
                  <c:v>48</c:v>
                </c:pt>
                <c:pt idx="215">
                  <c:v>44.4</c:v>
                </c:pt>
                <c:pt idx="216">
                  <c:v>53.8</c:v>
                </c:pt>
                <c:pt idx="217">
                  <c:v>54.8</c:v>
                </c:pt>
                <c:pt idx="218">
                  <c:v>53.7</c:v>
                </c:pt>
                <c:pt idx="219">
                  <c:v>50.7</c:v>
                </c:pt>
                <c:pt idx="220">
                  <c:v>54.9</c:v>
                </c:pt>
                <c:pt idx="221">
                  <c:v>54</c:v>
                </c:pt>
                <c:pt idx="222">
                  <c:v>55</c:v>
                </c:pt>
                <c:pt idx="223">
                  <c:v>55.8</c:v>
                </c:pt>
                <c:pt idx="224">
                  <c:v>54.2</c:v>
                </c:pt>
                <c:pt idx="225">
                  <c:v>42.4</c:v>
                </c:pt>
                <c:pt idx="226">
                  <c:v>44.3</c:v>
                </c:pt>
                <c:pt idx="227">
                  <c:v>43.5</c:v>
                </c:pt>
                <c:pt idx="228">
                  <c:v>46.3</c:v>
                </c:pt>
                <c:pt idx="229">
                  <c:v>44.2</c:v>
                </c:pt>
                <c:pt idx="230">
                  <c:v>46.3</c:v>
                </c:pt>
                <c:pt idx="231">
                  <c:v>47.6</c:v>
                </c:pt>
                <c:pt idx="232">
                  <c:v>49.2</c:v>
                </c:pt>
                <c:pt idx="233">
                  <c:v>50.7</c:v>
                </c:pt>
                <c:pt idx="234">
                  <c:v>47.8</c:v>
                </c:pt>
                <c:pt idx="235">
                  <c:v>49.3</c:v>
                </c:pt>
                <c:pt idx="236">
                  <c:v>50.9</c:v>
                </c:pt>
                <c:pt idx="237">
                  <c:v>49.4</c:v>
                </c:pt>
                <c:pt idx="238">
                  <c:v>54.2</c:v>
                </c:pt>
                <c:pt idx="239">
                  <c:v>55.6</c:v>
                </c:pt>
                <c:pt idx="240">
                  <c:v>51.5</c:v>
                </c:pt>
                <c:pt idx="241">
                  <c:v>50.2</c:v>
                </c:pt>
                <c:pt idx="242">
                  <c:v>48.6</c:v>
                </c:pt>
                <c:pt idx="243">
                  <c:v>51.4</c:v>
                </c:pt>
                <c:pt idx="244">
                  <c:v>44.3</c:v>
                </c:pt>
                <c:pt idx="245">
                  <c:v>40.4</c:v>
                </c:pt>
                <c:pt idx="246">
                  <c:v>45.3</c:v>
                </c:pt>
                <c:pt idx="247">
                  <c:v>45.4</c:v>
                </c:pt>
                <c:pt idx="248">
                  <c:v>43.8</c:v>
                </c:pt>
                <c:pt idx="249">
                  <c:v>47.2</c:v>
                </c:pt>
                <c:pt idx="250">
                  <c:v>45.7</c:v>
                </c:pt>
                <c:pt idx="251">
                  <c:v>46.3</c:v>
                </c:pt>
                <c:pt idx="252">
                  <c:v>44.4</c:v>
                </c:pt>
                <c:pt idx="253">
                  <c:v>47.4</c:v>
                </c:pt>
                <c:pt idx="254">
                  <c:v>48</c:v>
                </c:pt>
                <c:pt idx="255">
                  <c:v>51.2</c:v>
                </c:pt>
                <c:pt idx="256">
                  <c:v>55.5</c:v>
                </c:pt>
                <c:pt idx="257">
                  <c:v>55.1</c:v>
                </c:pt>
                <c:pt idx="258">
                  <c:v>59</c:v>
                </c:pt>
                <c:pt idx="259">
                  <c:v>58.9</c:v>
                </c:pt>
                <c:pt idx="260">
                  <c:v>50.9</c:v>
                </c:pt>
                <c:pt idx="261">
                  <c:v>40.200000000000003</c:v>
                </c:pt>
                <c:pt idx="262">
                  <c:v>38.1</c:v>
                </c:pt>
                <c:pt idx="263">
                  <c:v>41.6</c:v>
                </c:pt>
                <c:pt idx="264">
                  <c:v>47.7</c:v>
                </c:pt>
                <c:pt idx="265">
                  <c:v>48.4</c:v>
                </c:pt>
                <c:pt idx="266">
                  <c:v>51.7</c:v>
                </c:pt>
                <c:pt idx="267">
                  <c:v>51.5</c:v>
                </c:pt>
                <c:pt idx="268">
                  <c:v>52.3</c:v>
                </c:pt>
                <c:pt idx="269">
                  <c:v>53.1</c:v>
                </c:pt>
                <c:pt idx="270">
                  <c:v>49.6</c:v>
                </c:pt>
                <c:pt idx="271">
                  <c:v>46.7</c:v>
                </c:pt>
                <c:pt idx="272">
                  <c:v>55.5</c:v>
                </c:pt>
                <c:pt idx="273">
                  <c:v>56.8</c:v>
                </c:pt>
                <c:pt idx="274">
                  <c:v>63</c:v>
                </c:pt>
                <c:pt idx="275">
                  <c:v>63.4</c:v>
                </c:pt>
                <c:pt idx="276">
                  <c:v>62.5</c:v>
                </c:pt>
                <c:pt idx="277">
                  <c:v>61</c:v>
                </c:pt>
                <c:pt idx="278">
                  <c:v>63.6</c:v>
                </c:pt>
                <c:pt idx="279">
                  <c:v>61.9</c:v>
                </c:pt>
                <c:pt idx="280">
                  <c:v>59.2</c:v>
                </c:pt>
                <c:pt idx="281">
                  <c:v>59.2</c:v>
                </c:pt>
                <c:pt idx="282">
                  <c:v>62.5</c:v>
                </c:pt>
                <c:pt idx="283">
                  <c:v>64</c:v>
                </c:pt>
                <c:pt idx="284">
                  <c:v>62.1</c:v>
                </c:pt>
                <c:pt idx="285">
                  <c:v>62.3</c:v>
                </c:pt>
                <c:pt idx="286">
                  <c:v>66.5</c:v>
                </c:pt>
                <c:pt idx="287">
                  <c:v>63.8</c:v>
                </c:pt>
                <c:pt idx="288">
                  <c:v>63.8</c:v>
                </c:pt>
                <c:pt idx="289">
                  <c:v>62</c:v>
                </c:pt>
                <c:pt idx="290">
                  <c:v>58.8</c:v>
                </c:pt>
                <c:pt idx="291">
                  <c:v>59.1</c:v>
                </c:pt>
                <c:pt idx="292">
                  <c:v>62.5</c:v>
                </c:pt>
                <c:pt idx="293">
                  <c:v>59.3</c:v>
                </c:pt>
                <c:pt idx="294">
                  <c:v>55.9</c:v>
                </c:pt>
                <c:pt idx="295">
                  <c:v>54.8</c:v>
                </c:pt>
                <c:pt idx="296">
                  <c:v>57</c:v>
                </c:pt>
                <c:pt idx="297">
                  <c:v>54.8</c:v>
                </c:pt>
                <c:pt idx="298">
                  <c:v>47.9</c:v>
                </c:pt>
                <c:pt idx="299">
                  <c:v>47.2</c:v>
                </c:pt>
                <c:pt idx="300">
                  <c:v>40.6</c:v>
                </c:pt>
                <c:pt idx="301">
                  <c:v>36.6</c:v>
                </c:pt>
                <c:pt idx="302">
                  <c:v>30.6</c:v>
                </c:pt>
                <c:pt idx="303">
                  <c:v>30.9</c:v>
                </c:pt>
                <c:pt idx="304">
                  <c:v>26.9</c:v>
                </c:pt>
                <c:pt idx="305">
                  <c:v>31</c:v>
                </c:pt>
                <c:pt idx="306">
                  <c:v>28.7</c:v>
                </c:pt>
                <c:pt idx="307">
                  <c:v>24.6</c:v>
                </c:pt>
                <c:pt idx="308">
                  <c:v>28.1</c:v>
                </c:pt>
                <c:pt idx="309">
                  <c:v>34.200000000000003</c:v>
                </c:pt>
                <c:pt idx="310">
                  <c:v>41.9</c:v>
                </c:pt>
                <c:pt idx="311">
                  <c:v>38.799999999999997</c:v>
                </c:pt>
                <c:pt idx="312">
                  <c:v>40.200000000000003</c:v>
                </c:pt>
                <c:pt idx="313">
                  <c:v>45.3</c:v>
                </c:pt>
                <c:pt idx="314">
                  <c:v>48.2</c:v>
                </c:pt>
                <c:pt idx="315">
                  <c:v>46.7</c:v>
                </c:pt>
                <c:pt idx="316">
                  <c:v>51.4</c:v>
                </c:pt>
                <c:pt idx="317">
                  <c:v>51.6</c:v>
                </c:pt>
                <c:pt idx="318">
                  <c:v>52.6</c:v>
                </c:pt>
                <c:pt idx="319">
                  <c:v>50.5</c:v>
                </c:pt>
                <c:pt idx="320">
                  <c:v>52.4</c:v>
                </c:pt>
                <c:pt idx="321">
                  <c:v>49.5</c:v>
                </c:pt>
                <c:pt idx="322">
                  <c:v>50</c:v>
                </c:pt>
                <c:pt idx="323">
                  <c:v>42.4</c:v>
                </c:pt>
                <c:pt idx="324">
                  <c:v>52.8</c:v>
                </c:pt>
                <c:pt idx="325">
                  <c:v>51.4</c:v>
                </c:pt>
                <c:pt idx="326">
                  <c:v>51.9</c:v>
                </c:pt>
                <c:pt idx="327">
                  <c:v>54.7</c:v>
                </c:pt>
                <c:pt idx="328">
                  <c:v>54.4</c:v>
                </c:pt>
                <c:pt idx="329">
                  <c:v>53.2</c:v>
                </c:pt>
                <c:pt idx="330">
                  <c:v>52.6</c:v>
                </c:pt>
                <c:pt idx="331">
                  <c:v>52</c:v>
                </c:pt>
                <c:pt idx="332">
                  <c:v>50</c:v>
                </c:pt>
                <c:pt idx="333">
                  <c:v>44.8</c:v>
                </c:pt>
                <c:pt idx="334">
                  <c:v>47.9</c:v>
                </c:pt>
                <c:pt idx="335">
                  <c:v>48</c:v>
                </c:pt>
                <c:pt idx="336">
                  <c:v>48.9</c:v>
                </c:pt>
                <c:pt idx="337">
                  <c:v>54</c:v>
                </c:pt>
                <c:pt idx="338">
                  <c:v>54</c:v>
                </c:pt>
                <c:pt idx="339">
                  <c:v>44</c:v>
                </c:pt>
                <c:pt idx="340">
                  <c:v>52.4</c:v>
                </c:pt>
                <c:pt idx="341">
                  <c:v>54.5</c:v>
                </c:pt>
                <c:pt idx="342">
                  <c:v>54.2</c:v>
                </c:pt>
                <c:pt idx="343">
                  <c:v>57.7</c:v>
                </c:pt>
                <c:pt idx="344">
                  <c:v>55.4</c:v>
                </c:pt>
                <c:pt idx="345">
                  <c:v>54.5</c:v>
                </c:pt>
                <c:pt idx="346">
                  <c:v>56.1</c:v>
                </c:pt>
                <c:pt idx="347">
                  <c:v>56.7</c:v>
                </c:pt>
                <c:pt idx="348">
                  <c:v>53.9</c:v>
                </c:pt>
                <c:pt idx="349">
                  <c:v>52.3</c:v>
                </c:pt>
                <c:pt idx="350">
                  <c:v>51.4</c:v>
                </c:pt>
                <c:pt idx="351">
                  <c:v>54.1</c:v>
                </c:pt>
                <c:pt idx="352">
                  <c:v>50.9</c:v>
                </c:pt>
                <c:pt idx="353">
                  <c:v>53.3</c:v>
                </c:pt>
                <c:pt idx="354">
                  <c:v>53.8</c:v>
                </c:pt>
                <c:pt idx="355">
                  <c:v>53.6</c:v>
                </c:pt>
                <c:pt idx="356">
                  <c:v>51.6</c:v>
                </c:pt>
                <c:pt idx="357">
                  <c:v>52.3</c:v>
                </c:pt>
                <c:pt idx="358">
                  <c:v>46</c:v>
                </c:pt>
                <c:pt idx="359">
                  <c:v>44.3</c:v>
                </c:pt>
                <c:pt idx="360">
                  <c:v>43.5</c:v>
                </c:pt>
                <c:pt idx="361">
                  <c:v>44.5</c:v>
                </c:pt>
                <c:pt idx="362">
                  <c:v>46.5</c:v>
                </c:pt>
                <c:pt idx="363">
                  <c:v>43</c:v>
                </c:pt>
                <c:pt idx="364">
                  <c:v>45.3</c:v>
                </c:pt>
                <c:pt idx="365">
                  <c:v>33.299999999999997</c:v>
                </c:pt>
                <c:pt idx="366">
                  <c:v>37.299999999999997</c:v>
                </c:pt>
                <c:pt idx="367">
                  <c:v>29.5</c:v>
                </c:pt>
                <c:pt idx="368">
                  <c:v>37.6</c:v>
                </c:pt>
                <c:pt idx="369">
                  <c:v>45.3</c:v>
                </c:pt>
                <c:pt idx="370">
                  <c:v>43.9</c:v>
                </c:pt>
                <c:pt idx="371">
                  <c:v>42.2</c:v>
                </c:pt>
                <c:pt idx="372">
                  <c:v>51.4</c:v>
                </c:pt>
                <c:pt idx="373">
                  <c:v>44.6</c:v>
                </c:pt>
                <c:pt idx="374">
                  <c:v>42.1</c:v>
                </c:pt>
                <c:pt idx="375">
                  <c:v>44.7</c:v>
                </c:pt>
                <c:pt idx="376">
                  <c:v>44.4</c:v>
                </c:pt>
                <c:pt idx="377">
                  <c:v>48.7</c:v>
                </c:pt>
                <c:pt idx="378">
                  <c:v>49.4</c:v>
                </c:pt>
                <c:pt idx="379">
                  <c:v>44.4</c:v>
                </c:pt>
                <c:pt idx="380">
                  <c:v>47.3</c:v>
                </c:pt>
                <c:pt idx="381">
                  <c:v>41.9</c:v>
                </c:pt>
                <c:pt idx="382">
                  <c:v>48.9</c:v>
                </c:pt>
                <c:pt idx="383">
                  <c:v>42.3</c:v>
                </c:pt>
                <c:pt idx="384">
                  <c:v>37.200000000000003</c:v>
                </c:pt>
                <c:pt idx="385">
                  <c:v>35.799999999999997</c:v>
                </c:pt>
                <c:pt idx="386">
                  <c:v>34.700000000000003</c:v>
                </c:pt>
                <c:pt idx="387">
                  <c:v>31.2</c:v>
                </c:pt>
                <c:pt idx="388">
                  <c:v>31.5</c:v>
                </c:pt>
                <c:pt idx="389">
                  <c:v>28.8</c:v>
                </c:pt>
                <c:pt idx="390">
                  <c:v>29.4</c:v>
                </c:pt>
                <c:pt idx="391">
                  <c:v>29.5</c:v>
                </c:pt>
                <c:pt idx="392">
                  <c:v>31.6</c:v>
                </c:pt>
                <c:pt idx="393">
                  <c:v>33.6</c:v>
                </c:pt>
                <c:pt idx="394">
                  <c:v>32.5</c:v>
                </c:pt>
                <c:pt idx="395">
                  <c:v>33.6</c:v>
                </c:pt>
                <c:pt idx="396">
                  <c:v>34.700000000000003</c:v>
                </c:pt>
                <c:pt idx="397">
                  <c:v>36.299999999999997</c:v>
                </c:pt>
                <c:pt idx="398">
                  <c:v>40.1</c:v>
                </c:pt>
                <c:pt idx="399">
                  <c:v>44.2</c:v>
                </c:pt>
                <c:pt idx="400">
                  <c:v>46</c:v>
                </c:pt>
                <c:pt idx="401">
                  <c:v>45.7</c:v>
                </c:pt>
                <c:pt idx="402">
                  <c:v>45.7</c:v>
                </c:pt>
                <c:pt idx="403">
                  <c:v>50.8</c:v>
                </c:pt>
                <c:pt idx="404">
                  <c:v>49.3</c:v>
                </c:pt>
                <c:pt idx="405">
                  <c:v>48.6</c:v>
                </c:pt>
                <c:pt idx="406">
                  <c:v>52.1</c:v>
                </c:pt>
                <c:pt idx="407">
                  <c:v>55</c:v>
                </c:pt>
                <c:pt idx="408">
                  <c:v>59.6</c:v>
                </c:pt>
                <c:pt idx="409">
                  <c:v>52.7</c:v>
                </c:pt>
                <c:pt idx="410">
                  <c:v>52.7</c:v>
                </c:pt>
                <c:pt idx="411">
                  <c:v>52.7</c:v>
                </c:pt>
                <c:pt idx="412">
                  <c:v>54</c:v>
                </c:pt>
                <c:pt idx="413">
                  <c:v>54.1</c:v>
                </c:pt>
                <c:pt idx="414">
                  <c:v>56.3</c:v>
                </c:pt>
                <c:pt idx="415">
                  <c:v>57.8</c:v>
                </c:pt>
                <c:pt idx="416">
                  <c:v>49.1</c:v>
                </c:pt>
                <c:pt idx="417">
                  <c:v>46.8</c:v>
                </c:pt>
                <c:pt idx="418">
                  <c:v>45.6</c:v>
                </c:pt>
                <c:pt idx="419">
                  <c:v>45.7</c:v>
                </c:pt>
                <c:pt idx="420">
                  <c:v>47.3</c:v>
                </c:pt>
                <c:pt idx="421">
                  <c:v>45.9</c:v>
                </c:pt>
                <c:pt idx="422">
                  <c:v>44.8</c:v>
                </c:pt>
                <c:pt idx="423">
                  <c:v>44</c:v>
                </c:pt>
                <c:pt idx="424">
                  <c:v>43.8</c:v>
                </c:pt>
                <c:pt idx="425">
                  <c:v>40.4</c:v>
                </c:pt>
                <c:pt idx="426">
                  <c:v>40.200000000000003</c:v>
                </c:pt>
                <c:pt idx="427">
                  <c:v>41.8</c:v>
                </c:pt>
                <c:pt idx="428">
                  <c:v>43</c:v>
                </c:pt>
                <c:pt idx="429">
                  <c:v>45.5</c:v>
                </c:pt>
                <c:pt idx="430">
                  <c:v>45.9</c:v>
                </c:pt>
                <c:pt idx="431">
                  <c:v>45.2</c:v>
                </c:pt>
                <c:pt idx="432">
                  <c:v>45.2</c:v>
                </c:pt>
                <c:pt idx="433">
                  <c:v>44.9</c:v>
                </c:pt>
                <c:pt idx="434">
                  <c:v>44.7</c:v>
                </c:pt>
                <c:pt idx="435">
                  <c:v>43.7</c:v>
                </c:pt>
                <c:pt idx="436">
                  <c:v>42.5</c:v>
                </c:pt>
                <c:pt idx="437">
                  <c:v>46.9</c:v>
                </c:pt>
                <c:pt idx="438">
                  <c:v>44.4</c:v>
                </c:pt>
                <c:pt idx="439">
                  <c:v>43.9</c:v>
                </c:pt>
                <c:pt idx="440">
                  <c:v>45.9</c:v>
                </c:pt>
                <c:pt idx="441">
                  <c:v>48.2</c:v>
                </c:pt>
                <c:pt idx="442">
                  <c:v>48.2</c:v>
                </c:pt>
                <c:pt idx="443">
                  <c:v>42.2</c:v>
                </c:pt>
                <c:pt idx="444">
                  <c:v>38.4</c:v>
                </c:pt>
                <c:pt idx="445">
                  <c:v>46.3</c:v>
                </c:pt>
                <c:pt idx="446">
                  <c:v>46.7</c:v>
                </c:pt>
                <c:pt idx="447">
                  <c:v>46.5</c:v>
                </c:pt>
                <c:pt idx="448">
                  <c:v>45.9</c:v>
                </c:pt>
                <c:pt idx="449">
                  <c:v>47.5</c:v>
                </c:pt>
                <c:pt idx="450">
                  <c:v>52.4</c:v>
                </c:pt>
                <c:pt idx="451">
                  <c:v>44.7</c:v>
                </c:pt>
                <c:pt idx="452">
                  <c:v>49.3</c:v>
                </c:pt>
                <c:pt idx="453">
                  <c:v>49.2</c:v>
                </c:pt>
                <c:pt idx="454">
                  <c:v>50.7</c:v>
                </c:pt>
                <c:pt idx="455">
                  <c:v>51.2</c:v>
                </c:pt>
                <c:pt idx="456">
                  <c:v>50.8</c:v>
                </c:pt>
                <c:pt idx="457">
                  <c:v>50.7</c:v>
                </c:pt>
                <c:pt idx="458">
                  <c:v>48.1</c:v>
                </c:pt>
                <c:pt idx="459">
                  <c:v>41.9</c:v>
                </c:pt>
                <c:pt idx="460">
                  <c:v>51</c:v>
                </c:pt>
                <c:pt idx="461">
                  <c:v>51.2</c:v>
                </c:pt>
                <c:pt idx="462">
                  <c:v>48.2</c:v>
                </c:pt>
                <c:pt idx="463">
                  <c:v>54.5</c:v>
                </c:pt>
                <c:pt idx="464">
                  <c:v>49.4</c:v>
                </c:pt>
                <c:pt idx="465">
                  <c:v>49.5</c:v>
                </c:pt>
                <c:pt idx="466">
                  <c:v>49.2</c:v>
                </c:pt>
                <c:pt idx="467">
                  <c:v>51.6</c:v>
                </c:pt>
                <c:pt idx="468">
                  <c:v>49.9</c:v>
                </c:pt>
                <c:pt idx="469">
                  <c:v>46.7</c:v>
                </c:pt>
                <c:pt idx="470">
                  <c:v>49</c:v>
                </c:pt>
                <c:pt idx="471">
                  <c:v>48.3</c:v>
                </c:pt>
                <c:pt idx="472">
                  <c:v>47.4</c:v>
                </c:pt>
                <c:pt idx="473">
                  <c:v>44.9</c:v>
                </c:pt>
                <c:pt idx="474">
                  <c:v>47.5</c:v>
                </c:pt>
                <c:pt idx="475">
                  <c:v>46.2</c:v>
                </c:pt>
                <c:pt idx="476">
                  <c:v>43.5</c:v>
                </c:pt>
                <c:pt idx="477">
                  <c:v>44.8</c:v>
                </c:pt>
                <c:pt idx="478">
                  <c:v>43.8</c:v>
                </c:pt>
                <c:pt idx="479">
                  <c:v>41.4</c:v>
                </c:pt>
                <c:pt idx="480">
                  <c:v>43.9</c:v>
                </c:pt>
                <c:pt idx="481">
                  <c:v>42.7</c:v>
                </c:pt>
                <c:pt idx="482">
                  <c:v>41.4</c:v>
                </c:pt>
                <c:pt idx="483">
                  <c:v>41.2</c:v>
                </c:pt>
                <c:pt idx="484">
                  <c:v>41.3</c:v>
                </c:pt>
                <c:pt idx="485">
                  <c:v>40</c:v>
                </c:pt>
                <c:pt idx="486">
                  <c:v>42.6</c:v>
                </c:pt>
                <c:pt idx="487">
                  <c:v>39.6</c:v>
                </c:pt>
                <c:pt idx="488">
                  <c:v>43</c:v>
                </c:pt>
                <c:pt idx="489">
                  <c:v>40.799999999999997</c:v>
                </c:pt>
                <c:pt idx="490">
                  <c:v>41.2</c:v>
                </c:pt>
                <c:pt idx="491">
                  <c:v>40.9</c:v>
                </c:pt>
                <c:pt idx="492">
                  <c:v>39.6</c:v>
                </c:pt>
                <c:pt idx="493">
                  <c:v>39.6</c:v>
                </c:pt>
                <c:pt idx="494">
                  <c:v>39.9</c:v>
                </c:pt>
                <c:pt idx="495">
                  <c:v>43.6</c:v>
                </c:pt>
                <c:pt idx="496">
                  <c:v>39.6</c:v>
                </c:pt>
                <c:pt idx="497">
                  <c:v>37.299999999999997</c:v>
                </c:pt>
                <c:pt idx="498">
                  <c:v>37.1</c:v>
                </c:pt>
                <c:pt idx="499">
                  <c:v>39.1</c:v>
                </c:pt>
                <c:pt idx="500">
                  <c:v>39</c:v>
                </c:pt>
                <c:pt idx="501">
                  <c:v>45.9</c:v>
                </c:pt>
                <c:pt idx="502">
                  <c:v>40.5</c:v>
                </c:pt>
                <c:pt idx="503">
                  <c:v>42.8</c:v>
                </c:pt>
                <c:pt idx="504">
                  <c:v>38.799999999999997</c:v>
                </c:pt>
                <c:pt idx="505">
                  <c:v>44.1</c:v>
                </c:pt>
                <c:pt idx="506">
                  <c:v>44</c:v>
                </c:pt>
                <c:pt idx="507">
                  <c:v>44.3</c:v>
                </c:pt>
                <c:pt idx="508">
                  <c:v>43.2</c:v>
                </c:pt>
                <c:pt idx="509">
                  <c:v>47</c:v>
                </c:pt>
                <c:pt idx="510">
                  <c:v>43.1</c:v>
                </c:pt>
                <c:pt idx="511">
                  <c:v>46.9</c:v>
                </c:pt>
                <c:pt idx="512">
                  <c:v>45.8</c:v>
                </c:pt>
                <c:pt idx="513">
                  <c:v>42.3</c:v>
                </c:pt>
                <c:pt idx="514">
                  <c:v>42.4</c:v>
                </c:pt>
                <c:pt idx="515">
                  <c:v>42.1</c:v>
                </c:pt>
                <c:pt idx="516">
                  <c:v>45</c:v>
                </c:pt>
                <c:pt idx="517">
                  <c:v>43.3</c:v>
                </c:pt>
                <c:pt idx="518">
                  <c:v>42.6</c:v>
                </c:pt>
                <c:pt idx="519">
                  <c:v>45.6</c:v>
                </c:pt>
                <c:pt idx="520">
                  <c:v>44.7</c:v>
                </c:pt>
                <c:pt idx="521">
                  <c:v>44.8</c:v>
                </c:pt>
                <c:pt idx="522">
                  <c:v>46.5</c:v>
                </c:pt>
                <c:pt idx="523">
                  <c:v>45.5</c:v>
                </c:pt>
                <c:pt idx="524">
                  <c:v>44.4</c:v>
                </c:pt>
                <c:pt idx="525">
                  <c:v>46.2</c:v>
                </c:pt>
                <c:pt idx="526">
                  <c:v>48.6</c:v>
                </c:pt>
                <c:pt idx="527">
                  <c:v>45.5</c:v>
                </c:pt>
                <c:pt idx="528">
                  <c:v>43.2</c:v>
                </c:pt>
                <c:pt idx="529">
                  <c:v>43.9</c:v>
                </c:pt>
                <c:pt idx="530">
                  <c:v>44.6</c:v>
                </c:pt>
                <c:pt idx="531">
                  <c:v>43</c:v>
                </c:pt>
                <c:pt idx="532">
                  <c:v>45.9</c:v>
                </c:pt>
                <c:pt idx="533">
                  <c:v>47.6</c:v>
                </c:pt>
                <c:pt idx="534">
                  <c:v>48.3</c:v>
                </c:pt>
                <c:pt idx="535">
                  <c:v>45.1</c:v>
                </c:pt>
                <c:pt idx="536">
                  <c:v>44.9</c:v>
                </c:pt>
                <c:pt idx="537">
                  <c:v>46.1</c:v>
                </c:pt>
                <c:pt idx="538">
                  <c:v>47.6</c:v>
                </c:pt>
                <c:pt idx="539">
                  <c:v>47.3</c:v>
                </c:pt>
                <c:pt idx="540">
                  <c:v>45</c:v>
                </c:pt>
                <c:pt idx="541">
                  <c:v>45.2</c:v>
                </c:pt>
                <c:pt idx="542">
                  <c:v>47</c:v>
                </c:pt>
                <c:pt idx="543">
                  <c:v>47</c:v>
                </c:pt>
                <c:pt idx="544">
                  <c:v>44.2</c:v>
                </c:pt>
                <c:pt idx="545">
                  <c:v>43.3</c:v>
                </c:pt>
                <c:pt idx="546">
                  <c:v>43</c:v>
                </c:pt>
                <c:pt idx="547">
                  <c:v>46.5</c:v>
                </c:pt>
                <c:pt idx="548">
                  <c:v>45.5</c:v>
                </c:pt>
                <c:pt idx="549">
                  <c:v>40.299999999999997</c:v>
                </c:pt>
                <c:pt idx="550">
                  <c:v>42.2</c:v>
                </c:pt>
                <c:pt idx="551">
                  <c:v>43.3</c:v>
                </c:pt>
                <c:pt idx="552">
                  <c:v>43.1</c:v>
                </c:pt>
                <c:pt idx="553">
                  <c:v>46.6</c:v>
                </c:pt>
                <c:pt idx="554">
                  <c:v>43.3</c:v>
                </c:pt>
                <c:pt idx="555">
                  <c:v>40</c:v>
                </c:pt>
                <c:pt idx="556">
                  <c:v>43.9</c:v>
                </c:pt>
                <c:pt idx="557">
                  <c:v>39.200000000000003</c:v>
                </c:pt>
                <c:pt idx="558">
                  <c:v>43.1</c:v>
                </c:pt>
                <c:pt idx="559">
                  <c:v>40.799999999999997</c:v>
                </c:pt>
                <c:pt idx="560">
                  <c:v>42.2</c:v>
                </c:pt>
                <c:pt idx="561">
                  <c:v>43.7</c:v>
                </c:pt>
                <c:pt idx="562">
                  <c:v>39.6</c:v>
                </c:pt>
                <c:pt idx="563">
                  <c:v>42.3</c:v>
                </c:pt>
                <c:pt idx="564">
                  <c:v>44.4</c:v>
                </c:pt>
                <c:pt idx="565">
                  <c:v>43.2</c:v>
                </c:pt>
                <c:pt idx="566">
                  <c:v>41.3</c:v>
                </c:pt>
                <c:pt idx="567">
                  <c:v>43.5</c:v>
                </c:pt>
                <c:pt idx="568">
                  <c:v>41.4</c:v>
                </c:pt>
                <c:pt idx="569">
                  <c:v>48.1</c:v>
                </c:pt>
                <c:pt idx="570">
                  <c:v>45.2</c:v>
                </c:pt>
                <c:pt idx="571">
                  <c:v>45.9</c:v>
                </c:pt>
                <c:pt idx="572">
                  <c:v>43</c:v>
                </c:pt>
                <c:pt idx="573">
                  <c:v>47.2</c:v>
                </c:pt>
                <c:pt idx="574">
                  <c:v>45</c:v>
                </c:pt>
                <c:pt idx="575">
                  <c:v>43.8</c:v>
                </c:pt>
                <c:pt idx="576">
                  <c:v>46.2</c:v>
                </c:pt>
                <c:pt idx="577">
                  <c:v>46.2</c:v>
                </c:pt>
                <c:pt idx="578">
                  <c:v>46.2</c:v>
                </c:pt>
                <c:pt idx="579">
                  <c:v>46</c:v>
                </c:pt>
                <c:pt idx="580">
                  <c:v>46.1</c:v>
                </c:pt>
                <c:pt idx="581">
                  <c:v>46</c:v>
                </c:pt>
                <c:pt idx="582">
                  <c:v>42</c:v>
                </c:pt>
                <c:pt idx="583">
                  <c:v>44.1</c:v>
                </c:pt>
                <c:pt idx="584">
                  <c:v>44.8</c:v>
                </c:pt>
                <c:pt idx="585">
                  <c:v>43.2</c:v>
                </c:pt>
                <c:pt idx="586">
                  <c:v>47.1</c:v>
                </c:pt>
                <c:pt idx="587">
                  <c:v>44.5</c:v>
                </c:pt>
                <c:pt idx="588">
                  <c:v>42.7</c:v>
                </c:pt>
                <c:pt idx="589">
                  <c:v>42.7</c:v>
                </c:pt>
                <c:pt idx="590">
                  <c:v>43.5</c:v>
                </c:pt>
                <c:pt idx="591">
                  <c:v>43.7</c:v>
                </c:pt>
                <c:pt idx="592">
                  <c:v>46.8</c:v>
                </c:pt>
                <c:pt idx="593">
                  <c:v>43.6</c:v>
                </c:pt>
                <c:pt idx="594">
                  <c:v>44.7</c:v>
                </c:pt>
                <c:pt idx="595">
                  <c:v>44.9</c:v>
                </c:pt>
                <c:pt idx="596">
                  <c:v>46.2</c:v>
                </c:pt>
                <c:pt idx="597">
                  <c:v>43.8</c:v>
                </c:pt>
                <c:pt idx="598">
                  <c:v>48</c:v>
                </c:pt>
                <c:pt idx="599">
                  <c:v>49.7</c:v>
                </c:pt>
                <c:pt idx="600">
                  <c:v>49</c:v>
                </c:pt>
                <c:pt idx="601">
                  <c:v>52.8</c:v>
                </c:pt>
                <c:pt idx="602">
                  <c:v>44.9</c:v>
                </c:pt>
                <c:pt idx="603">
                  <c:v>47.5</c:v>
                </c:pt>
                <c:pt idx="604">
                  <c:v>46.1</c:v>
                </c:pt>
                <c:pt idx="605">
                  <c:v>46.9</c:v>
                </c:pt>
                <c:pt idx="606">
                  <c:v>47</c:v>
                </c:pt>
                <c:pt idx="607">
                  <c:v>48.5</c:v>
                </c:pt>
                <c:pt idx="608">
                  <c:v>47.1</c:v>
                </c:pt>
                <c:pt idx="609">
                  <c:v>45.9</c:v>
                </c:pt>
                <c:pt idx="610">
                  <c:v>45.9</c:v>
                </c:pt>
                <c:pt idx="611">
                  <c:v>42.8</c:v>
                </c:pt>
                <c:pt idx="612">
                  <c:v>40.4</c:v>
                </c:pt>
                <c:pt idx="613">
                  <c:v>41.8</c:v>
                </c:pt>
                <c:pt idx="614">
                  <c:v>44.2</c:v>
                </c:pt>
                <c:pt idx="615">
                  <c:v>43.7</c:v>
                </c:pt>
                <c:pt idx="616">
                  <c:v>39.700000000000003</c:v>
                </c:pt>
                <c:pt idx="617">
                  <c:v>38.200000000000003</c:v>
                </c:pt>
                <c:pt idx="618">
                  <c:v>39.9</c:v>
                </c:pt>
                <c:pt idx="619">
                  <c:v>37.1</c:v>
                </c:pt>
                <c:pt idx="620">
                  <c:v>37.6</c:v>
                </c:pt>
                <c:pt idx="621">
                  <c:v>38.9</c:v>
                </c:pt>
                <c:pt idx="622">
                  <c:v>38.299999999999997</c:v>
                </c:pt>
                <c:pt idx="623">
                  <c:v>38.9</c:v>
                </c:pt>
                <c:pt idx="624">
                  <c:v>37.6</c:v>
                </c:pt>
                <c:pt idx="625">
                  <c:v>39.200000000000003</c:v>
                </c:pt>
                <c:pt idx="626">
                  <c:v>39.700000000000003</c:v>
                </c:pt>
                <c:pt idx="627">
                  <c:v>41.4</c:v>
                </c:pt>
                <c:pt idx="628">
                  <c:v>43</c:v>
                </c:pt>
                <c:pt idx="629">
                  <c:v>43.8</c:v>
                </c:pt>
                <c:pt idx="630">
                  <c:v>43.2</c:v>
                </c:pt>
                <c:pt idx="631">
                  <c:v>42.7</c:v>
                </c:pt>
                <c:pt idx="632">
                  <c:v>45.4</c:v>
                </c:pt>
                <c:pt idx="633">
                  <c:v>43.8</c:v>
                </c:pt>
                <c:pt idx="634">
                  <c:v>42</c:v>
                </c:pt>
                <c:pt idx="635">
                  <c:v>43.1</c:v>
                </c:pt>
                <c:pt idx="636">
                  <c:v>45.2</c:v>
                </c:pt>
                <c:pt idx="637">
                  <c:v>44.2</c:v>
                </c:pt>
                <c:pt idx="638">
                  <c:v>43</c:v>
                </c:pt>
                <c:pt idx="639">
                  <c:v>42.3</c:v>
                </c:pt>
                <c:pt idx="640">
                  <c:v>43.1</c:v>
                </c:pt>
                <c:pt idx="641">
                  <c:v>45.7</c:v>
                </c:pt>
                <c:pt idx="642">
                  <c:v>42</c:v>
                </c:pt>
                <c:pt idx="643">
                  <c:v>46.3</c:v>
                </c:pt>
                <c:pt idx="644">
                  <c:v>43.1</c:v>
                </c:pt>
                <c:pt idx="645">
                  <c:v>43.4</c:v>
                </c:pt>
                <c:pt idx="646">
                  <c:v>45.6</c:v>
                </c:pt>
                <c:pt idx="647">
                  <c:v>49.7</c:v>
                </c:pt>
                <c:pt idx="648">
                  <c:v>45.9</c:v>
                </c:pt>
                <c:pt idx="649">
                  <c:v>47.9</c:v>
                </c:pt>
                <c:pt idx="650">
                  <c:v>49</c:v>
                </c:pt>
                <c:pt idx="651">
                  <c:v>48</c:v>
                </c:pt>
                <c:pt idx="652">
                  <c:v>45.2</c:v>
                </c:pt>
                <c:pt idx="653">
                  <c:v>48.8</c:v>
                </c:pt>
                <c:pt idx="654">
                  <c:v>51.3</c:v>
                </c:pt>
                <c:pt idx="655">
                  <c:v>50.8</c:v>
                </c:pt>
                <c:pt idx="656">
                  <c:v>52.1</c:v>
                </c:pt>
                <c:pt idx="657">
                  <c:v>51.6</c:v>
                </c:pt>
                <c:pt idx="658">
                  <c:v>49.3</c:v>
                </c:pt>
                <c:pt idx="659">
                  <c:v>49.7</c:v>
                </c:pt>
                <c:pt idx="660">
                  <c:v>52.8</c:v>
                </c:pt>
                <c:pt idx="661">
                  <c:v>53.5</c:v>
                </c:pt>
                <c:pt idx="662">
                  <c:v>51</c:v>
                </c:pt>
                <c:pt idx="663">
                  <c:v>55</c:v>
                </c:pt>
                <c:pt idx="664">
                  <c:v>48.5</c:v>
                </c:pt>
                <c:pt idx="665">
                  <c:v>48.5</c:v>
                </c:pt>
                <c:pt idx="666">
                  <c:v>48</c:v>
                </c:pt>
                <c:pt idx="667">
                  <c:v>45.5</c:v>
                </c:pt>
                <c:pt idx="668">
                  <c:v>47</c:v>
                </c:pt>
                <c:pt idx="669">
                  <c:v>49.5</c:v>
                </c:pt>
                <c:pt idx="670">
                  <c:v>46.5</c:v>
                </c:pt>
                <c:pt idx="671">
                  <c:v>47</c:v>
                </c:pt>
                <c:pt idx="672">
                  <c:v>46.5</c:v>
                </c:pt>
                <c:pt idx="673">
                  <c:v>47.5</c:v>
                </c:pt>
                <c:pt idx="674">
                  <c:v>52</c:v>
                </c:pt>
                <c:pt idx="675">
                  <c:v>50</c:v>
                </c:pt>
                <c:pt idx="676">
                  <c:v>51.5</c:v>
                </c:pt>
                <c:pt idx="677">
                  <c:v>48.5</c:v>
                </c:pt>
                <c:pt idx="678">
                  <c:v>47.5</c:v>
                </c:pt>
                <c:pt idx="679">
                  <c:v>48</c:v>
                </c:pt>
                <c:pt idx="680">
                  <c:v>51</c:v>
                </c:pt>
                <c:pt idx="681">
                  <c:v>47</c:v>
                </c:pt>
                <c:pt idx="682">
                  <c:v>47.5</c:v>
                </c:pt>
                <c:pt idx="683">
                  <c:v>47.5</c:v>
                </c:pt>
                <c:pt idx="684">
                  <c:v>47.5</c:v>
                </c:pt>
                <c:pt idx="685">
                  <c:v>40.5</c:v>
                </c:pt>
                <c:pt idx="686">
                  <c:v>47</c:v>
                </c:pt>
                <c:pt idx="687">
                  <c:v>49</c:v>
                </c:pt>
                <c:pt idx="688">
                  <c:v>47</c:v>
                </c:pt>
                <c:pt idx="689">
                  <c:v>46</c:v>
                </c:pt>
                <c:pt idx="690">
                  <c:v>45</c:v>
                </c:pt>
                <c:pt idx="691">
                  <c:v>46.5</c:v>
                </c:pt>
                <c:pt idx="692">
                  <c:v>46.5</c:v>
                </c:pt>
                <c:pt idx="693">
                  <c:v>41.5</c:v>
                </c:pt>
                <c:pt idx="694">
                  <c:v>45.5</c:v>
                </c:pt>
                <c:pt idx="695">
                  <c:v>45.5</c:v>
                </c:pt>
                <c:pt idx="696">
                  <c:v>44.5</c:v>
                </c:pt>
                <c:pt idx="697">
                  <c:v>49</c:v>
                </c:pt>
                <c:pt idx="698">
                  <c:v>47</c:v>
                </c:pt>
                <c:pt idx="699">
                  <c:v>46.5</c:v>
                </c:pt>
                <c:pt idx="700">
                  <c:v>49</c:v>
                </c:pt>
                <c:pt idx="701">
                  <c:v>48</c:v>
                </c:pt>
                <c:pt idx="702">
                  <c:v>50</c:v>
                </c:pt>
                <c:pt idx="703">
                  <c:v>44</c:v>
                </c:pt>
                <c:pt idx="704">
                  <c:v>50.5</c:v>
                </c:pt>
                <c:pt idx="705">
                  <c:v>43</c:v>
                </c:pt>
                <c:pt idx="706">
                  <c:v>43.5</c:v>
                </c:pt>
                <c:pt idx="707">
                  <c:v>38.5</c:v>
                </c:pt>
                <c:pt idx="708">
                  <c:v>38</c:v>
                </c:pt>
                <c:pt idx="709">
                  <c:v>38</c:v>
                </c:pt>
                <c:pt idx="710">
                  <c:v>38</c:v>
                </c:pt>
                <c:pt idx="711">
                  <c:v>33</c:v>
                </c:pt>
                <c:pt idx="712">
                  <c:v>34.5</c:v>
                </c:pt>
                <c:pt idx="713">
                  <c:v>33</c:v>
                </c:pt>
                <c:pt idx="714">
                  <c:v>31</c:v>
                </c:pt>
                <c:pt idx="715">
                  <c:v>32.5</c:v>
                </c:pt>
                <c:pt idx="716">
                  <c:v>36</c:v>
                </c:pt>
                <c:pt idx="717">
                  <c:v>41.5</c:v>
                </c:pt>
                <c:pt idx="718">
                  <c:v>46.5</c:v>
                </c:pt>
                <c:pt idx="719">
                  <c:v>39.5</c:v>
                </c:pt>
                <c:pt idx="720">
                  <c:v>41.5</c:v>
                </c:pt>
                <c:pt idx="721">
                  <c:v>46</c:v>
                </c:pt>
                <c:pt idx="722">
                  <c:v>49</c:v>
                </c:pt>
                <c:pt idx="723">
                  <c:v>56.5</c:v>
                </c:pt>
                <c:pt idx="724">
                  <c:v>50.5</c:v>
                </c:pt>
                <c:pt idx="725">
                  <c:v>46</c:v>
                </c:pt>
                <c:pt idx="726">
                  <c:v>46</c:v>
                </c:pt>
                <c:pt idx="727">
                  <c:v>49</c:v>
                </c:pt>
                <c:pt idx="728">
                  <c:v>53</c:v>
                </c:pt>
                <c:pt idx="729">
                  <c:v>56</c:v>
                </c:pt>
                <c:pt idx="730">
                  <c:v>53</c:v>
                </c:pt>
                <c:pt idx="731">
                  <c:v>54</c:v>
                </c:pt>
                <c:pt idx="732">
                  <c:v>50</c:v>
                </c:pt>
                <c:pt idx="733">
                  <c:v>52</c:v>
                </c:pt>
                <c:pt idx="734">
                  <c:v>50.5</c:v>
                </c:pt>
                <c:pt idx="735">
                  <c:v>49</c:v>
                </c:pt>
                <c:pt idx="736">
                  <c:v>54.5</c:v>
                </c:pt>
                <c:pt idx="737">
                  <c:v>48.5</c:v>
                </c:pt>
                <c:pt idx="738">
                  <c:v>53.5</c:v>
                </c:pt>
                <c:pt idx="739">
                  <c:v>48</c:v>
                </c:pt>
                <c:pt idx="740">
                  <c:v>54.5</c:v>
                </c:pt>
                <c:pt idx="741">
                  <c:v>52</c:v>
                </c:pt>
                <c:pt idx="742">
                  <c:v>46.5</c:v>
                </c:pt>
                <c:pt idx="743">
                  <c:v>46.5</c:v>
                </c:pt>
                <c:pt idx="744">
                  <c:v>45.5</c:v>
                </c:pt>
                <c:pt idx="745">
                  <c:v>49.5</c:v>
                </c:pt>
                <c:pt idx="746">
                  <c:v>49.5</c:v>
                </c:pt>
                <c:pt idx="747">
                  <c:v>50</c:v>
                </c:pt>
                <c:pt idx="748">
                  <c:v>48.5</c:v>
                </c:pt>
                <c:pt idx="749">
                  <c:v>46</c:v>
                </c:pt>
                <c:pt idx="750">
                  <c:v>44</c:v>
                </c:pt>
                <c:pt idx="751">
                  <c:v>49</c:v>
                </c:pt>
                <c:pt idx="752">
                  <c:v>53</c:v>
                </c:pt>
                <c:pt idx="753">
                  <c:v>50.5</c:v>
                </c:pt>
                <c:pt idx="754">
                  <c:v>50</c:v>
                </c:pt>
                <c:pt idx="755">
                  <c:v>45</c:v>
                </c:pt>
                <c:pt idx="756">
                  <c:v>43</c:v>
                </c:pt>
                <c:pt idx="757">
                  <c:v>51</c:v>
                </c:pt>
                <c:pt idx="758">
                  <c:v>51.5</c:v>
                </c:pt>
                <c:pt idx="759">
                  <c:v>49.5</c:v>
                </c:pt>
                <c:pt idx="760">
                  <c:v>46.5</c:v>
                </c:pt>
                <c:pt idx="761">
                  <c:v>49</c:v>
                </c:pt>
                <c:pt idx="762">
                  <c:v>50.5</c:v>
                </c:pt>
                <c:pt idx="763">
                  <c:v>47</c:v>
                </c:pt>
                <c:pt idx="764">
                  <c:v>47.5</c:v>
                </c:pt>
                <c:pt idx="765">
                  <c:v>50</c:v>
                </c:pt>
                <c:pt idx="766">
                  <c:v>52.5</c:v>
                </c:pt>
                <c:pt idx="767">
                  <c:v>50.5</c:v>
                </c:pt>
                <c:pt idx="768">
                  <c:v>47</c:v>
                </c:pt>
                <c:pt idx="769">
                  <c:v>44</c:v>
                </c:pt>
                <c:pt idx="770">
                  <c:v>52.5</c:v>
                </c:pt>
                <c:pt idx="771">
                  <c:v>52.5</c:v>
                </c:pt>
                <c:pt idx="772">
                  <c:v>53</c:v>
                </c:pt>
                <c:pt idx="773">
                  <c:v>53</c:v>
                </c:pt>
                <c:pt idx="774">
                  <c:v>53</c:v>
                </c:pt>
                <c:pt idx="775">
                  <c:v>48.5</c:v>
                </c:pt>
                <c:pt idx="776">
                  <c:v>52</c:v>
                </c:pt>
                <c:pt idx="777">
                  <c:v>51.5</c:v>
                </c:pt>
                <c:pt idx="778">
                  <c:v>52.5</c:v>
                </c:pt>
                <c:pt idx="779">
                  <c:v>51.5</c:v>
                </c:pt>
                <c:pt idx="780">
                  <c:v>45.5</c:v>
                </c:pt>
                <c:pt idx="781">
                  <c:v>51</c:v>
                </c:pt>
                <c:pt idx="782">
                  <c:v>52.5</c:v>
                </c:pt>
                <c:pt idx="783">
                  <c:v>51.5</c:v>
                </c:pt>
                <c:pt idx="784">
                  <c:v>49.5</c:v>
                </c:pt>
                <c:pt idx="785">
                  <c:v>51.5</c:v>
                </c:pt>
                <c:pt idx="786">
                  <c:v>53</c:v>
                </c:pt>
                <c:pt idx="787">
                  <c:v>49.5</c:v>
                </c:pt>
                <c:pt idx="788">
                  <c:v>48.5</c:v>
                </c:pt>
                <c:pt idx="789">
                  <c:v>48.5</c:v>
                </c:pt>
                <c:pt idx="790">
                  <c:v>46.5</c:v>
                </c:pt>
                <c:pt idx="791">
                  <c:v>43</c:v>
                </c:pt>
                <c:pt idx="792">
                  <c:v>43.5</c:v>
                </c:pt>
                <c:pt idx="793">
                  <c:v>43.5</c:v>
                </c:pt>
                <c:pt idx="794">
                  <c:v>45</c:v>
                </c:pt>
                <c:pt idx="795">
                  <c:v>47</c:v>
                </c:pt>
                <c:pt idx="796">
                  <c:v>45.5</c:v>
                </c:pt>
                <c:pt idx="797">
                  <c:v>45</c:v>
                </c:pt>
                <c:pt idx="798">
                  <c:v>48.5</c:v>
                </c:pt>
                <c:pt idx="799">
                  <c:v>49.5</c:v>
                </c:pt>
                <c:pt idx="800">
                  <c:v>49</c:v>
                </c:pt>
                <c:pt idx="801">
                  <c:v>49.5</c:v>
                </c:pt>
                <c:pt idx="802">
                  <c:v>47.5</c:v>
                </c:pt>
                <c:pt idx="803">
                  <c:v>49</c:v>
                </c:pt>
                <c:pt idx="804">
                  <c:v>47</c:v>
                </c:pt>
                <c:pt idx="805">
                  <c:v>48.5</c:v>
                </c:pt>
                <c:pt idx="806">
                  <c:v>51.5</c:v>
                </c:pt>
                <c:pt idx="807">
                  <c:v>49</c:v>
                </c:pt>
                <c:pt idx="808">
                  <c:v>51</c:v>
                </c:pt>
                <c:pt idx="809">
                  <c:v>51.5</c:v>
                </c:pt>
                <c:pt idx="810">
                  <c:v>49</c:v>
                </c:pt>
                <c:pt idx="811">
                  <c:v>50</c:v>
                </c:pt>
                <c:pt idx="812">
                  <c:v>55.5</c:v>
                </c:pt>
                <c:pt idx="813">
                  <c:v>52.5</c:v>
                </c:pt>
                <c:pt idx="814">
                  <c:v>48.1</c:v>
                </c:pt>
                <c:pt idx="815">
                  <c:v>47.1</c:v>
                </c:pt>
                <c:pt idx="816">
                  <c:v>48.5</c:v>
                </c:pt>
                <c:pt idx="817">
                  <c:v>52.3</c:v>
                </c:pt>
                <c:pt idx="818">
                  <c:v>56.7</c:v>
                </c:pt>
                <c:pt idx="819">
                  <c:v>55.5</c:v>
                </c:pt>
                <c:pt idx="820">
                  <c:v>52.9</c:v>
                </c:pt>
                <c:pt idx="821">
                  <c:v>50.2</c:v>
                </c:pt>
                <c:pt idx="822">
                  <c:v>50.8</c:v>
                </c:pt>
                <c:pt idx="823">
                  <c:v>53.3</c:v>
                </c:pt>
                <c:pt idx="824">
                  <c:v>55.4</c:v>
                </c:pt>
                <c:pt idx="825">
                  <c:v>53.3</c:v>
                </c:pt>
                <c:pt idx="826">
                  <c:v>50.7</c:v>
                </c:pt>
                <c:pt idx="827">
                  <c:v>52.9</c:v>
                </c:pt>
                <c:pt idx="828">
                  <c:v>51.2</c:v>
                </c:pt>
                <c:pt idx="829">
                  <c:v>52.8</c:v>
                </c:pt>
                <c:pt idx="830">
                  <c:v>53.4</c:v>
                </c:pt>
                <c:pt idx="831">
                  <c:v>51.8</c:v>
                </c:pt>
              </c:numCache>
            </c:numRef>
          </c:val>
          <c:smooth val="0"/>
          <c:extLst>
            <c:ext xmlns:c16="http://schemas.microsoft.com/office/drawing/2014/chart" uri="{C3380CC4-5D6E-409C-BE32-E72D297353CC}">
              <c16:uniqueId val="{00000005-904C-AC4C-8102-529833850235}"/>
            </c:ext>
          </c:extLst>
        </c:ser>
        <c:dLbls>
          <c:showLegendKey val="0"/>
          <c:showVal val="0"/>
          <c:showCatName val="0"/>
          <c:showSerName val="0"/>
          <c:showPercent val="0"/>
          <c:showBubbleSize val="0"/>
        </c:dLbls>
        <c:smooth val="0"/>
        <c:axId val="390939343"/>
        <c:axId val="343473727"/>
      </c:lineChart>
      <c:dateAx>
        <c:axId val="390939343"/>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473727"/>
        <c:crossesAt val="0"/>
        <c:auto val="1"/>
        <c:lblOffset val="100"/>
        <c:baseTimeUnit val="months"/>
      </c:dateAx>
      <c:valAx>
        <c:axId val="343473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939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'PMI Analysis'!$Y$1</c:f>
              <c:strCache>
                <c:ptCount val="1"/>
                <c:pt idx="0">
                  <c:v>SPX% m/m</c:v>
                </c:pt>
              </c:strCache>
            </c:strRef>
          </c:tx>
          <c:spPr>
            <a:ln w="12700" cap="rnd">
              <a:solidFill>
                <a:schemeClr val="accent1"/>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Analysis'!$Y$3:$Y$833</c:f>
              <c:numCache>
                <c:formatCode>0.00%</c:formatCode>
                <c:ptCount val="831"/>
                <c:pt idx="0">
                  <c:v>9.9706750715939461E-3</c:v>
                </c:pt>
                <c:pt idx="1">
                  <c:v>4.0651570304968531E-3</c:v>
                </c:pt>
                <c:pt idx="2">
                  <c:v>4.5112721508807324E-2</c:v>
                </c:pt>
                <c:pt idx="3">
                  <c:v>3.9291698948533391E-2</c:v>
                </c:pt>
                <c:pt idx="4">
                  <c:v>-5.8040465493052952E-2</c:v>
                </c:pt>
                <c:pt idx="5">
                  <c:v>8.4793098654997873E-3</c:v>
                </c:pt>
                <c:pt idx="6">
                  <c:v>3.2511210762331939E-2</c:v>
                </c:pt>
                <c:pt idx="7">
                  <c:v>5.5917535287730649E-2</c:v>
                </c:pt>
                <c:pt idx="8">
                  <c:v>4.113110328374703E-3</c:v>
                </c:pt>
                <c:pt idx="9">
                  <c:v>-1.0241166910333005E-3</c:v>
                </c:pt>
                <c:pt idx="10">
                  <c:v>4.6130189646335133E-2</c:v>
                </c:pt>
                <c:pt idx="11">
                  <c:v>6.124448799608035E-2</c:v>
                </c:pt>
                <c:pt idx="12">
                  <c:v>6.463481071098778E-3</c:v>
                </c:pt>
                <c:pt idx="13">
                  <c:v>-1.8348578823329353E-2</c:v>
                </c:pt>
                <c:pt idx="14">
                  <c:v>4.8130841121495384E-2</c:v>
                </c:pt>
                <c:pt idx="15">
                  <c:v>-4.05706642888988E-2</c:v>
                </c:pt>
                <c:pt idx="16">
                  <c:v>-2.6022351301115229E-2</c:v>
                </c:pt>
                <c:pt idx="17">
                  <c:v>6.8702341064042938E-2</c:v>
                </c:pt>
                <c:pt idx="18">
                  <c:v>3.9285758928571432E-2</c:v>
                </c:pt>
                <c:pt idx="19">
                  <c:v>-8.5914944763091077E-4</c:v>
                </c:pt>
                <c:pt idx="20">
                  <c:v>-1.3757480653482493E-2</c:v>
                </c:pt>
                <c:pt idx="21">
                  <c:v>-2.6156058144895995E-3</c:v>
                </c:pt>
                <c:pt idx="22">
                  <c:v>3.8898646805010699E-2</c:v>
                </c:pt>
                <c:pt idx="23">
                  <c:v>1.5565797223390828E-2</c:v>
                </c:pt>
                <c:pt idx="24">
                  <c:v>-3.6453978312095126E-2</c:v>
                </c:pt>
                <c:pt idx="25">
                  <c:v>4.7721453138434948E-2</c:v>
                </c:pt>
                <c:pt idx="26">
                  <c:v>-4.3085800447853831E-2</c:v>
                </c:pt>
                <c:pt idx="27">
                  <c:v>2.3156132075471705E-2</c:v>
                </c:pt>
                <c:pt idx="28">
                  <c:v>4.6102177447519779E-2</c:v>
                </c:pt>
                <c:pt idx="29">
                  <c:v>1.7628245898567495E-2</c:v>
                </c:pt>
                <c:pt idx="30">
                  <c:v>-1.4566889763779527E-2</c:v>
                </c:pt>
                <c:pt idx="31">
                  <c:v>-1.9576507408049983E-2</c:v>
                </c:pt>
                <c:pt idx="32">
                  <c:v>-8.1503664160407336E-4</c:v>
                </c:pt>
                <c:pt idx="33">
                  <c:v>4.6492659053833631E-2</c:v>
                </c:pt>
                <c:pt idx="34">
                  <c:v>3.5463756819953243E-2</c:v>
                </c:pt>
                <c:pt idx="35">
                  <c:v>-7.1509597290176424E-3</c:v>
                </c:pt>
                <c:pt idx="36">
                  <c:v>-1.8195565511583339E-2</c:v>
                </c:pt>
                <c:pt idx="37">
                  <c:v>-2.3552084942084883E-2</c:v>
                </c:pt>
                <c:pt idx="38">
                  <c:v>-2.649268380811854E-2</c:v>
                </c:pt>
                <c:pt idx="39">
                  <c:v>-3.2493906072545774E-3</c:v>
                </c:pt>
                <c:pt idx="40">
                  <c:v>-1.6299999335778373E-2</c:v>
                </c:pt>
                <c:pt idx="41">
                  <c:v>2.5269305106433538E-2</c:v>
                </c:pt>
                <c:pt idx="42">
                  <c:v>-5.7777777777777768E-2</c:v>
                </c:pt>
                <c:pt idx="43">
                  <c:v>1.2864493996569955E-3</c:v>
                </c:pt>
                <c:pt idx="44">
                  <c:v>5.0963640256959257E-2</c:v>
                </c:pt>
                <c:pt idx="45">
                  <c:v>8.9649140601095086E-3</c:v>
                </c:pt>
                <c:pt idx="46">
                  <c:v>2.0193457189014411E-3</c:v>
                </c:pt>
                <c:pt idx="47">
                  <c:v>5.1189079048330352E-2</c:v>
                </c:pt>
                <c:pt idx="48">
                  <c:v>2.6840490797546122E-3</c:v>
                </c:pt>
                <c:pt idx="49">
                  <c:v>3.0210363288718938E-2</c:v>
                </c:pt>
                <c:pt idx="50">
                  <c:v>4.8997733890210428E-2</c:v>
                </c:pt>
                <c:pt idx="51">
                  <c:v>3.2908740268931251E-2</c:v>
                </c:pt>
                <c:pt idx="52">
                  <c:v>6.850976127065248E-4</c:v>
                </c:pt>
                <c:pt idx="53">
                  <c:v>5.7172203258206267E-2</c:v>
                </c:pt>
                <c:pt idx="54">
                  <c:v>-3.4002559391274695E-2</c:v>
                </c:pt>
                <c:pt idx="55">
                  <c:v>8.3137814280925301E-2</c:v>
                </c:pt>
                <c:pt idx="56">
                  <c:v>-1.9498637589023909E-2</c:v>
                </c:pt>
                <c:pt idx="57">
                  <c:v>8.0808143939393853E-2</c:v>
                </c:pt>
                <c:pt idx="58">
                  <c:v>5.0817695629807501E-2</c:v>
                </c:pt>
                <c:pt idx="59">
                  <c:v>1.8065619788771629E-2</c:v>
                </c:pt>
                <c:pt idx="60">
                  <c:v>3.5489215520360762E-3</c:v>
                </c:pt>
                <c:pt idx="61">
                  <c:v>-4.8965182207029142E-3</c:v>
                </c:pt>
                <c:pt idx="62">
                  <c:v>3.7725449003529386E-2</c:v>
                </c:pt>
                <c:pt idx="63">
                  <c:v>-1.3171496658892637E-3</c:v>
                </c:pt>
                <c:pt idx="64">
                  <c:v>8.2300158269585866E-2</c:v>
                </c:pt>
                <c:pt idx="65">
                  <c:v>6.0687327825672301E-2</c:v>
                </c:pt>
                <c:pt idx="66">
                  <c:v>-7.8125000000000781E-3</c:v>
                </c:pt>
                <c:pt idx="67">
                  <c:v>1.1347799907364519E-2</c:v>
                </c:pt>
                <c:pt idx="68">
                  <c:v>-3.0455646002090411E-2</c:v>
                </c:pt>
                <c:pt idx="69">
                  <c:v>7.4870051960321191E-2</c:v>
                </c:pt>
                <c:pt idx="70">
                  <c:v>-6.5915186372906859E-4</c:v>
                </c:pt>
                <c:pt idx="71">
                  <c:v>-3.6499560246262018E-2</c:v>
                </c:pt>
                <c:pt idx="72">
                  <c:v>3.4687357371063515E-2</c:v>
                </c:pt>
                <c:pt idx="73">
                  <c:v>6.9254521393912513E-2</c:v>
                </c:pt>
                <c:pt idx="74">
                  <c:v>-2.0626856435642916E-3</c:v>
                </c:pt>
                <c:pt idx="75">
                  <c:v>-6.5729638988639122E-2</c:v>
                </c:pt>
                <c:pt idx="76">
                  <c:v>3.91592911690423E-2</c:v>
                </c:pt>
                <c:pt idx="77">
                  <c:v>5.1522204566271983E-2</c:v>
                </c:pt>
                <c:pt idx="78">
                  <c:v>-3.8064406520842406E-2</c:v>
                </c:pt>
                <c:pt idx="79">
                  <c:v>-4.54641147322297E-2</c:v>
                </c:pt>
                <c:pt idx="80">
                  <c:v>5.0717532556451492E-3</c:v>
                </c:pt>
                <c:pt idx="81">
                  <c:v>-1.0969723081626893E-2</c:v>
                </c:pt>
                <c:pt idx="82">
                  <c:v>3.5270539695184559E-2</c:v>
                </c:pt>
                <c:pt idx="83">
                  <c:v>-4.1782667314448914E-2</c:v>
                </c:pt>
                <c:pt idx="84">
                  <c:v>-3.2647651327199219E-2</c:v>
                </c:pt>
                <c:pt idx="85">
                  <c:v>1.9648706410018646E-2</c:v>
                </c:pt>
                <c:pt idx="86">
                  <c:v>3.695309369863764E-2</c:v>
                </c:pt>
                <c:pt idx="87">
                  <c:v>3.6947921427725405E-2</c:v>
                </c:pt>
                <c:pt idx="88">
                  <c:v>-1.2650432215897058E-3</c:v>
                </c:pt>
                <c:pt idx="89">
                  <c:v>1.1399641363724677E-2</c:v>
                </c:pt>
                <c:pt idx="90">
                  <c:v>-5.614692131079093E-2</c:v>
                </c:pt>
                <c:pt idx="91">
                  <c:v>-6.1919569616993235E-2</c:v>
                </c:pt>
                <c:pt idx="92">
                  <c:v>-3.2060279682238547E-2</c:v>
                </c:pt>
                <c:pt idx="93">
                  <c:v>1.6074037601703995E-2</c:v>
                </c:pt>
                <c:pt idx="94">
                  <c:v>-4.1466897376153139E-2</c:v>
                </c:pt>
                <c:pt idx="95">
                  <c:v>4.2760663027723869E-2</c:v>
                </c:pt>
                <c:pt idx="96">
                  <c:v>-2.0623524685287102E-2</c:v>
                </c:pt>
                <c:pt idx="97">
                  <c:v>3.0852056807051807E-2</c:v>
                </c:pt>
                <c:pt idx="98">
                  <c:v>3.1829003887363629E-2</c:v>
                </c:pt>
                <c:pt idx="99">
                  <c:v>1.4963190952191393E-2</c:v>
                </c:pt>
                <c:pt idx="100">
                  <c:v>2.6083057382626298E-2</c:v>
                </c:pt>
                <c:pt idx="101">
                  <c:v>4.3103380057321915E-2</c:v>
                </c:pt>
                <c:pt idx="102">
                  <c:v>1.1866942400231874E-2</c:v>
                </c:pt>
                <c:pt idx="103">
                  <c:v>4.837698429319371E-2</c:v>
                </c:pt>
                <c:pt idx="104">
                  <c:v>2.5369576001406803E-2</c:v>
                </c:pt>
                <c:pt idx="105">
                  <c:v>2.240401237467313E-2</c:v>
                </c:pt>
                <c:pt idx="106">
                  <c:v>5.2019798018292811E-2</c:v>
                </c:pt>
                <c:pt idx="107">
                  <c:v>4.3470748840259343E-3</c:v>
                </c:pt>
                <c:pt idx="108">
                  <c:v>-7.2138862540333817E-4</c:v>
                </c:pt>
                <c:pt idx="109">
                  <c:v>5.4140046922944711E-4</c:v>
                </c:pt>
                <c:pt idx="110">
                  <c:v>3.8780682517689138E-2</c:v>
                </c:pt>
                <c:pt idx="111">
                  <c:v>1.8926897030734437E-2</c:v>
                </c:pt>
                <c:pt idx="112">
                  <c:v>-3.5787150647579461E-3</c:v>
                </c:pt>
                <c:pt idx="113">
                  <c:v>3.48896351139108E-2</c:v>
                </c:pt>
                <c:pt idx="114">
                  <c:v>-1.5038837053010705E-2</c:v>
                </c:pt>
                <c:pt idx="115">
                  <c:v>-4.5637535088507881E-2</c:v>
                </c:pt>
                <c:pt idx="116">
                  <c:v>1.1251740308513763E-2</c:v>
                </c:pt>
                <c:pt idx="117">
                  <c:v>1.3212778164116715E-2</c:v>
                </c:pt>
                <c:pt idx="118">
                  <c:v>2.7625257852183675E-2</c:v>
                </c:pt>
                <c:pt idx="119">
                  <c:v>-7.1464319109439386E-2</c:v>
                </c:pt>
                <c:pt idx="120">
                  <c:v>9.1709762781698768E-3</c:v>
                </c:pt>
                <c:pt idx="121">
                  <c:v>-1.3898770739464848E-2</c:v>
                </c:pt>
                <c:pt idx="122">
                  <c:v>-1.7528026743765874E-2</c:v>
                </c:pt>
                <c:pt idx="123">
                  <c:v>2.6853099629448225E-2</c:v>
                </c:pt>
                <c:pt idx="124">
                  <c:v>1.9523481299534958E-2</c:v>
                </c:pt>
                <c:pt idx="125">
                  <c:v>-2.4771610146577951E-2</c:v>
                </c:pt>
                <c:pt idx="126">
                  <c:v>2.6121438519958157E-2</c:v>
                </c:pt>
                <c:pt idx="127">
                  <c:v>-6.0393241931061131E-2</c:v>
                </c:pt>
                <c:pt idx="128">
                  <c:v>-2.429017189835576E-3</c:v>
                </c:pt>
                <c:pt idx="129">
                  <c:v>4.0269751643936036E-2</c:v>
                </c:pt>
                <c:pt idx="130">
                  <c:v>4.627295559465331E-2</c:v>
                </c:pt>
                <c:pt idx="131">
                  <c:v>6.3156047785991265E-2</c:v>
                </c:pt>
                <c:pt idx="132">
                  <c:v>2.6869537501934951E-2</c:v>
                </c:pt>
                <c:pt idx="133">
                  <c:v>2.5535924109960861E-2</c:v>
                </c:pt>
                <c:pt idx="134">
                  <c:v>3.842606942594742E-3</c:v>
                </c:pt>
                <c:pt idx="135">
                  <c:v>1.9139489178976857E-2</c:v>
                </c:pt>
                <c:pt idx="136">
                  <c:v>-2.884613968888626E-2</c:v>
                </c:pt>
                <c:pt idx="137">
                  <c:v>3.2797076621241858E-2</c:v>
                </c:pt>
                <c:pt idx="138">
                  <c:v>1.9622497914245016E-2</c:v>
                </c:pt>
                <c:pt idx="139">
                  <c:v>-1.9685573674158907E-2</c:v>
                </c:pt>
                <c:pt idx="140">
                  <c:v>2.832309178826203E-2</c:v>
                </c:pt>
                <c:pt idx="141">
                  <c:v>3.9347083677626717E-2</c:v>
                </c:pt>
                <c:pt idx="142">
                  <c:v>3.2249439147505696E-3</c:v>
                </c:pt>
                <c:pt idx="143">
                  <c:v>-3.7875707706119935E-2</c:v>
                </c:pt>
                <c:pt idx="144">
                  <c:v>1.626965521613332E-2</c:v>
                </c:pt>
                <c:pt idx="145">
                  <c:v>-5.8604346177876946E-3</c:v>
                </c:pt>
                <c:pt idx="146">
                  <c:v>-6.1969875112730097E-2</c:v>
                </c:pt>
                <c:pt idx="147">
                  <c:v>-8.5990146719501739E-2</c:v>
                </c:pt>
                <c:pt idx="148">
                  <c:v>-8.183801640385685E-2</c:v>
                </c:pt>
                <c:pt idx="149">
                  <c:v>6.3561643835616383E-2</c:v>
                </c:pt>
                <c:pt idx="150">
                  <c:v>1.5284200583891518E-2</c:v>
                </c:pt>
                <c:pt idx="151">
                  <c:v>-4.8207020436519234E-2</c:v>
                </c:pt>
                <c:pt idx="152">
                  <c:v>4.4428647591967301E-3</c:v>
                </c:pt>
                <c:pt idx="153">
                  <c:v>0.1015569355980184</c:v>
                </c:pt>
                <c:pt idx="154">
                  <c:v>1.349180897821417E-2</c:v>
                </c:pt>
                <c:pt idx="155">
                  <c:v>4.9128353379662495E-2</c:v>
                </c:pt>
                <c:pt idx="156">
                  <c:v>-2.8851904630750852E-2</c:v>
                </c:pt>
                <c:pt idx="157">
                  <c:v>3.5464286273692691E-2</c:v>
                </c:pt>
                <c:pt idx="158">
                  <c:v>4.8520399579390278E-2</c:v>
                </c:pt>
                <c:pt idx="159">
                  <c:v>1.4326646948711448E-2</c:v>
                </c:pt>
                <c:pt idx="160">
                  <c:v>-2.0197739257158037E-2</c:v>
                </c:pt>
                <c:pt idx="161">
                  <c:v>-3.4597951509385688E-3</c:v>
                </c:pt>
                <c:pt idx="162">
                  <c:v>4.8748779780794678E-2</c:v>
                </c:pt>
                <c:pt idx="163">
                  <c:v>-1.1034524137931087E-2</c:v>
                </c:pt>
                <c:pt idx="164">
                  <c:v>3.2217644304782939E-2</c:v>
                </c:pt>
                <c:pt idx="165">
                  <c:v>-1.0539102539140638E-2</c:v>
                </c:pt>
                <c:pt idx="166">
                  <c:v>2.4443451135731993E-2</c:v>
                </c:pt>
                <c:pt idx="167">
                  <c:v>2.6926207421735834E-2</c:v>
                </c:pt>
                <c:pt idx="168">
                  <c:v>9.8650310245972095E-3</c:v>
                </c:pt>
                <c:pt idx="169">
                  <c:v>1.5167094530831735E-2</c:v>
                </c:pt>
                <c:pt idx="170">
                  <c:v>6.0774370950580983E-3</c:v>
                </c:pt>
                <c:pt idx="171">
                  <c:v>1.1452353529478407E-2</c:v>
                </c:pt>
                <c:pt idx="172">
                  <c:v>1.6424025764936328E-2</c:v>
                </c:pt>
                <c:pt idx="173">
                  <c:v>1.8239661690790505E-2</c:v>
                </c:pt>
                <c:pt idx="174">
                  <c:v>-1.6229838903582754E-2</c:v>
                </c:pt>
                <c:pt idx="175">
                  <c:v>2.8718048913160404E-2</c:v>
                </c:pt>
                <c:pt idx="176">
                  <c:v>8.0779401282963896E-3</c:v>
                </c:pt>
                <c:pt idx="177">
                  <c:v>-5.1850458969472579E-3</c:v>
                </c:pt>
                <c:pt idx="178">
                  <c:v>3.9090500807639587E-3</c:v>
                </c:pt>
                <c:pt idx="179">
                  <c:v>3.3156318584070713E-2</c:v>
                </c:pt>
                <c:pt idx="180">
                  <c:v>-1.4846734007461523E-3</c:v>
                </c:pt>
                <c:pt idx="181">
                  <c:v>-1.4525860688550909E-2</c:v>
                </c:pt>
                <c:pt idx="182">
                  <c:v>3.4238589403965167E-2</c:v>
                </c:pt>
                <c:pt idx="183">
                  <c:v>-7.7432722731087186E-3</c:v>
                </c:pt>
                <c:pt idx="184">
                  <c:v>-4.863147587947253E-2</c:v>
                </c:pt>
                <c:pt idx="185">
                  <c:v>1.3433154537571795E-2</c:v>
                </c:pt>
                <c:pt idx="186">
                  <c:v>2.2521970674486882E-2</c:v>
                </c:pt>
                <c:pt idx="187">
                  <c:v>3.2006436434700726E-2</c:v>
                </c:pt>
                <c:pt idx="188">
                  <c:v>2.7345476070981398E-2</c:v>
                </c:pt>
                <c:pt idx="189">
                  <c:v>-8.7643044528091189E-3</c:v>
                </c:pt>
                <c:pt idx="190">
                  <c:v>8.9509768698726455E-3</c:v>
                </c:pt>
                <c:pt idx="191">
                  <c:v>4.8685167153521168E-3</c:v>
                </c:pt>
                <c:pt idx="192">
                  <c:v>-1.7872481197431636E-2</c:v>
                </c:pt>
                <c:pt idx="193">
                  <c:v>-2.1815369197375912E-2</c:v>
                </c:pt>
                <c:pt idx="194">
                  <c:v>2.0508740765143724E-2</c:v>
                </c:pt>
                <c:pt idx="195">
                  <c:v>-5.4140139559414338E-2</c:v>
                </c:pt>
                <c:pt idx="196">
                  <c:v>-1.6138384400501058E-2</c:v>
                </c:pt>
                <c:pt idx="197">
                  <c:v>-1.3452915115716672E-2</c:v>
                </c:pt>
                <c:pt idx="198">
                  <c:v>-7.7751198032325317E-2</c:v>
                </c:pt>
                <c:pt idx="199">
                  <c:v>-7.0038912322670389E-3</c:v>
                </c:pt>
                <c:pt idx="200">
                  <c:v>4.7544397793740846E-2</c:v>
                </c:pt>
                <c:pt idx="201">
                  <c:v>3.1172070991473981E-3</c:v>
                </c:pt>
                <c:pt idx="202">
                  <c:v>-1.4915476006792513E-3</c:v>
                </c:pt>
                <c:pt idx="203">
                  <c:v>7.817750334426736E-2</c:v>
                </c:pt>
                <c:pt idx="204">
                  <c:v>1.9627987303684103E-3</c:v>
                </c:pt>
                <c:pt idx="205">
                  <c:v>3.9409979712030099E-2</c:v>
                </c:pt>
                <c:pt idx="206">
                  <c:v>4.2239524686458738E-2</c:v>
                </c:pt>
                <c:pt idx="207">
                  <c:v>-5.2441228540767472E-2</c:v>
                </c:pt>
                <c:pt idx="208">
                  <c:v>1.7512314380055918E-2</c:v>
                </c:pt>
                <c:pt idx="209">
                  <c:v>4.534423042083216E-2</c:v>
                </c:pt>
                <c:pt idx="210">
                  <c:v>-1.1715050131926089E-2</c:v>
                </c:pt>
                <c:pt idx="211">
                  <c:v>3.2785134908000085E-2</c:v>
                </c:pt>
                <c:pt idx="212">
                  <c:v>-3.5260014840864516E-2</c:v>
                </c:pt>
                <c:pt idx="213">
                  <c:v>7.5026471328194511E-3</c:v>
                </c:pt>
                <c:pt idx="214">
                  <c:v>2.6276606382978684E-2</c:v>
                </c:pt>
                <c:pt idx="215">
                  <c:v>-4.384785898364401E-2</c:v>
                </c:pt>
                <c:pt idx="216">
                  <c:v>-3.1222864944121128E-2</c:v>
                </c:pt>
                <c:pt idx="217">
                  <c:v>9.4001341830781682E-3</c:v>
                </c:pt>
                <c:pt idx="218">
                  <c:v>8.0487829727976606E-2</c:v>
                </c:pt>
                <c:pt idx="219">
                  <c:v>1.251796647360945E-2</c:v>
                </c:pt>
                <c:pt idx="220">
                  <c:v>9.1204094041344389E-3</c:v>
                </c:pt>
                <c:pt idx="221">
                  <c:v>-1.8477645742565794E-2</c:v>
                </c:pt>
                <c:pt idx="222">
                  <c:v>1.1459003713096013E-2</c:v>
                </c:pt>
                <c:pt idx="223">
                  <c:v>3.8539317837959663E-2</c:v>
                </c:pt>
                <c:pt idx="224">
                  <c:v>7.2076167762270132E-3</c:v>
                </c:pt>
                <c:pt idx="225">
                  <c:v>4.7964401974106841E-2</c:v>
                </c:pt>
                <c:pt idx="226">
                  <c:v>-4.1616700887237221E-2</c:v>
                </c:pt>
                <c:pt idx="227">
                  <c:v>-8.1840842655104239E-3</c:v>
                </c:pt>
                <c:pt idx="228">
                  <c:v>-4.7374088974389078E-2</c:v>
                </c:pt>
                <c:pt idx="229">
                  <c:v>3.4444156764826935E-2</c:v>
                </c:pt>
                <c:pt idx="230">
                  <c:v>2.1475716255034718E-2</c:v>
                </c:pt>
                <c:pt idx="231">
                  <c:v>-2.218179145179403E-3</c:v>
                </c:pt>
                <c:pt idx="232">
                  <c:v>-5.5577035139928815E-2</c:v>
                </c:pt>
                <c:pt idx="233">
                  <c:v>-6.0178047898659819E-2</c:v>
                </c:pt>
                <c:pt idx="234">
                  <c:v>4.007404900198093E-2</c:v>
                </c:pt>
                <c:pt idx="235">
                  <c:v>-2.5023546748538475E-2</c:v>
                </c:pt>
                <c:pt idx="236">
                  <c:v>4.2955325076611095E-2</c:v>
                </c:pt>
                <c:pt idx="237">
                  <c:v>-3.4081599029604684E-2</c:v>
                </c:pt>
                <c:pt idx="238">
                  <c:v>-1.8654728038689439E-2</c:v>
                </c:pt>
                <c:pt idx="239">
                  <c:v>-7.6471878698063739E-2</c:v>
                </c:pt>
                <c:pt idx="240">
                  <c:v>5.2693521031293336E-2</c:v>
                </c:pt>
                <c:pt idx="241">
                  <c:v>1.4524804469274082E-3</c:v>
                </c:pt>
                <c:pt idx="242">
                  <c:v>-9.048310020583844E-2</c:v>
                </c:pt>
                <c:pt idx="243">
                  <c:v>-6.0966562596904902E-2</c:v>
                </c:pt>
                <c:pt idx="244">
                  <c:v>-5.0032682559137294E-2</c:v>
                </c:pt>
                <c:pt idx="245">
                  <c:v>7.3294855977793616E-2</c:v>
                </c:pt>
                <c:pt idx="246">
                  <c:v>4.4458601750470138E-2</c:v>
                </c:pt>
                <c:pt idx="247">
                  <c:v>3.4102135700520203E-2</c:v>
                </c:pt>
                <c:pt idx="248">
                  <c:v>-1.2455551158165483E-2</c:v>
                </c:pt>
                <c:pt idx="249">
                  <c:v>4.7447411411411365E-2</c:v>
                </c:pt>
                <c:pt idx="250">
                  <c:v>5.6766114338283803E-2</c:v>
                </c:pt>
                <c:pt idx="251">
                  <c:v>4.0477427227836656E-2</c:v>
                </c:pt>
                <c:pt idx="252">
                  <c:v>9.0738738759034068E-3</c:v>
                </c:pt>
                <c:pt idx="253">
                  <c:v>3.6795844961240241E-2</c:v>
                </c:pt>
                <c:pt idx="254">
                  <c:v>3.6287499477370172E-2</c:v>
                </c:pt>
                <c:pt idx="255">
                  <c:v>-4.155844275781935E-2</c:v>
                </c:pt>
                <c:pt idx="256">
                  <c:v>-9.3345380708985352E-3</c:v>
                </c:pt>
                <c:pt idx="257">
                  <c:v>-3.161089255149626E-2</c:v>
                </c:pt>
                <c:pt idx="258">
                  <c:v>3.6095385308738646E-2</c:v>
                </c:pt>
                <c:pt idx="259">
                  <c:v>-6.9676159443362645E-3</c:v>
                </c:pt>
                <c:pt idx="260">
                  <c:v>-4.1793707211458531E-2</c:v>
                </c:pt>
                <c:pt idx="261">
                  <c:v>-2.5470125475852579E-3</c:v>
                </c:pt>
                <c:pt idx="262">
                  <c:v>8.6179361340128977E-2</c:v>
                </c:pt>
                <c:pt idx="263">
                  <c:v>1.8121325031690741E-2</c:v>
                </c:pt>
                <c:pt idx="264">
                  <c:v>2.5303039728631006E-2</c:v>
                </c:pt>
                <c:pt idx="265">
                  <c:v>5.9115792436896224E-3</c:v>
                </c:pt>
                <c:pt idx="266">
                  <c:v>4.3843378092632834E-3</c:v>
                </c:pt>
                <c:pt idx="267">
                  <c:v>1.7275016574254946E-2</c:v>
                </c:pt>
                <c:pt idx="268">
                  <c:v>-2.1820505996717855E-2</c:v>
                </c:pt>
                <c:pt idx="269">
                  <c:v>2.3333955789937985E-3</c:v>
                </c:pt>
                <c:pt idx="270">
                  <c:v>3.4453832148745957E-2</c:v>
                </c:pt>
                <c:pt idx="271">
                  <c:v>-4.8608607385312672E-3</c:v>
                </c:pt>
                <c:pt idx="272">
                  <c:v>9.3170418095781457E-3</c:v>
                </c:pt>
                <c:pt idx="273">
                  <c:v>4.561745750820128E-2</c:v>
                </c:pt>
                <c:pt idx="274">
                  <c:v>1.1828276537726494E-2</c:v>
                </c:pt>
                <c:pt idx="275">
                  <c:v>-1.7111426926435573E-2</c:v>
                </c:pt>
                <c:pt idx="276">
                  <c:v>-3.7490295936312097E-2</c:v>
                </c:pt>
                <c:pt idx="277">
                  <c:v>-1.4326916189112036E-3</c:v>
                </c:pt>
                <c:pt idx="278">
                  <c:v>-4.0799821757527548E-2</c:v>
                </c:pt>
                <c:pt idx="279">
                  <c:v>-1.8883836413164101E-2</c:v>
                </c:pt>
                <c:pt idx="280">
                  <c:v>-6.5745118601575206E-3</c:v>
                </c:pt>
                <c:pt idx="281">
                  <c:v>3.7981957836524846E-2</c:v>
                </c:pt>
                <c:pt idx="282">
                  <c:v>-3.6684540411342233E-2</c:v>
                </c:pt>
                <c:pt idx="283">
                  <c:v>4.0095923261390956E-2</c:v>
                </c:pt>
                <c:pt idx="284">
                  <c:v>-1.2911463617080428E-3</c:v>
                </c:pt>
                <c:pt idx="285">
                  <c:v>-0.1138609464044608</c:v>
                </c:pt>
                <c:pt idx="286">
                  <c:v>1.6569445775004726E-2</c:v>
                </c:pt>
                <c:pt idx="287">
                  <c:v>-1.0046160634152011E-2</c:v>
                </c:pt>
                <c:pt idx="288">
                  <c:v>-3.6243036139587538E-3</c:v>
                </c:pt>
                <c:pt idx="289">
                  <c:v>-2.3279962343795861E-2</c:v>
                </c:pt>
                <c:pt idx="290">
                  <c:v>-3.9050913841745707E-2</c:v>
                </c:pt>
                <c:pt idx="291">
                  <c:v>-3.3551091430651894E-2</c:v>
                </c:pt>
                <c:pt idx="292">
                  <c:v>-1.4665433256936719E-2</c:v>
                </c:pt>
                <c:pt idx="293">
                  <c:v>-7.7790720930232635E-2</c:v>
                </c:pt>
                <c:pt idx="294">
                  <c:v>-9.0278605227048336E-2</c:v>
                </c:pt>
                <c:pt idx="295">
                  <c:v>-0.11933472988677123</c:v>
                </c:pt>
                <c:pt idx="296">
                  <c:v>0.16304691276287522</c:v>
                </c:pt>
                <c:pt idx="297">
                  <c:v>-5.3179985028958515E-2</c:v>
                </c:pt>
                <c:pt idx="298">
                  <c:v>-2.0151536084728701E-2</c:v>
                </c:pt>
                <c:pt idx="299">
                  <c:v>0.12281221186733413</c:v>
                </c:pt>
                <c:pt idx="300">
                  <c:v>5.9885591326880087E-2</c:v>
                </c:pt>
                <c:pt idx="301">
                  <c:v>2.1693897374379056E-2</c:v>
                </c:pt>
                <c:pt idx="302">
                  <c:v>4.7264898665248418E-2</c:v>
                </c:pt>
                <c:pt idx="303">
                  <c:v>4.4100788862515811E-2</c:v>
                </c:pt>
                <c:pt idx="304">
                  <c:v>4.4322544282555325E-2</c:v>
                </c:pt>
                <c:pt idx="305">
                  <c:v>-6.7654184942658221E-2</c:v>
                </c:pt>
                <c:pt idx="306">
                  <c:v>-2.1070456338028135E-2</c:v>
                </c:pt>
                <c:pt idx="307">
                  <c:v>-3.4645420165012278E-2</c:v>
                </c:pt>
                <c:pt idx="308">
                  <c:v>6.1642992906534258E-2</c:v>
                </c:pt>
                <c:pt idx="309">
                  <c:v>2.4707962435894359E-2</c:v>
                </c:pt>
                <c:pt idx="310">
                  <c:v>-1.1508066889698892E-2</c:v>
                </c:pt>
                <c:pt idx="311">
                  <c:v>0.11830578515787137</c:v>
                </c:pt>
                <c:pt idx="312">
                  <c:v>-1.1401963004144733E-2</c:v>
                </c:pt>
                <c:pt idx="313">
                  <c:v>3.0688978344087712E-2</c:v>
                </c:pt>
                <c:pt idx="314">
                  <c:v>-1.0995407540977163E-2</c:v>
                </c:pt>
                <c:pt idx="315">
                  <c:v>-1.4364413758012692E-2</c:v>
                </c:pt>
                <c:pt idx="316">
                  <c:v>4.0926322619285249E-2</c:v>
                </c:pt>
                <c:pt idx="317">
                  <c:v>-8.0552072118834292E-3</c:v>
                </c:pt>
                <c:pt idx="318">
                  <c:v>-5.1237237988453069E-3</c:v>
                </c:pt>
                <c:pt idx="319">
                  <c:v>2.2641083562682587E-2</c:v>
                </c:pt>
                <c:pt idx="320">
                  <c:v>-2.2234854090362102E-2</c:v>
                </c:pt>
                <c:pt idx="321">
                  <c:v>-7.774577108365861E-3</c:v>
                </c:pt>
                <c:pt idx="322">
                  <c:v>5.2497562242851334E-2</c:v>
                </c:pt>
                <c:pt idx="323">
                  <c:v>-5.0530430397640269E-2</c:v>
                </c:pt>
                <c:pt idx="324">
                  <c:v>-2.1660286402629587E-2</c:v>
                </c:pt>
                <c:pt idx="325">
                  <c:v>-1.4025265477860014E-2</c:v>
                </c:pt>
                <c:pt idx="326">
                  <c:v>2.0325137580271167E-4</c:v>
                </c:pt>
                <c:pt idx="327">
                  <c:v>-2.3567644787329544E-2</c:v>
                </c:pt>
                <c:pt idx="328">
                  <c:v>4.5359965292552054E-2</c:v>
                </c:pt>
                <c:pt idx="329">
                  <c:v>-1.6222183034767596E-2</c:v>
                </c:pt>
                <c:pt idx="330">
                  <c:v>-2.1041993344299265E-2</c:v>
                </c:pt>
                <c:pt idx="331">
                  <c:v>-2.4800868806475205E-3</c:v>
                </c:pt>
                <c:pt idx="332">
                  <c:v>-4.3406226493382688E-2</c:v>
                </c:pt>
                <c:pt idx="333">
                  <c:v>2.6965628198640967E-2</c:v>
                </c:pt>
                <c:pt idx="334">
                  <c:v>2.8471580122924191E-3</c:v>
                </c:pt>
                <c:pt idx="335">
                  <c:v>-6.1514175846775508E-2</c:v>
                </c:pt>
                <c:pt idx="336">
                  <c:v>-2.4761893557422927E-2</c:v>
                </c:pt>
                <c:pt idx="337">
                  <c:v>2.4931042912097308E-2</c:v>
                </c:pt>
                <c:pt idx="338">
                  <c:v>8.5416467721292064E-2</c:v>
                </c:pt>
                <c:pt idx="339">
                  <c:v>4.234183533322727E-3</c:v>
                </c:pt>
                <c:pt idx="340">
                  <c:v>-1.7585345898505637E-2</c:v>
                </c:pt>
                <c:pt idx="341">
                  <c:v>5.3909777597715695E-2</c:v>
                </c:pt>
                <c:pt idx="342">
                  <c:v>2.5923728645212522E-2</c:v>
                </c:pt>
                <c:pt idx="343">
                  <c:v>-7.2611094272329417E-3</c:v>
                </c:pt>
                <c:pt idx="344">
                  <c:v>-9.1574009249327029E-2</c:v>
                </c:pt>
                <c:pt idx="345">
                  <c:v>1.6639774199897445E-2</c:v>
                </c:pt>
                <c:pt idx="346">
                  <c:v>1.4889166258368527E-2</c:v>
                </c:pt>
                <c:pt idx="347">
                  <c:v>3.9746113414357472E-2</c:v>
                </c:pt>
                <c:pt idx="348">
                  <c:v>-3.6525577904533202E-2</c:v>
                </c:pt>
                <c:pt idx="349">
                  <c:v>5.5151610460652326E-2</c:v>
                </c:pt>
                <c:pt idx="350">
                  <c:v>1.6734521773187269E-3</c:v>
                </c:pt>
                <c:pt idx="351">
                  <c:v>-2.6336477469802003E-2</c:v>
                </c:pt>
                <c:pt idx="352">
                  <c:v>3.8655651218093515E-2</c:v>
                </c:pt>
                <c:pt idx="353">
                  <c:v>8.7454471384530545E-3</c:v>
                </c:pt>
                <c:pt idx="354">
                  <c:v>5.3077758464073956E-2</c:v>
                </c:pt>
                <c:pt idx="355">
                  <c:v>0</c:v>
                </c:pt>
                <c:pt idx="356">
                  <c:v>-6.8605927552140511E-2</c:v>
                </c:pt>
                <c:pt idx="357">
                  <c:v>4.2624278137890471E-2</c:v>
                </c:pt>
                <c:pt idx="358">
                  <c:v>1.6767124462429429E-2</c:v>
                </c:pt>
                <c:pt idx="359">
                  <c:v>5.7624623723834964E-2</c:v>
                </c:pt>
                <c:pt idx="360">
                  <c:v>-4.3798176461171115E-3</c:v>
                </c:pt>
                <c:pt idx="361">
                  <c:v>-0.10179489347897613</c:v>
                </c:pt>
                <c:pt idx="362">
                  <c:v>4.1140221026162098E-2</c:v>
                </c:pt>
                <c:pt idx="363">
                  <c:v>4.6570674131426494E-2</c:v>
                </c:pt>
                <c:pt idx="364">
                  <c:v>2.6968716773979086E-2</c:v>
                </c:pt>
                <c:pt idx="365">
                  <c:v>6.5038516544792022E-2</c:v>
                </c:pt>
                <c:pt idx="366">
                  <c:v>5.8354484398035105E-3</c:v>
                </c:pt>
                <c:pt idx="367">
                  <c:v>2.5167527990705811E-2</c:v>
                </c:pt>
                <c:pt idx="368">
                  <c:v>1.6021058632401233E-2</c:v>
                </c:pt>
                <c:pt idx="369">
                  <c:v>0.10237705262118892</c:v>
                </c:pt>
                <c:pt idx="370">
                  <c:v>-3.3874244694726857E-2</c:v>
                </c:pt>
                <c:pt idx="371">
                  <c:v>-4.5742429498468969E-2</c:v>
                </c:pt>
                <c:pt idx="372">
                  <c:v>1.327673454395826E-2</c:v>
                </c:pt>
                <c:pt idx="373">
                  <c:v>3.6032572985980865E-2</c:v>
                </c:pt>
                <c:pt idx="374">
                  <c:v>-2.3455897058823477E-2</c:v>
                </c:pt>
                <c:pt idx="375">
                  <c:v>-1.6565168534976847E-3</c:v>
                </c:pt>
                <c:pt idx="376">
                  <c:v>-1.0407942089386767E-2</c:v>
                </c:pt>
                <c:pt idx="377">
                  <c:v>-2.2102658679074515E-3</c:v>
                </c:pt>
                <c:pt idx="378">
                  <c:v>-6.2098969784585463E-2</c:v>
                </c:pt>
                <c:pt idx="379">
                  <c:v>-5.3831752961708966E-2</c:v>
                </c:pt>
                <c:pt idx="380">
                  <c:v>4.9147865381304834E-2</c:v>
                </c:pt>
                <c:pt idx="381">
                  <c:v>3.6590360460992344E-2</c:v>
                </c:pt>
                <c:pt idx="382">
                  <c:v>-3.0075148873369952E-2</c:v>
                </c:pt>
                <c:pt idx="383">
                  <c:v>-1.7543867379587116E-2</c:v>
                </c:pt>
                <c:pt idx="384">
                  <c:v>-6.0548180057339231E-2</c:v>
                </c:pt>
                <c:pt idx="385">
                  <c:v>-1.0167111571327814E-2</c:v>
                </c:pt>
                <c:pt idx="386">
                  <c:v>4.0014317970831804E-2</c:v>
                </c:pt>
                <c:pt idx="387">
                  <c:v>-3.9161842336622454E-2</c:v>
                </c:pt>
                <c:pt idx="388">
                  <c:v>-2.0289560787170972E-2</c:v>
                </c:pt>
                <c:pt idx="389">
                  <c:v>-2.2990648453693543E-2</c:v>
                </c:pt>
                <c:pt idx="390">
                  <c:v>0.11597727578587266</c:v>
                </c:pt>
                <c:pt idx="391">
                  <c:v>7.6143919736526046E-3</c:v>
                </c:pt>
                <c:pt idx="392">
                  <c:v>0.11044679638675953</c:v>
                </c:pt>
                <c:pt idx="393">
                  <c:v>3.5970669787835308E-2</c:v>
                </c:pt>
                <c:pt idx="394">
                  <c:v>1.5231357938578959E-2</c:v>
                </c:pt>
                <c:pt idx="395">
                  <c:v>3.3134272135482701E-2</c:v>
                </c:pt>
                <c:pt idx="396">
                  <c:v>1.8995147577526225E-2</c:v>
                </c:pt>
                <c:pt idx="397">
                  <c:v>3.3094752574560904E-2</c:v>
                </c:pt>
                <c:pt idx="398">
                  <c:v>7.4986829727328702E-2</c:v>
                </c:pt>
                <c:pt idx="399">
                  <c:v>-1.2406459203583419E-2</c:v>
                </c:pt>
                <c:pt idx="400">
                  <c:v>3.2329577143479137E-2</c:v>
                </c:pt>
                <c:pt idx="401">
                  <c:v>-3.0303036448956207E-2</c:v>
                </c:pt>
                <c:pt idx="402">
                  <c:v>1.131887317075376E-2</c:v>
                </c:pt>
                <c:pt idx="403">
                  <c:v>1.0158230297745702E-2</c:v>
                </c:pt>
                <c:pt idx="404">
                  <c:v>-1.5174347526823432E-2</c:v>
                </c:pt>
                <c:pt idx="405">
                  <c:v>1.7425808301574832E-2</c:v>
                </c:pt>
                <c:pt idx="406">
                  <c:v>-8.8341409435387149E-3</c:v>
                </c:pt>
                <c:pt idx="407">
                  <c:v>-9.2159647396578108E-3</c:v>
                </c:pt>
                <c:pt idx="408">
                  <c:v>-3.8859346701931294E-2</c:v>
                </c:pt>
                <c:pt idx="409">
                  <c:v>1.3497994568928931E-2</c:v>
                </c:pt>
                <c:pt idx="410">
                  <c:v>5.4655738048688552E-3</c:v>
                </c:pt>
                <c:pt idx="411">
                  <c:v>-5.935644999644267E-2</c:v>
                </c:pt>
                <c:pt idx="412">
                  <c:v>1.7469212537976449E-2</c:v>
                </c:pt>
                <c:pt idx="413">
                  <c:v>-1.6451162783380005E-2</c:v>
                </c:pt>
                <c:pt idx="414">
                  <c:v>0.10633206275502297</c:v>
                </c:pt>
                <c:pt idx="415">
                  <c:v>-3.4796437746429979E-3</c:v>
                </c:pt>
                <c:pt idx="416">
                  <c:v>-6.0264898485278072E-5</c:v>
                </c:pt>
                <c:pt idx="417">
                  <c:v>-1.5112252757234131E-2</c:v>
                </c:pt>
                <c:pt idx="418">
                  <c:v>2.237439146137184E-2</c:v>
                </c:pt>
                <c:pt idx="419">
                  <c:v>7.4085144879061773E-2</c:v>
                </c:pt>
                <c:pt idx="420">
                  <c:v>8.6287811437737519E-3</c:v>
                </c:pt>
                <c:pt idx="421">
                  <c:v>-2.8700133573799709E-3</c:v>
                </c:pt>
                <c:pt idx="422">
                  <c:v>-4.5942764398476327E-3</c:v>
                </c:pt>
                <c:pt idx="423">
                  <c:v>5.4051053171872823E-2</c:v>
                </c:pt>
                <c:pt idx="424">
                  <c:v>1.2134017217609877E-2</c:v>
                </c:pt>
                <c:pt idx="425">
                  <c:v>-4.8475786860283704E-3</c:v>
                </c:pt>
                <c:pt idx="426">
                  <c:v>-1.1994516153305121E-2</c:v>
                </c:pt>
                <c:pt idx="427">
                  <c:v>-3.4724077964160598E-2</c:v>
                </c:pt>
                <c:pt idx="428">
                  <c:v>4.2508814339753773E-2</c:v>
                </c:pt>
                <c:pt idx="429">
                  <c:v>6.5061587528020631E-2</c:v>
                </c:pt>
                <c:pt idx="430">
                  <c:v>4.5061092595944978E-2</c:v>
                </c:pt>
                <c:pt idx="431">
                  <c:v>2.366527841568193E-3</c:v>
                </c:pt>
                <c:pt idx="432">
                  <c:v>7.1489276945364361E-2</c:v>
                </c:pt>
                <c:pt idx="433">
                  <c:v>5.2793919026916263E-2</c:v>
                </c:pt>
                <c:pt idx="434">
                  <c:v>-1.4148137651271738E-2</c:v>
                </c:pt>
                <c:pt idx="435">
                  <c:v>5.0229287530073274E-2</c:v>
                </c:pt>
                <c:pt idx="436">
                  <c:v>1.4109520579514381E-2</c:v>
                </c:pt>
                <c:pt idx="437">
                  <c:v>-5.8682830628015256E-2</c:v>
                </c:pt>
                <c:pt idx="438">
                  <c:v>7.1192606962404897E-2</c:v>
                </c:pt>
                <c:pt idx="439">
                  <c:v>-8.5438605930772279E-2</c:v>
                </c:pt>
                <c:pt idx="440">
                  <c:v>5.4729330005596946E-2</c:v>
                </c:pt>
                <c:pt idx="441">
                  <c:v>2.1477191105454384E-2</c:v>
                </c:pt>
                <c:pt idx="442">
                  <c:v>-2.8288271293281972E-2</c:v>
                </c:pt>
                <c:pt idx="443">
                  <c:v>0.13176689624451343</c:v>
                </c:pt>
                <c:pt idx="444">
                  <c:v>3.6923618943399898E-2</c:v>
                </c:pt>
                <c:pt idx="445">
                  <c:v>2.6389865177064101E-2</c:v>
                </c:pt>
                <c:pt idx="446">
                  <c:v>-1.1450212076096934E-2</c:v>
                </c:pt>
                <c:pt idx="447">
                  <c:v>6.0341971511755103E-3</c:v>
                </c:pt>
                <c:pt idx="448">
                  <c:v>4.791449056364374E-2</c:v>
                </c:pt>
                <c:pt idx="449">
                  <c:v>4.8223697368421102E-2</c:v>
                </c:pt>
                <c:pt idx="450">
                  <c:v>3.4958839704276067E-2</c:v>
                </c:pt>
                <c:pt idx="451">
                  <c:v>-2.4166165221327928E-2</c:v>
                </c:pt>
                <c:pt idx="452">
                  <c:v>-0.21763041614888423</c:v>
                </c:pt>
                <c:pt idx="453">
                  <c:v>-8.5348864519806417E-2</c:v>
                </c:pt>
                <c:pt idx="454">
                  <c:v>7.2861479728248219E-2</c:v>
                </c:pt>
                <c:pt idx="455">
                  <c:v>4.0432268573479965E-2</c:v>
                </c:pt>
                <c:pt idx="456">
                  <c:v>4.1817402681285962E-2</c:v>
                </c:pt>
                <c:pt idx="457">
                  <c:v>-3.3343259527283828E-2</c:v>
                </c:pt>
                <c:pt idx="458">
                  <c:v>9.4247435537442859E-3</c:v>
                </c:pt>
                <c:pt idx="459">
                  <c:v>3.1761261289926057E-3</c:v>
                </c:pt>
                <c:pt idx="460">
                  <c:v>4.32560109359778E-2</c:v>
                </c:pt>
                <c:pt idx="461">
                  <c:v>-5.4113747714807691E-3</c:v>
                </c:pt>
                <c:pt idx="462">
                  <c:v>-3.8600104494526687E-2</c:v>
                </c:pt>
                <c:pt idx="463">
                  <c:v>3.9729334035724533E-2</c:v>
                </c:pt>
                <c:pt idx="464">
                  <c:v>2.596446212401957E-2</c:v>
                </c:pt>
                <c:pt idx="465">
                  <c:v>-1.8890880672148003E-2</c:v>
                </c:pt>
                <c:pt idx="466">
                  <c:v>1.468757334215977E-2</c:v>
                </c:pt>
                <c:pt idx="467">
                  <c:v>7.1114791620643839E-2</c:v>
                </c:pt>
                <c:pt idx="468">
                  <c:v>-2.8944148892513129E-2</c:v>
                </c:pt>
                <c:pt idx="469">
                  <c:v>2.0805962445785014E-2</c:v>
                </c:pt>
                <c:pt idx="470">
                  <c:v>5.0089938788108933E-2</c:v>
                </c:pt>
                <c:pt idx="471">
                  <c:v>3.5137493453486636E-2</c:v>
                </c:pt>
                <c:pt idx="472">
                  <c:v>-7.9245541219584246E-3</c:v>
                </c:pt>
                <c:pt idx="473">
                  <c:v>8.8370259223621531E-2</c:v>
                </c:pt>
                <c:pt idx="474">
                  <c:v>1.5516716371120292E-2</c:v>
                </c:pt>
                <c:pt idx="475">
                  <c:v>-6.5443673964080632E-3</c:v>
                </c:pt>
                <c:pt idx="476">
                  <c:v>-2.5175452244172166E-2</c:v>
                </c:pt>
                <c:pt idx="477">
                  <c:v>1.6541324621341676E-2</c:v>
                </c:pt>
                <c:pt idx="478">
                  <c:v>2.1416816133900334E-2</c:v>
                </c:pt>
                <c:pt idx="479">
                  <c:v>-6.8817225277032615E-2</c:v>
                </c:pt>
                <c:pt idx="480">
                  <c:v>8.5390425155206662E-3</c:v>
                </c:pt>
                <c:pt idx="481">
                  <c:v>2.4254983989198915E-2</c:v>
                </c:pt>
                <c:pt idx="482">
                  <c:v>-2.6887138748678385E-2</c:v>
                </c:pt>
                <c:pt idx="483">
                  <c:v>9.1989190156802569E-2</c:v>
                </c:pt>
                <c:pt idx="484">
                  <c:v>-8.8863657565815615E-3</c:v>
                </c:pt>
                <c:pt idx="485">
                  <c:v>-5.2231580846174965E-3</c:v>
                </c:pt>
                <c:pt idx="486">
                  <c:v>-9.43141838154853E-2</c:v>
                </c:pt>
                <c:pt idx="487">
                  <c:v>-5.1184307112998005E-2</c:v>
                </c:pt>
                <c:pt idx="488">
                  <c:v>-6.6982129729735032E-3</c:v>
                </c:pt>
                <c:pt idx="489">
                  <c:v>5.9934213815789554E-2</c:v>
                </c:pt>
                <c:pt idx="490">
                  <c:v>2.4827757355757686E-2</c:v>
                </c:pt>
                <c:pt idx="491">
                  <c:v>4.1517751676101528E-2</c:v>
                </c:pt>
                <c:pt idx="492">
                  <c:v>6.7281174863978638E-2</c:v>
                </c:pt>
                <c:pt idx="493">
                  <c:v>2.2202832823658213E-2</c:v>
                </c:pt>
                <c:pt idx="494">
                  <c:v>3.1979905037087913E-4</c:v>
                </c:pt>
                <c:pt idx="495">
                  <c:v>3.8604974568177998E-2</c:v>
                </c:pt>
                <c:pt idx="496">
                  <c:v>-4.7892629152718316E-2</c:v>
                </c:pt>
                <c:pt idx="497">
                  <c:v>4.4859343195825574E-2</c:v>
                </c:pt>
                <c:pt idx="498">
                  <c:v>1.9648784299779752E-2</c:v>
                </c:pt>
                <c:pt idx="499">
                  <c:v>-1.9143737536368489E-2</c:v>
                </c:pt>
                <c:pt idx="500">
                  <c:v>1.1834237037883711E-2</c:v>
                </c:pt>
                <c:pt idx="501">
                  <c:v>-4.3903708684304973E-2</c:v>
                </c:pt>
                <c:pt idx="502">
                  <c:v>0.11158785482760009</c:v>
                </c:pt>
                <c:pt idx="503">
                  <c:v>-1.9923750460799857E-2</c:v>
                </c:pt>
                <c:pt idx="504">
                  <c:v>9.5895420754185199E-3</c:v>
                </c:pt>
                <c:pt idx="505">
                  <c:v>-2.1831862704186262E-2</c:v>
                </c:pt>
                <c:pt idx="506">
                  <c:v>2.7892714568640772E-2</c:v>
                </c:pt>
                <c:pt idx="507">
                  <c:v>9.6395707538861905E-4</c:v>
                </c:pt>
                <c:pt idx="508">
                  <c:v>-1.7358832059340339E-2</c:v>
                </c:pt>
                <c:pt idx="509">
                  <c:v>3.9373684053008125E-2</c:v>
                </c:pt>
                <c:pt idx="510">
                  <c:v>-2.3997530034600308E-2</c:v>
                </c:pt>
                <c:pt idx="511">
                  <c:v>9.1055938195435202E-3</c:v>
                </c:pt>
                <c:pt idx="512">
                  <c:v>2.1062829709799793E-3</c:v>
                </c:pt>
                <c:pt idx="513">
                  <c:v>3.0261806658623838E-2</c:v>
                </c:pt>
                <c:pt idx="514">
                  <c:v>1.0107766174460178E-2</c:v>
                </c:pt>
                <c:pt idx="515">
                  <c:v>7.0459894503543136E-3</c:v>
                </c:pt>
                <c:pt idx="516">
                  <c:v>1.0483627354217684E-2</c:v>
                </c:pt>
                <c:pt idx="517">
                  <c:v>1.869729781792934E-2</c:v>
                </c:pt>
                <c:pt idx="518">
                  <c:v>-2.541681021449611E-2</c:v>
                </c:pt>
                <c:pt idx="519">
                  <c:v>2.2717462810525169E-2</c:v>
                </c:pt>
                <c:pt idx="520">
                  <c:v>7.5523001063889142E-4</c:v>
                </c:pt>
                <c:pt idx="521">
                  <c:v>-5.3270459355138139E-3</c:v>
                </c:pt>
                <c:pt idx="522">
                  <c:v>3.4431956860375874E-2</c:v>
                </c:pt>
                <c:pt idx="523">
                  <c:v>-9.9879304080935441E-3</c:v>
                </c:pt>
                <c:pt idx="524">
                  <c:v>1.9392922963742735E-2</c:v>
                </c:pt>
                <c:pt idx="525">
                  <c:v>-1.291062601337699E-2</c:v>
                </c:pt>
                <c:pt idx="526">
                  <c:v>1.009117328045098E-2</c:v>
                </c:pt>
                <c:pt idx="527">
                  <c:v>3.2500745224549335E-2</c:v>
                </c:pt>
                <c:pt idx="528">
                  <c:v>-3.0044995848663707E-2</c:v>
                </c:pt>
                <c:pt idx="529">
                  <c:v>-4.5746511353774728E-2</c:v>
                </c:pt>
                <c:pt idx="530">
                  <c:v>1.1530643889981578E-2</c:v>
                </c:pt>
                <c:pt idx="531">
                  <c:v>1.2397143444171589E-2</c:v>
                </c:pt>
                <c:pt idx="532">
                  <c:v>-2.679082365826942E-2</c:v>
                </c:pt>
                <c:pt idx="533">
                  <c:v>3.1489907818193885E-2</c:v>
                </c:pt>
                <c:pt idx="534">
                  <c:v>3.7598698607805542E-2</c:v>
                </c:pt>
                <c:pt idx="535">
                  <c:v>-2.6877535318882265E-2</c:v>
                </c:pt>
                <c:pt idx="536">
                  <c:v>2.0833816402291615E-2</c:v>
                </c:pt>
                <c:pt idx="537">
                  <c:v>-3.9504612602884175E-2</c:v>
                </c:pt>
                <c:pt idx="538">
                  <c:v>1.2299118286499109E-2</c:v>
                </c:pt>
                <c:pt idx="539">
                  <c:v>2.4277710860833045E-2</c:v>
                </c:pt>
                <c:pt idx="540">
                  <c:v>3.6074149761991574E-2</c:v>
                </c:pt>
                <c:pt idx="541">
                  <c:v>2.7329193438646864E-2</c:v>
                </c:pt>
                <c:pt idx="542">
                  <c:v>2.7960358793799222E-2</c:v>
                </c:pt>
                <c:pt idx="543">
                  <c:v>3.6311711839953353E-2</c:v>
                </c:pt>
                <c:pt idx="544">
                  <c:v>2.1278544224437396E-2</c:v>
                </c:pt>
                <c:pt idx="545">
                  <c:v>3.1776040385497847E-2</c:v>
                </c:pt>
                <c:pt idx="546">
                  <c:v>-3.2023805401637506E-4</c:v>
                </c:pt>
                <c:pt idx="547">
                  <c:v>4.0097472413171305E-2</c:v>
                </c:pt>
                <c:pt idx="548">
                  <c:v>-4.9793349436903535E-3</c:v>
                </c:pt>
                <c:pt idx="549">
                  <c:v>4.1049002579535712E-2</c:v>
                </c:pt>
                <c:pt idx="550">
                  <c:v>1.7443874138492691E-2</c:v>
                </c:pt>
                <c:pt idx="551">
                  <c:v>3.2617387086717305E-2</c:v>
                </c:pt>
                <c:pt idx="552">
                  <c:v>6.9337015523503838E-3</c:v>
                </c:pt>
                <c:pt idx="553">
                  <c:v>7.916567080580238E-3</c:v>
                </c:pt>
                <c:pt idx="554">
                  <c:v>1.3431422153369484E-2</c:v>
                </c:pt>
                <c:pt idx="555">
                  <c:v>2.2853405672085103E-2</c:v>
                </c:pt>
                <c:pt idx="556">
                  <c:v>2.2567103229368681E-3</c:v>
                </c:pt>
                <c:pt idx="557">
                  <c:v>-4.5748017194667527E-2</c:v>
                </c:pt>
                <c:pt idx="558">
                  <c:v>1.8813935110919288E-2</c:v>
                </c:pt>
                <c:pt idx="559">
                  <c:v>5.4203327569492227E-2</c:v>
                </c:pt>
                <c:pt idx="560">
                  <c:v>2.610100323903073E-2</c:v>
                </c:pt>
                <c:pt idx="561">
                  <c:v>7.337615173263709E-2</c:v>
                </c:pt>
                <c:pt idx="562">
                  <c:v>-2.1505415404998153E-2</c:v>
                </c:pt>
                <c:pt idx="563">
                  <c:v>6.1317039194819227E-2</c:v>
                </c:pt>
                <c:pt idx="564">
                  <c:v>5.9275900071803778E-3</c:v>
                </c:pt>
                <c:pt idx="565">
                  <c:v>-4.261401039642642E-2</c:v>
                </c:pt>
                <c:pt idx="566">
                  <c:v>5.8405579422057062E-2</c:v>
                </c:pt>
                <c:pt idx="567">
                  <c:v>5.8576884241924997E-2</c:v>
                </c:pt>
                <c:pt idx="568">
                  <c:v>4.3452615574897539E-2</c:v>
                </c:pt>
                <c:pt idx="569">
                  <c:v>7.8145809507888991E-2</c:v>
                </c:pt>
                <c:pt idx="570">
                  <c:v>-5.7465631833399242E-2</c:v>
                </c:pt>
                <c:pt idx="571">
                  <c:v>5.3153589937912478E-2</c:v>
                </c:pt>
                <c:pt idx="572">
                  <c:v>-3.4477697196337698E-2</c:v>
                </c:pt>
                <c:pt idx="573">
                  <c:v>4.4586854893763843E-2</c:v>
                </c:pt>
                <c:pt idx="574">
                  <c:v>1.5731597888257891E-2</c:v>
                </c:pt>
                <c:pt idx="575">
                  <c:v>1.0150176798997644E-2</c:v>
                </c:pt>
                <c:pt idx="576">
                  <c:v>7.044919304379707E-2</c:v>
                </c:pt>
                <c:pt idx="577">
                  <c:v>4.9945714161429351E-2</c:v>
                </c:pt>
                <c:pt idx="578">
                  <c:v>9.0764692534604039E-3</c:v>
                </c:pt>
                <c:pt idx="579">
                  <c:v>-1.8826223521475085E-2</c:v>
                </c:pt>
                <c:pt idx="580">
                  <c:v>3.9438241075214008E-2</c:v>
                </c:pt>
                <c:pt idx="581">
                  <c:v>-1.1615327025789495E-2</c:v>
                </c:pt>
                <c:pt idx="582">
                  <c:v>-0.14579671855670656</c:v>
                </c:pt>
                <c:pt idx="583">
                  <c:v>6.2395515617718951E-2</c:v>
                </c:pt>
                <c:pt idx="584">
                  <c:v>8.0294228372442475E-2</c:v>
                </c:pt>
                <c:pt idx="585">
                  <c:v>5.9125996339625349E-2</c:v>
                </c:pt>
                <c:pt idx="586">
                  <c:v>5.6375286575735976E-2</c:v>
                </c:pt>
                <c:pt idx="587">
                  <c:v>4.1009441536725193E-2</c:v>
                </c:pt>
                <c:pt idx="588">
                  <c:v>-3.2282562686194144E-2</c:v>
                </c:pt>
                <c:pt idx="589">
                  <c:v>3.8794215360158806E-2</c:v>
                </c:pt>
                <c:pt idx="590">
                  <c:v>3.7944027915545332E-2</c:v>
                </c:pt>
                <c:pt idx="591">
                  <c:v>-2.4970480872686798E-2</c:v>
                </c:pt>
                <c:pt idx="592">
                  <c:v>5.4438331016794128E-2</c:v>
                </c:pt>
                <c:pt idx="593">
                  <c:v>-3.2046092218893742E-2</c:v>
                </c:pt>
                <c:pt idx="594">
                  <c:v>-6.2540920445004668E-3</c:v>
                </c:pt>
                <c:pt idx="595">
                  <c:v>-2.8551792268491635E-2</c:v>
                </c:pt>
                <c:pt idx="596">
                  <c:v>6.2539541625965367E-2</c:v>
                </c:pt>
                <c:pt idx="597">
                  <c:v>1.9061858621249591E-2</c:v>
                </c:pt>
                <c:pt idx="598">
                  <c:v>5.784389487677933E-2</c:v>
                </c:pt>
                <c:pt idx="599">
                  <c:v>-5.0903548749361906E-2</c:v>
                </c:pt>
                <c:pt idx="600">
                  <c:v>-2.0108083261058264E-2</c:v>
                </c:pt>
                <c:pt idx="601">
                  <c:v>9.6719828269732314E-2</c:v>
                </c:pt>
                <c:pt idx="602">
                  <c:v>-3.0795755551931397E-2</c:v>
                </c:pt>
                <c:pt idx="603">
                  <c:v>-2.1915050512993556E-2</c:v>
                </c:pt>
                <c:pt idx="604">
                  <c:v>2.3933549608901303E-2</c:v>
                </c:pt>
                <c:pt idx="605">
                  <c:v>-1.6341276221772696E-2</c:v>
                </c:pt>
                <c:pt idx="606">
                  <c:v>6.0699105184236081E-2</c:v>
                </c:pt>
                <c:pt idx="607">
                  <c:v>-5.3482974745611284E-2</c:v>
                </c:pt>
                <c:pt idx="608">
                  <c:v>-4.9494858723608441E-3</c:v>
                </c:pt>
                <c:pt idx="609">
                  <c:v>-8.0068609961069917E-2</c:v>
                </c:pt>
                <c:pt idx="610">
                  <c:v>4.0534455291979079E-3</c:v>
                </c:pt>
                <c:pt idx="611">
                  <c:v>3.4636577086329577E-2</c:v>
                </c:pt>
                <c:pt idx="612">
                  <c:v>-9.2290735849000022E-2</c:v>
                </c:pt>
                <c:pt idx="613">
                  <c:v>-6.4204710540895507E-2</c:v>
                </c:pt>
                <c:pt idx="614">
                  <c:v>7.6814361759009853E-2</c:v>
                </c:pt>
                <c:pt idx="615">
                  <c:v>5.0901871196495675E-3</c:v>
                </c:pt>
                <c:pt idx="616">
                  <c:v>-2.5035389109833495E-2</c:v>
                </c:pt>
                <c:pt idx="617">
                  <c:v>-1.074015007293419E-2</c:v>
                </c:pt>
                <c:pt idx="618">
                  <c:v>-6.4108406563714707E-2</c:v>
                </c:pt>
                <c:pt idx="619">
                  <c:v>-8.172340601971613E-2</c:v>
                </c:pt>
                <c:pt idx="620">
                  <c:v>1.8099111445277823E-2</c:v>
                </c:pt>
                <c:pt idx="621">
                  <c:v>7.5175904263053484E-2</c:v>
                </c:pt>
                <c:pt idx="622">
                  <c:v>7.5738341929157561E-3</c:v>
                </c:pt>
                <c:pt idx="623">
                  <c:v>-1.5573832559794278E-2</c:v>
                </c:pt>
                <c:pt idx="624">
                  <c:v>-2.0766211305560379E-2</c:v>
                </c:pt>
                <c:pt idx="625">
                  <c:v>3.6738893618839058E-2</c:v>
                </c:pt>
                <c:pt idx="626">
                  <c:v>-6.1417626159139961E-2</c:v>
                </c:pt>
                <c:pt idx="627">
                  <c:v>-9.081481076045431E-3</c:v>
                </c:pt>
                <c:pt idx="628">
                  <c:v>-7.2455354417573711E-2</c:v>
                </c:pt>
                <c:pt idx="629">
                  <c:v>-7.9004274966125249E-2</c:v>
                </c:pt>
                <c:pt idx="630">
                  <c:v>4.8814330800192847E-3</c:v>
                </c:pt>
                <c:pt idx="631">
                  <c:v>-0.11002431826151908</c:v>
                </c:pt>
                <c:pt idx="632">
                  <c:v>8.6448801016809837E-2</c:v>
                </c:pt>
                <c:pt idx="633">
                  <c:v>5.7069620923617885E-2</c:v>
                </c:pt>
                <c:pt idx="634">
                  <c:v>-6.0332572674290638E-2</c:v>
                </c:pt>
                <c:pt idx="635">
                  <c:v>-2.7414692559952228E-2</c:v>
                </c:pt>
                <c:pt idx="636">
                  <c:v>-1.7003608502929392E-2</c:v>
                </c:pt>
                <c:pt idx="637">
                  <c:v>8.3575685661514496E-3</c:v>
                </c:pt>
                <c:pt idx="638">
                  <c:v>8.1044106872726049E-2</c:v>
                </c:pt>
                <c:pt idx="639">
                  <c:v>5.0898709664177928E-2</c:v>
                </c:pt>
                <c:pt idx="640">
                  <c:v>1.132221452516137E-2</c:v>
                </c:pt>
                <c:pt idx="641">
                  <c:v>1.6223702411493023E-2</c:v>
                </c:pt>
                <c:pt idx="642">
                  <c:v>1.7873203376464364E-2</c:v>
                </c:pt>
                <c:pt idx="643">
                  <c:v>-1.1944364520745165E-2</c:v>
                </c:pt>
                <c:pt idx="644">
                  <c:v>5.4961486384010702E-2</c:v>
                </c:pt>
                <c:pt idx="645">
                  <c:v>7.1285038478854151E-3</c:v>
                </c:pt>
                <c:pt idx="646">
                  <c:v>5.0765541001239284E-2</c:v>
                </c:pt>
                <c:pt idx="647">
                  <c:v>1.7276387006114644E-2</c:v>
                </c:pt>
                <c:pt idx="648">
                  <c:v>1.2208973273589456E-2</c:v>
                </c:pt>
                <c:pt idx="649">
                  <c:v>-1.6358919214261271E-2</c:v>
                </c:pt>
                <c:pt idx="650">
                  <c:v>-1.6790751862298683E-2</c:v>
                </c:pt>
                <c:pt idx="651">
                  <c:v>1.2083450201310325E-2</c:v>
                </c:pt>
                <c:pt idx="652">
                  <c:v>1.7988998669195622E-2</c:v>
                </c:pt>
                <c:pt idx="653">
                  <c:v>-3.4290519411904981E-2</c:v>
                </c:pt>
                <c:pt idx="654">
                  <c:v>2.2873498405522209E-3</c:v>
                </c:pt>
                <c:pt idx="655">
                  <c:v>9.3638756915514383E-3</c:v>
                </c:pt>
                <c:pt idx="656">
                  <c:v>1.4014243586487049E-2</c:v>
                </c:pt>
                <c:pt idx="657">
                  <c:v>3.8594936198152442E-2</c:v>
                </c:pt>
                <c:pt idx="658">
                  <c:v>3.2458213144045421E-2</c:v>
                </c:pt>
                <c:pt idx="659">
                  <c:v>-2.5290467099494587E-2</c:v>
                </c:pt>
                <c:pt idx="660">
                  <c:v>1.8903346078316657E-2</c:v>
                </c:pt>
                <c:pt idx="661">
                  <c:v>-1.9117655748441098E-2</c:v>
                </c:pt>
                <c:pt idx="662">
                  <c:v>-2.0108581881679344E-2</c:v>
                </c:pt>
                <c:pt idx="663">
                  <c:v>2.9952046262565708E-2</c:v>
                </c:pt>
                <c:pt idx="664">
                  <c:v>-1.4271422576580921E-4</c:v>
                </c:pt>
                <c:pt idx="665">
                  <c:v>3.5968287193812398E-2</c:v>
                </c:pt>
                <c:pt idx="666">
                  <c:v>-1.1222104874496611E-2</c:v>
                </c:pt>
                <c:pt idx="667">
                  <c:v>6.9490246947603992E-3</c:v>
                </c:pt>
                <c:pt idx="668">
                  <c:v>-1.7740780066319385E-2</c:v>
                </c:pt>
                <c:pt idx="669">
                  <c:v>3.518609592972647E-2</c:v>
                </c:pt>
                <c:pt idx="670">
                  <c:v>-9.5234899241850176E-4</c:v>
                </c:pt>
                <c:pt idx="671">
                  <c:v>2.5466771348641722E-2</c:v>
                </c:pt>
                <c:pt idx="672">
                  <c:v>4.5315763072534016E-4</c:v>
                </c:pt>
                <c:pt idx="673">
                  <c:v>1.1095810459249501E-2</c:v>
                </c:pt>
                <c:pt idx="674">
                  <c:v>1.215565273794149E-2</c:v>
                </c:pt>
                <c:pt idx="675">
                  <c:v>-3.0916916141150906E-2</c:v>
                </c:pt>
                <c:pt idx="676">
                  <c:v>8.659622778253766E-5</c:v>
                </c:pt>
                <c:pt idx="677">
                  <c:v>5.085878797990869E-3</c:v>
                </c:pt>
                <c:pt idx="678">
                  <c:v>2.127419303234809E-2</c:v>
                </c:pt>
                <c:pt idx="679">
                  <c:v>2.4566298512509407E-2</c:v>
                </c:pt>
                <c:pt idx="680">
                  <c:v>3.1508002961554211E-2</c:v>
                </c:pt>
                <c:pt idx="681">
                  <c:v>1.6466656727820252E-2</c:v>
                </c:pt>
                <c:pt idx="682">
                  <c:v>1.2615782852659909E-2</c:v>
                </c:pt>
                <c:pt idx="683">
                  <c:v>1.4059042735039834E-2</c:v>
                </c:pt>
                <c:pt idx="684">
                  <c:v>-2.1846176033528286E-2</c:v>
                </c:pt>
                <c:pt idx="685">
                  <c:v>9.9799828968304798E-3</c:v>
                </c:pt>
                <c:pt idx="686">
                  <c:v>4.329069060242411E-2</c:v>
                </c:pt>
                <c:pt idx="687">
                  <c:v>3.254922870993486E-2</c:v>
                </c:pt>
                <c:pt idx="688">
                  <c:v>-1.7816322202167525E-2</c:v>
                </c:pt>
                <c:pt idx="689">
                  <c:v>-3.1981878316802555E-2</c:v>
                </c:pt>
                <c:pt idx="690">
                  <c:v>1.2863571531556806E-2</c:v>
                </c:pt>
                <c:pt idx="691">
                  <c:v>3.5794008343299509E-2</c:v>
                </c:pt>
                <c:pt idx="692">
                  <c:v>1.4822338300311107E-2</c:v>
                </c:pt>
                <c:pt idx="693">
                  <c:v>-4.4043417224814412E-2</c:v>
                </c:pt>
                <c:pt idx="694">
                  <c:v>-8.6285090339686069E-3</c:v>
                </c:pt>
                <c:pt idx="695">
                  <c:v>-6.1163431935936409E-2</c:v>
                </c:pt>
                <c:pt idx="696">
                  <c:v>-3.4761192772624509E-2</c:v>
                </c:pt>
                <c:pt idx="697">
                  <c:v>-5.9596236145298166E-3</c:v>
                </c:pt>
                <c:pt idx="698">
                  <c:v>4.754669791319887E-2</c:v>
                </c:pt>
                <c:pt idx="699">
                  <c:v>1.0674181657577029E-2</c:v>
                </c:pt>
                <c:pt idx="700">
                  <c:v>-8.5962384902803571E-2</c:v>
                </c:pt>
                <c:pt idx="701">
                  <c:v>-9.8593710937500134E-3</c:v>
                </c:pt>
                <c:pt idx="702">
                  <c:v>1.2190464532379975E-2</c:v>
                </c:pt>
                <c:pt idx="703">
                  <c:v>-9.0791433779084579E-2</c:v>
                </c:pt>
                <c:pt idx="704">
                  <c:v>-0.16942452376741993</c:v>
                </c:pt>
                <c:pt idx="705">
                  <c:v>-7.484904258064512E-2</c:v>
                </c:pt>
                <c:pt idx="706">
                  <c:v>7.8215768970540632E-3</c:v>
                </c:pt>
                <c:pt idx="707">
                  <c:v>-8.5657342928314437E-2</c:v>
                </c:pt>
                <c:pt idx="708">
                  <c:v>-0.10993119757149226</c:v>
                </c:pt>
                <c:pt idx="709">
                  <c:v>8.5404461622494654E-2</c:v>
                </c:pt>
                <c:pt idx="710">
                  <c:v>9.3925079862164682E-2</c:v>
                </c:pt>
                <c:pt idx="711">
                  <c:v>5.3081446255385356E-2</c:v>
                </c:pt>
                <c:pt idx="712">
                  <c:v>1.958265303029853E-4</c:v>
                </c:pt>
                <c:pt idx="713">
                  <c:v>7.4141727016716522E-2</c:v>
                </c:pt>
                <c:pt idx="714">
                  <c:v>3.3560189240494843E-2</c:v>
                </c:pt>
                <c:pt idx="715">
                  <c:v>3.5723345788458732E-2</c:v>
                </c:pt>
                <c:pt idx="716">
                  <c:v>-1.976200086041547E-2</c:v>
                </c:pt>
                <c:pt idx="717">
                  <c:v>5.7364061981373636E-2</c:v>
                </c:pt>
                <c:pt idx="718">
                  <c:v>1.7770571188400402E-2</c:v>
                </c:pt>
                <c:pt idx="719">
                  <c:v>-3.6974246154947411E-2</c:v>
                </c:pt>
                <c:pt idx="720">
                  <c:v>2.8513688940531405E-2</c:v>
                </c:pt>
                <c:pt idx="721">
                  <c:v>5.879642603189178E-2</c:v>
                </c:pt>
                <c:pt idx="722">
                  <c:v>1.4759229883791036E-2</c:v>
                </c:pt>
                <c:pt idx="723">
                  <c:v>-8.1975841910334427E-2</c:v>
                </c:pt>
                <c:pt idx="724">
                  <c:v>-5.3882442026415164E-2</c:v>
                </c:pt>
                <c:pt idx="725">
                  <c:v>6.8777849911552322E-2</c:v>
                </c:pt>
                <c:pt idx="726">
                  <c:v>-4.7449184040287175E-2</c:v>
                </c:pt>
                <c:pt idx="727">
                  <c:v>8.7551102944020034E-2</c:v>
                </c:pt>
                <c:pt idx="728">
                  <c:v>3.6855994397076437E-2</c:v>
                </c:pt>
                <c:pt idx="729">
                  <c:v>-2.2902497989431936E-3</c:v>
                </c:pt>
                <c:pt idx="730">
                  <c:v>6.5300040489854744E-2</c:v>
                </c:pt>
                <c:pt idx="731">
                  <c:v>2.2645573980086878E-2</c:v>
                </c:pt>
                <c:pt idx="732">
                  <c:v>3.1956564052952129E-2</c:v>
                </c:pt>
                <c:pt idx="733">
                  <c:v>-1.0473132038185315E-3</c:v>
                </c:pt>
                <c:pt idx="734">
                  <c:v>2.8495380443795019E-2</c:v>
                </c:pt>
                <c:pt idx="735">
                  <c:v>-1.3500952766930637E-2</c:v>
                </c:pt>
                <c:pt idx="736">
                  <c:v>-1.8257461265697078E-2</c:v>
                </c:pt>
                <c:pt idx="737">
                  <c:v>-2.1474425791952044E-2</c:v>
                </c:pt>
                <c:pt idx="738">
                  <c:v>-5.6791107463597633E-2</c:v>
                </c:pt>
                <c:pt idx="739">
                  <c:v>-7.1761988303760113E-2</c:v>
                </c:pt>
                <c:pt idx="740">
                  <c:v>0.10772303853581013</c:v>
                </c:pt>
                <c:pt idx="741">
                  <c:v>-5.0587151935872331E-3</c:v>
                </c:pt>
                <c:pt idx="742">
                  <c:v>8.5327639481440794E-3</c:v>
                </c:pt>
                <c:pt idx="743">
                  <c:v>4.3583062218506295E-2</c:v>
                </c:pt>
                <c:pt idx="744">
                  <c:v>4.058946413084185E-2</c:v>
                </c:pt>
                <c:pt idx="745">
                  <c:v>3.1332314530530633E-2</c:v>
                </c:pt>
                <c:pt idx="746">
                  <c:v>-7.4974527092704279E-3</c:v>
                </c:pt>
                <c:pt idx="747">
                  <c:v>-6.2650725633177598E-2</c:v>
                </c:pt>
                <c:pt idx="748">
                  <c:v>3.9554982134591417E-2</c:v>
                </c:pt>
                <c:pt idx="749">
                  <c:v>1.2597574126154459E-2</c:v>
                </c:pt>
                <c:pt idx="750">
                  <c:v>1.9763369680148135E-2</c:v>
                </c:pt>
                <c:pt idx="751">
                  <c:v>2.4236153696477046E-2</c:v>
                </c:pt>
                <c:pt idx="752">
                  <c:v>-1.9789409878227443E-2</c:v>
                </c:pt>
                <c:pt idx="753">
                  <c:v>2.8467170173433272E-3</c:v>
                </c:pt>
                <c:pt idx="754">
                  <c:v>7.0682304638645639E-3</c:v>
                </c:pt>
                <c:pt idx="755">
                  <c:v>5.0428096519578497E-2</c:v>
                </c:pt>
                <c:pt idx="756">
                  <c:v>1.1060649195259101E-2</c:v>
                </c:pt>
                <c:pt idx="757">
                  <c:v>3.5987723516956123E-2</c:v>
                </c:pt>
                <c:pt idx="758">
                  <c:v>1.8085767859252408E-2</c:v>
                </c:pt>
                <c:pt idx="759">
                  <c:v>2.0762811721046208E-2</c:v>
                </c:pt>
                <c:pt idx="760">
                  <c:v>-1.4999301636062792E-2</c:v>
                </c:pt>
                <c:pt idx="761">
                  <c:v>4.9462079815225081E-2</c:v>
                </c:pt>
                <c:pt idx="762">
                  <c:v>-3.1298019033866906E-2</c:v>
                </c:pt>
                <c:pt idx="763">
                  <c:v>2.9749523177239098E-2</c:v>
                </c:pt>
                <c:pt idx="764">
                  <c:v>4.45957526180061E-2</c:v>
                </c:pt>
                <c:pt idx="765">
                  <c:v>2.8049471635186524E-2</c:v>
                </c:pt>
                <c:pt idx="766">
                  <c:v>2.3562791550492821E-2</c:v>
                </c:pt>
                <c:pt idx="767">
                  <c:v>-3.5582905675162646E-2</c:v>
                </c:pt>
                <c:pt idx="768">
                  <c:v>4.3117029976595334E-2</c:v>
                </c:pt>
                <c:pt idx="769">
                  <c:v>6.9321656079357136E-3</c:v>
                </c:pt>
                <c:pt idx="770">
                  <c:v>6.2007889650527552E-3</c:v>
                </c:pt>
                <c:pt idx="771">
                  <c:v>2.103028001299596E-2</c:v>
                </c:pt>
                <c:pt idx="772">
                  <c:v>1.9058331658920603E-2</c:v>
                </c:pt>
                <c:pt idx="773">
                  <c:v>-1.5079830581919834E-2</c:v>
                </c:pt>
                <c:pt idx="774">
                  <c:v>3.7655295489735195E-2</c:v>
                </c:pt>
                <c:pt idx="775">
                  <c:v>-1.5513837223063749E-2</c:v>
                </c:pt>
                <c:pt idx="776">
                  <c:v>2.3201460786772227E-2</c:v>
                </c:pt>
                <c:pt idx="777">
                  <c:v>2.4533588760364766E-2</c:v>
                </c:pt>
                <c:pt idx="778">
                  <c:v>-4.1885878779204062E-3</c:v>
                </c:pt>
                <c:pt idx="779">
                  <c:v>-3.1040805790470173E-2</c:v>
                </c:pt>
                <c:pt idx="780">
                  <c:v>5.4892511014553995E-2</c:v>
                </c:pt>
                <c:pt idx="781">
                  <c:v>-1.7396106913756221E-2</c:v>
                </c:pt>
                <c:pt idx="782">
                  <c:v>8.5208197301247391E-3</c:v>
                </c:pt>
                <c:pt idx="783">
                  <c:v>1.0491382393316857E-2</c:v>
                </c:pt>
                <c:pt idx="784">
                  <c:v>-2.1011672375900521E-2</c:v>
                </c:pt>
                <c:pt idx="785">
                  <c:v>1.9742029696721345E-2</c:v>
                </c:pt>
                <c:pt idx="786">
                  <c:v>-6.2580818167202831E-2</c:v>
                </c:pt>
                <c:pt idx="787">
                  <c:v>-2.6442831573227094E-2</c:v>
                </c:pt>
                <c:pt idx="788">
                  <c:v>8.2983117760394132E-2</c:v>
                </c:pt>
                <c:pt idx="789">
                  <c:v>5.0486926072401835E-4</c:v>
                </c:pt>
                <c:pt idx="790">
                  <c:v>-1.7530185176314418E-2</c:v>
                </c:pt>
                <c:pt idx="791">
                  <c:v>-5.073532197294639E-2</c:v>
                </c:pt>
                <c:pt idx="792">
                  <c:v>-4.1283604302991229E-3</c:v>
                </c:pt>
                <c:pt idx="793">
                  <c:v>6.5991114577365145E-2</c:v>
                </c:pt>
                <c:pt idx="794">
                  <c:v>2.6993984808732631E-3</c:v>
                </c:pt>
                <c:pt idx="795">
                  <c:v>1.5324602357572555E-2</c:v>
                </c:pt>
                <c:pt idx="796">
                  <c:v>9.1092112097811118E-4</c:v>
                </c:pt>
                <c:pt idx="797">
                  <c:v>3.5609801125254283E-2</c:v>
                </c:pt>
                <c:pt idx="798">
                  <c:v>-1.2192431360480338E-3</c:v>
                </c:pt>
                <c:pt idx="799">
                  <c:v>-1.2344508443253945E-3</c:v>
                </c:pt>
                <c:pt idx="800">
                  <c:v>-1.9425679279557545E-2</c:v>
                </c:pt>
                <c:pt idx="801">
                  <c:v>3.4174522187570479E-2</c:v>
                </c:pt>
                <c:pt idx="802">
                  <c:v>1.8200762196895176E-2</c:v>
                </c:pt>
                <c:pt idx="803">
                  <c:v>1.7884358171464578E-2</c:v>
                </c:pt>
                <c:pt idx="804">
                  <c:v>3.719816033727915E-2</c:v>
                </c:pt>
                <c:pt idx="805">
                  <c:v>-3.8919718808453973E-4</c:v>
                </c:pt>
                <c:pt idx="806">
                  <c:v>9.0912085493182089E-3</c:v>
                </c:pt>
                <c:pt idx="807">
                  <c:v>1.1576251391341417E-2</c:v>
                </c:pt>
                <c:pt idx="808">
                  <c:v>4.8137750908554414E-3</c:v>
                </c:pt>
                <c:pt idx="809">
                  <c:v>1.9348826118030613E-2</c:v>
                </c:pt>
                <c:pt idx="810">
                  <c:v>5.4643281108568138E-4</c:v>
                </c:pt>
                <c:pt idx="811">
                  <c:v>1.9302978533243684E-2</c:v>
                </c:pt>
                <c:pt idx="812">
                  <c:v>2.2188135330349579E-2</c:v>
                </c:pt>
                <c:pt idx="813">
                  <c:v>3.7200430103366371E-3</c:v>
                </c:pt>
                <c:pt idx="814">
                  <c:v>3.4342557364422946E-2</c:v>
                </c:pt>
                <c:pt idx="815">
                  <c:v>5.6178704444133053E-2</c:v>
                </c:pt>
                <c:pt idx="816">
                  <c:v>-3.8947372061896871E-2</c:v>
                </c:pt>
                <c:pt idx="817">
                  <c:v>-2.6884498624825112E-2</c:v>
                </c:pt>
                <c:pt idx="818">
                  <c:v>2.7187751316434801E-3</c:v>
                </c:pt>
                <c:pt idx="819">
                  <c:v>2.1608341965291905E-2</c:v>
                </c:pt>
                <c:pt idx="820">
                  <c:v>4.8424360241866009E-3</c:v>
                </c:pt>
                <c:pt idx="821">
                  <c:v>3.6021556221367206E-2</c:v>
                </c:pt>
                <c:pt idx="822">
                  <c:v>3.0263211466054526E-2</c:v>
                </c:pt>
                <c:pt idx="823">
                  <c:v>4.2942871026614999E-3</c:v>
                </c:pt>
                <c:pt idx="824">
                  <c:v>-6.9403356024429527E-2</c:v>
                </c:pt>
                <c:pt idx="825">
                  <c:v>1.7859356788849069E-2</c:v>
                </c:pt>
                <c:pt idx="826">
                  <c:v>-9.1776894596563949E-2</c:v>
                </c:pt>
                <c:pt idx="827">
                  <c:v>7.8684401655036665E-2</c:v>
                </c:pt>
                <c:pt idx="828">
                  <c:v>2.9728889126352211E-2</c:v>
                </c:pt>
                <c:pt idx="829">
                  <c:v>1.7924256211817115E-2</c:v>
                </c:pt>
                <c:pt idx="830">
                  <c:v>2.5635111315354467E-2</c:v>
                </c:pt>
              </c:numCache>
            </c:numRef>
          </c:val>
          <c:smooth val="0"/>
          <c:extLst>
            <c:ext xmlns:c16="http://schemas.microsoft.com/office/drawing/2014/chart" uri="{C3380CC4-5D6E-409C-BE32-E72D297353CC}">
              <c16:uniqueId val="{00000000-EA26-0449-B24E-CC1C2E4CC487}"/>
            </c:ext>
          </c:extLst>
        </c:ser>
        <c:dLbls>
          <c:showLegendKey val="0"/>
          <c:showVal val="0"/>
          <c:showCatName val="0"/>
          <c:showSerName val="0"/>
          <c:showPercent val="0"/>
          <c:showBubbleSize val="0"/>
        </c:dLbls>
        <c:marker val="1"/>
        <c:smooth val="0"/>
        <c:axId val="831590079"/>
        <c:axId val="789380063"/>
      </c:lineChart>
      <c:lineChart>
        <c:grouping val="standard"/>
        <c:varyColors val="0"/>
        <c:ser>
          <c:idx val="1"/>
          <c:order val="1"/>
          <c:tx>
            <c:strRef>
              <c:f>'PMI Analysis'!$AB$1</c:f>
              <c:strCache>
                <c:ptCount val="1"/>
                <c:pt idx="0">
                  <c:v>PMI(lagged)</c:v>
                </c:pt>
              </c:strCache>
            </c:strRef>
          </c:tx>
          <c:spPr>
            <a:ln w="12700" cap="rnd">
              <a:solidFill>
                <a:schemeClr val="accent2"/>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Analysis'!$AB$2:$AB$834</c:f>
              <c:numCache>
                <c:formatCode>General</c:formatCode>
                <c:ptCount val="833"/>
                <c:pt idx="13">
                  <c:v>59.1</c:v>
                </c:pt>
                <c:pt idx="14">
                  <c:v>60.5</c:v>
                </c:pt>
                <c:pt idx="15">
                  <c:v>62.1</c:v>
                </c:pt>
                <c:pt idx="16">
                  <c:v>68.099999999999994</c:v>
                </c:pt>
                <c:pt idx="17">
                  <c:v>74.7</c:v>
                </c:pt>
                <c:pt idx="18">
                  <c:v>76.599999999999994</c:v>
                </c:pt>
                <c:pt idx="19">
                  <c:v>77.5</c:v>
                </c:pt>
                <c:pt idx="20">
                  <c:v>75.8</c:v>
                </c:pt>
                <c:pt idx="21">
                  <c:v>68.099999999999994</c:v>
                </c:pt>
                <c:pt idx="22">
                  <c:v>59.2</c:v>
                </c:pt>
                <c:pt idx="23">
                  <c:v>63.1</c:v>
                </c:pt>
                <c:pt idx="24">
                  <c:v>67.099999999999994</c:v>
                </c:pt>
                <c:pt idx="25">
                  <c:v>67.8</c:v>
                </c:pt>
                <c:pt idx="26">
                  <c:v>69.3</c:v>
                </c:pt>
                <c:pt idx="27">
                  <c:v>65.5</c:v>
                </c:pt>
                <c:pt idx="28">
                  <c:v>53.5</c:v>
                </c:pt>
                <c:pt idx="29">
                  <c:v>50.7</c:v>
                </c:pt>
                <c:pt idx="30">
                  <c:v>45.5</c:v>
                </c:pt>
                <c:pt idx="31">
                  <c:v>42.1</c:v>
                </c:pt>
                <c:pt idx="32">
                  <c:v>43.6</c:v>
                </c:pt>
                <c:pt idx="33">
                  <c:v>48.1</c:v>
                </c:pt>
                <c:pt idx="34">
                  <c:v>49.6</c:v>
                </c:pt>
                <c:pt idx="35">
                  <c:v>47.2</c:v>
                </c:pt>
                <c:pt idx="36">
                  <c:v>46.5</c:v>
                </c:pt>
                <c:pt idx="37">
                  <c:v>44.7</c:v>
                </c:pt>
                <c:pt idx="38">
                  <c:v>41.8</c:v>
                </c:pt>
                <c:pt idx="39">
                  <c:v>40</c:v>
                </c:pt>
                <c:pt idx="40">
                  <c:v>36.700000000000003</c:v>
                </c:pt>
                <c:pt idx="41">
                  <c:v>39.5</c:v>
                </c:pt>
                <c:pt idx="42">
                  <c:v>43.3</c:v>
                </c:pt>
                <c:pt idx="43">
                  <c:v>48.3</c:v>
                </c:pt>
                <c:pt idx="44">
                  <c:v>60.4</c:v>
                </c:pt>
                <c:pt idx="45">
                  <c:v>56.1</c:v>
                </c:pt>
                <c:pt idx="46">
                  <c:v>56.2</c:v>
                </c:pt>
                <c:pt idx="47">
                  <c:v>56.8</c:v>
                </c:pt>
                <c:pt idx="48">
                  <c:v>55.8</c:v>
                </c:pt>
                <c:pt idx="49">
                  <c:v>59.4</c:v>
                </c:pt>
                <c:pt idx="50">
                  <c:v>55.4</c:v>
                </c:pt>
                <c:pt idx="51">
                  <c:v>50.5</c:v>
                </c:pt>
                <c:pt idx="52">
                  <c:v>51.1</c:v>
                </c:pt>
                <c:pt idx="53">
                  <c:v>48.9</c:v>
                </c:pt>
                <c:pt idx="54">
                  <c:v>48.5</c:v>
                </c:pt>
                <c:pt idx="55">
                  <c:v>46.3</c:v>
                </c:pt>
                <c:pt idx="56">
                  <c:v>43.5</c:v>
                </c:pt>
                <c:pt idx="57">
                  <c:v>40.200000000000003</c:v>
                </c:pt>
                <c:pt idx="58">
                  <c:v>37.4</c:v>
                </c:pt>
                <c:pt idx="59">
                  <c:v>36.9</c:v>
                </c:pt>
                <c:pt idx="60">
                  <c:v>35.6</c:v>
                </c:pt>
                <c:pt idx="61">
                  <c:v>37.4</c:v>
                </c:pt>
                <c:pt idx="62">
                  <c:v>40.700000000000003</c:v>
                </c:pt>
                <c:pt idx="63">
                  <c:v>44.7</c:v>
                </c:pt>
                <c:pt idx="64">
                  <c:v>47.7</c:v>
                </c:pt>
                <c:pt idx="65">
                  <c:v>50.1</c:v>
                </c:pt>
                <c:pt idx="66">
                  <c:v>52.1</c:v>
                </c:pt>
                <c:pt idx="67">
                  <c:v>51.7</c:v>
                </c:pt>
                <c:pt idx="68">
                  <c:v>54.4</c:v>
                </c:pt>
                <c:pt idx="69">
                  <c:v>53.5</c:v>
                </c:pt>
                <c:pt idx="70">
                  <c:v>58.2</c:v>
                </c:pt>
                <c:pt idx="71">
                  <c:v>58.8</c:v>
                </c:pt>
                <c:pt idx="72">
                  <c:v>63.8</c:v>
                </c:pt>
                <c:pt idx="73">
                  <c:v>63</c:v>
                </c:pt>
                <c:pt idx="74">
                  <c:v>67.8</c:v>
                </c:pt>
                <c:pt idx="75">
                  <c:v>67.5</c:v>
                </c:pt>
                <c:pt idx="76">
                  <c:v>68.7</c:v>
                </c:pt>
                <c:pt idx="77">
                  <c:v>69.5</c:v>
                </c:pt>
                <c:pt idx="78">
                  <c:v>63.3</c:v>
                </c:pt>
                <c:pt idx="79">
                  <c:v>66.2</c:v>
                </c:pt>
                <c:pt idx="80">
                  <c:v>64.8</c:v>
                </c:pt>
                <c:pt idx="81">
                  <c:v>62.4</c:v>
                </c:pt>
                <c:pt idx="82">
                  <c:v>63.7</c:v>
                </c:pt>
                <c:pt idx="83">
                  <c:v>62</c:v>
                </c:pt>
                <c:pt idx="84">
                  <c:v>65.599999999999994</c:v>
                </c:pt>
                <c:pt idx="85">
                  <c:v>60.2</c:v>
                </c:pt>
                <c:pt idx="86">
                  <c:v>58.2</c:v>
                </c:pt>
                <c:pt idx="87">
                  <c:v>57.2</c:v>
                </c:pt>
                <c:pt idx="88">
                  <c:v>55.9</c:v>
                </c:pt>
                <c:pt idx="89">
                  <c:v>51.2</c:v>
                </c:pt>
                <c:pt idx="90">
                  <c:v>47.7</c:v>
                </c:pt>
                <c:pt idx="91">
                  <c:v>44.2</c:v>
                </c:pt>
                <c:pt idx="92">
                  <c:v>51.5</c:v>
                </c:pt>
                <c:pt idx="93">
                  <c:v>55.5</c:v>
                </c:pt>
                <c:pt idx="94">
                  <c:v>52.7</c:v>
                </c:pt>
                <c:pt idx="95">
                  <c:v>55</c:v>
                </c:pt>
                <c:pt idx="96">
                  <c:v>52.7</c:v>
                </c:pt>
                <c:pt idx="97">
                  <c:v>53.6</c:v>
                </c:pt>
                <c:pt idx="98">
                  <c:v>51</c:v>
                </c:pt>
                <c:pt idx="99">
                  <c:v>47.5</c:v>
                </c:pt>
                <c:pt idx="100">
                  <c:v>43.1</c:v>
                </c:pt>
                <c:pt idx="101">
                  <c:v>43.4</c:v>
                </c:pt>
                <c:pt idx="102">
                  <c:v>45.9</c:v>
                </c:pt>
                <c:pt idx="103">
                  <c:v>45.7</c:v>
                </c:pt>
                <c:pt idx="104">
                  <c:v>45.3</c:v>
                </c:pt>
                <c:pt idx="105">
                  <c:v>45.8</c:v>
                </c:pt>
                <c:pt idx="106">
                  <c:v>41.1</c:v>
                </c:pt>
                <c:pt idx="107">
                  <c:v>40.4</c:v>
                </c:pt>
                <c:pt idx="108">
                  <c:v>36.799999999999997</c:v>
                </c:pt>
                <c:pt idx="109">
                  <c:v>33.4</c:v>
                </c:pt>
                <c:pt idx="110">
                  <c:v>37.200000000000003</c:v>
                </c:pt>
                <c:pt idx="111">
                  <c:v>39.799999999999997</c:v>
                </c:pt>
                <c:pt idx="112">
                  <c:v>39.1</c:v>
                </c:pt>
                <c:pt idx="113">
                  <c:v>46.6</c:v>
                </c:pt>
                <c:pt idx="114">
                  <c:v>51.4</c:v>
                </c:pt>
                <c:pt idx="115">
                  <c:v>54.7</c:v>
                </c:pt>
                <c:pt idx="116">
                  <c:v>57.3</c:v>
                </c:pt>
                <c:pt idx="117">
                  <c:v>59.8</c:v>
                </c:pt>
                <c:pt idx="118">
                  <c:v>62.3</c:v>
                </c:pt>
                <c:pt idx="119">
                  <c:v>62.7</c:v>
                </c:pt>
                <c:pt idx="120">
                  <c:v>60.5</c:v>
                </c:pt>
                <c:pt idx="121">
                  <c:v>64.400000000000006</c:v>
                </c:pt>
                <c:pt idx="122">
                  <c:v>66.900000000000006</c:v>
                </c:pt>
                <c:pt idx="123">
                  <c:v>67.099999999999994</c:v>
                </c:pt>
                <c:pt idx="124">
                  <c:v>66.900000000000006</c:v>
                </c:pt>
                <c:pt idx="125">
                  <c:v>68.2</c:v>
                </c:pt>
                <c:pt idx="126">
                  <c:v>64.400000000000006</c:v>
                </c:pt>
                <c:pt idx="127">
                  <c:v>61.5</c:v>
                </c:pt>
                <c:pt idx="128">
                  <c:v>55.1</c:v>
                </c:pt>
                <c:pt idx="129">
                  <c:v>48.3</c:v>
                </c:pt>
                <c:pt idx="130">
                  <c:v>49.7</c:v>
                </c:pt>
                <c:pt idx="131">
                  <c:v>50.6</c:v>
                </c:pt>
                <c:pt idx="132">
                  <c:v>58.2</c:v>
                </c:pt>
                <c:pt idx="133">
                  <c:v>61.5</c:v>
                </c:pt>
                <c:pt idx="134">
                  <c:v>52.3</c:v>
                </c:pt>
                <c:pt idx="135">
                  <c:v>47.8</c:v>
                </c:pt>
                <c:pt idx="136">
                  <c:v>45.3</c:v>
                </c:pt>
                <c:pt idx="137">
                  <c:v>42.6</c:v>
                </c:pt>
                <c:pt idx="138">
                  <c:v>44.4</c:v>
                </c:pt>
                <c:pt idx="139">
                  <c:v>43.7</c:v>
                </c:pt>
                <c:pt idx="140">
                  <c:v>47.6</c:v>
                </c:pt>
                <c:pt idx="141">
                  <c:v>45.4</c:v>
                </c:pt>
                <c:pt idx="142">
                  <c:v>46</c:v>
                </c:pt>
                <c:pt idx="143">
                  <c:v>44.3</c:v>
                </c:pt>
                <c:pt idx="144">
                  <c:v>44.3</c:v>
                </c:pt>
                <c:pt idx="145">
                  <c:v>43.9</c:v>
                </c:pt>
                <c:pt idx="146">
                  <c:v>43.6</c:v>
                </c:pt>
                <c:pt idx="147">
                  <c:v>49.1</c:v>
                </c:pt>
                <c:pt idx="148">
                  <c:v>57.6</c:v>
                </c:pt>
                <c:pt idx="149">
                  <c:v>58.9</c:v>
                </c:pt>
                <c:pt idx="150">
                  <c:v>58.1</c:v>
                </c:pt>
                <c:pt idx="151">
                  <c:v>58.2</c:v>
                </c:pt>
                <c:pt idx="152">
                  <c:v>60.7</c:v>
                </c:pt>
                <c:pt idx="153">
                  <c:v>63</c:v>
                </c:pt>
                <c:pt idx="154">
                  <c:v>62.2</c:v>
                </c:pt>
                <c:pt idx="155">
                  <c:v>59</c:v>
                </c:pt>
                <c:pt idx="156">
                  <c:v>64.2</c:v>
                </c:pt>
                <c:pt idx="157">
                  <c:v>60.9</c:v>
                </c:pt>
                <c:pt idx="158">
                  <c:v>61.1</c:v>
                </c:pt>
                <c:pt idx="159">
                  <c:v>60.6</c:v>
                </c:pt>
                <c:pt idx="160">
                  <c:v>55.1</c:v>
                </c:pt>
                <c:pt idx="161">
                  <c:v>52.2</c:v>
                </c:pt>
                <c:pt idx="162">
                  <c:v>50.8</c:v>
                </c:pt>
                <c:pt idx="163">
                  <c:v>51</c:v>
                </c:pt>
                <c:pt idx="164">
                  <c:v>49.5</c:v>
                </c:pt>
                <c:pt idx="165">
                  <c:v>50</c:v>
                </c:pt>
                <c:pt idx="166">
                  <c:v>51.2</c:v>
                </c:pt>
                <c:pt idx="167">
                  <c:v>53.8</c:v>
                </c:pt>
                <c:pt idx="168">
                  <c:v>57.2</c:v>
                </c:pt>
                <c:pt idx="169">
                  <c:v>55.2</c:v>
                </c:pt>
                <c:pt idx="170">
                  <c:v>55.1</c:v>
                </c:pt>
                <c:pt idx="171">
                  <c:v>54.7</c:v>
                </c:pt>
                <c:pt idx="172">
                  <c:v>57.6</c:v>
                </c:pt>
                <c:pt idx="173">
                  <c:v>59.8</c:v>
                </c:pt>
                <c:pt idx="174">
                  <c:v>58.2</c:v>
                </c:pt>
                <c:pt idx="175">
                  <c:v>55.5</c:v>
                </c:pt>
                <c:pt idx="176">
                  <c:v>55.1</c:v>
                </c:pt>
                <c:pt idx="177">
                  <c:v>56.9</c:v>
                </c:pt>
                <c:pt idx="178">
                  <c:v>57.7</c:v>
                </c:pt>
                <c:pt idx="179">
                  <c:v>57.5</c:v>
                </c:pt>
                <c:pt idx="180">
                  <c:v>54</c:v>
                </c:pt>
                <c:pt idx="181">
                  <c:v>57.1</c:v>
                </c:pt>
                <c:pt idx="182">
                  <c:v>57.9</c:v>
                </c:pt>
                <c:pt idx="183">
                  <c:v>60.2</c:v>
                </c:pt>
                <c:pt idx="184">
                  <c:v>59.2</c:v>
                </c:pt>
                <c:pt idx="185">
                  <c:v>58.7</c:v>
                </c:pt>
                <c:pt idx="186">
                  <c:v>60.1</c:v>
                </c:pt>
                <c:pt idx="187">
                  <c:v>62.9</c:v>
                </c:pt>
                <c:pt idx="188">
                  <c:v>63.3</c:v>
                </c:pt>
                <c:pt idx="189">
                  <c:v>63.3</c:v>
                </c:pt>
                <c:pt idx="190">
                  <c:v>60.7</c:v>
                </c:pt>
                <c:pt idx="191">
                  <c:v>61.8</c:v>
                </c:pt>
                <c:pt idx="192">
                  <c:v>62.4</c:v>
                </c:pt>
                <c:pt idx="193">
                  <c:v>61</c:v>
                </c:pt>
                <c:pt idx="194">
                  <c:v>62.1</c:v>
                </c:pt>
                <c:pt idx="195">
                  <c:v>64.900000000000006</c:v>
                </c:pt>
                <c:pt idx="196">
                  <c:v>62</c:v>
                </c:pt>
                <c:pt idx="197">
                  <c:v>61.3</c:v>
                </c:pt>
                <c:pt idx="198">
                  <c:v>58.7</c:v>
                </c:pt>
                <c:pt idx="199">
                  <c:v>58.1</c:v>
                </c:pt>
                <c:pt idx="200">
                  <c:v>58.1</c:v>
                </c:pt>
                <c:pt idx="201">
                  <c:v>61</c:v>
                </c:pt>
                <c:pt idx="202">
                  <c:v>58.6</c:v>
                </c:pt>
                <c:pt idx="203">
                  <c:v>59.4</c:v>
                </c:pt>
                <c:pt idx="204">
                  <c:v>62.8</c:v>
                </c:pt>
                <c:pt idx="205">
                  <c:v>65.8</c:v>
                </c:pt>
                <c:pt idx="206">
                  <c:v>65.5</c:v>
                </c:pt>
                <c:pt idx="207">
                  <c:v>65.7</c:v>
                </c:pt>
                <c:pt idx="208">
                  <c:v>64.2</c:v>
                </c:pt>
                <c:pt idx="209">
                  <c:v>57.7</c:v>
                </c:pt>
                <c:pt idx="210">
                  <c:v>59</c:v>
                </c:pt>
                <c:pt idx="211">
                  <c:v>60.3</c:v>
                </c:pt>
                <c:pt idx="212">
                  <c:v>58.5</c:v>
                </c:pt>
                <c:pt idx="213">
                  <c:v>58.7</c:v>
                </c:pt>
                <c:pt idx="214">
                  <c:v>57.2</c:v>
                </c:pt>
                <c:pt idx="215">
                  <c:v>53.7</c:v>
                </c:pt>
                <c:pt idx="216">
                  <c:v>52.4</c:v>
                </c:pt>
                <c:pt idx="217">
                  <c:v>49.1</c:v>
                </c:pt>
                <c:pt idx="218">
                  <c:v>47.6</c:v>
                </c:pt>
                <c:pt idx="219">
                  <c:v>45.3</c:v>
                </c:pt>
                <c:pt idx="220">
                  <c:v>42.8</c:v>
                </c:pt>
                <c:pt idx="221">
                  <c:v>44.5</c:v>
                </c:pt>
                <c:pt idx="222">
                  <c:v>46.8</c:v>
                </c:pt>
                <c:pt idx="223">
                  <c:v>49.5</c:v>
                </c:pt>
                <c:pt idx="224">
                  <c:v>52.2</c:v>
                </c:pt>
                <c:pt idx="225">
                  <c:v>54.9</c:v>
                </c:pt>
                <c:pt idx="226">
                  <c:v>54.1</c:v>
                </c:pt>
                <c:pt idx="227">
                  <c:v>54.2</c:v>
                </c:pt>
                <c:pt idx="228">
                  <c:v>55.6</c:v>
                </c:pt>
                <c:pt idx="229">
                  <c:v>56.6</c:v>
                </c:pt>
                <c:pt idx="230">
                  <c:v>55</c:v>
                </c:pt>
                <c:pt idx="231">
                  <c:v>53.8</c:v>
                </c:pt>
                <c:pt idx="232">
                  <c:v>58</c:v>
                </c:pt>
                <c:pt idx="233">
                  <c:v>55.3</c:v>
                </c:pt>
                <c:pt idx="234">
                  <c:v>53.5</c:v>
                </c:pt>
                <c:pt idx="235">
                  <c:v>54.1</c:v>
                </c:pt>
                <c:pt idx="236">
                  <c:v>52.7</c:v>
                </c:pt>
                <c:pt idx="237">
                  <c:v>51.8</c:v>
                </c:pt>
                <c:pt idx="238">
                  <c:v>55.8</c:v>
                </c:pt>
                <c:pt idx="239">
                  <c:v>58.1</c:v>
                </c:pt>
                <c:pt idx="240">
                  <c:v>56.1</c:v>
                </c:pt>
                <c:pt idx="241">
                  <c:v>54.9</c:v>
                </c:pt>
                <c:pt idx="242">
                  <c:v>57</c:v>
                </c:pt>
                <c:pt idx="243">
                  <c:v>57.1</c:v>
                </c:pt>
                <c:pt idx="244">
                  <c:v>55.2</c:v>
                </c:pt>
                <c:pt idx="245">
                  <c:v>56.7</c:v>
                </c:pt>
                <c:pt idx="246">
                  <c:v>55.5</c:v>
                </c:pt>
                <c:pt idx="247">
                  <c:v>53.1</c:v>
                </c:pt>
                <c:pt idx="248">
                  <c:v>54.8</c:v>
                </c:pt>
                <c:pt idx="249">
                  <c:v>54.1</c:v>
                </c:pt>
                <c:pt idx="250">
                  <c:v>54.6</c:v>
                </c:pt>
                <c:pt idx="251">
                  <c:v>53.2</c:v>
                </c:pt>
                <c:pt idx="252">
                  <c:v>52</c:v>
                </c:pt>
                <c:pt idx="253">
                  <c:v>48.7</c:v>
                </c:pt>
                <c:pt idx="254">
                  <c:v>47.4</c:v>
                </c:pt>
                <c:pt idx="255">
                  <c:v>46.9</c:v>
                </c:pt>
                <c:pt idx="256">
                  <c:v>45</c:v>
                </c:pt>
                <c:pt idx="257">
                  <c:v>47.2</c:v>
                </c:pt>
                <c:pt idx="258">
                  <c:v>51.1</c:v>
                </c:pt>
                <c:pt idx="259">
                  <c:v>49.5</c:v>
                </c:pt>
                <c:pt idx="260">
                  <c:v>47.3</c:v>
                </c:pt>
                <c:pt idx="261">
                  <c:v>44.1</c:v>
                </c:pt>
                <c:pt idx="262">
                  <c:v>42.4</c:v>
                </c:pt>
                <c:pt idx="263">
                  <c:v>39.700000000000003</c:v>
                </c:pt>
                <c:pt idx="264">
                  <c:v>45.4</c:v>
                </c:pt>
                <c:pt idx="265">
                  <c:v>47.9</c:v>
                </c:pt>
                <c:pt idx="266">
                  <c:v>54.8</c:v>
                </c:pt>
                <c:pt idx="267">
                  <c:v>51.2</c:v>
                </c:pt>
                <c:pt idx="268">
                  <c:v>54.5</c:v>
                </c:pt>
                <c:pt idx="269">
                  <c:v>54.2</c:v>
                </c:pt>
                <c:pt idx="270">
                  <c:v>53.8</c:v>
                </c:pt>
                <c:pt idx="271">
                  <c:v>54.4</c:v>
                </c:pt>
                <c:pt idx="272">
                  <c:v>53.6</c:v>
                </c:pt>
                <c:pt idx="273">
                  <c:v>55.1</c:v>
                </c:pt>
                <c:pt idx="274">
                  <c:v>55</c:v>
                </c:pt>
                <c:pt idx="275">
                  <c:v>52.3</c:v>
                </c:pt>
                <c:pt idx="276">
                  <c:v>57.6</c:v>
                </c:pt>
                <c:pt idx="277">
                  <c:v>59.6</c:v>
                </c:pt>
                <c:pt idx="278">
                  <c:v>60.6</c:v>
                </c:pt>
                <c:pt idx="279">
                  <c:v>59.8</c:v>
                </c:pt>
                <c:pt idx="280">
                  <c:v>59.3</c:v>
                </c:pt>
                <c:pt idx="281">
                  <c:v>61.4</c:v>
                </c:pt>
                <c:pt idx="282">
                  <c:v>58.6</c:v>
                </c:pt>
                <c:pt idx="283">
                  <c:v>60.1</c:v>
                </c:pt>
                <c:pt idx="284">
                  <c:v>61.7</c:v>
                </c:pt>
                <c:pt idx="285">
                  <c:v>65.099999999999994</c:v>
                </c:pt>
                <c:pt idx="286">
                  <c:v>67</c:v>
                </c:pt>
                <c:pt idx="287">
                  <c:v>69.900000000000006</c:v>
                </c:pt>
                <c:pt idx="288">
                  <c:v>70.5</c:v>
                </c:pt>
                <c:pt idx="289">
                  <c:v>72.099999999999994</c:v>
                </c:pt>
                <c:pt idx="290">
                  <c:v>69.599999999999994</c:v>
                </c:pt>
                <c:pt idx="291">
                  <c:v>69.599999999999994</c:v>
                </c:pt>
                <c:pt idx="292">
                  <c:v>67.7</c:v>
                </c:pt>
                <c:pt idx="293">
                  <c:v>64.8</c:v>
                </c:pt>
                <c:pt idx="294">
                  <c:v>65</c:v>
                </c:pt>
                <c:pt idx="295">
                  <c:v>57.8</c:v>
                </c:pt>
                <c:pt idx="296">
                  <c:v>62.7</c:v>
                </c:pt>
                <c:pt idx="297">
                  <c:v>63.5</c:v>
                </c:pt>
                <c:pt idx="298">
                  <c:v>66.2</c:v>
                </c:pt>
                <c:pt idx="299">
                  <c:v>68.099999999999994</c:v>
                </c:pt>
                <c:pt idx="300">
                  <c:v>63.6</c:v>
                </c:pt>
                <c:pt idx="301">
                  <c:v>62.1</c:v>
                </c:pt>
                <c:pt idx="302">
                  <c:v>58.6</c:v>
                </c:pt>
                <c:pt idx="303">
                  <c:v>61.8</c:v>
                </c:pt>
                <c:pt idx="304">
                  <c:v>59.9</c:v>
                </c:pt>
                <c:pt idx="305">
                  <c:v>55.7</c:v>
                </c:pt>
                <c:pt idx="306">
                  <c:v>54.7</c:v>
                </c:pt>
                <c:pt idx="307">
                  <c:v>54.8</c:v>
                </c:pt>
                <c:pt idx="308">
                  <c:v>52.9</c:v>
                </c:pt>
                <c:pt idx="309">
                  <c:v>46.2</c:v>
                </c:pt>
                <c:pt idx="310">
                  <c:v>42.7</c:v>
                </c:pt>
                <c:pt idx="311">
                  <c:v>37.9</c:v>
                </c:pt>
                <c:pt idx="312">
                  <c:v>30.9</c:v>
                </c:pt>
                <c:pt idx="313">
                  <c:v>30.7</c:v>
                </c:pt>
                <c:pt idx="314">
                  <c:v>34.4</c:v>
                </c:pt>
                <c:pt idx="315">
                  <c:v>31.6</c:v>
                </c:pt>
                <c:pt idx="316">
                  <c:v>37.5</c:v>
                </c:pt>
                <c:pt idx="317">
                  <c:v>41.2</c:v>
                </c:pt>
                <c:pt idx="318">
                  <c:v>45.1</c:v>
                </c:pt>
                <c:pt idx="319">
                  <c:v>47.2</c:v>
                </c:pt>
                <c:pt idx="320">
                  <c:v>51.4</c:v>
                </c:pt>
                <c:pt idx="321">
                  <c:v>54.4</c:v>
                </c:pt>
                <c:pt idx="322">
                  <c:v>55.5</c:v>
                </c:pt>
                <c:pt idx="323">
                  <c:v>54.5</c:v>
                </c:pt>
                <c:pt idx="324">
                  <c:v>54.9</c:v>
                </c:pt>
                <c:pt idx="325">
                  <c:v>58.8</c:v>
                </c:pt>
                <c:pt idx="326">
                  <c:v>61.5</c:v>
                </c:pt>
                <c:pt idx="327">
                  <c:v>58.4</c:v>
                </c:pt>
                <c:pt idx="328">
                  <c:v>60.6</c:v>
                </c:pt>
                <c:pt idx="329">
                  <c:v>58.8</c:v>
                </c:pt>
                <c:pt idx="330">
                  <c:v>58.2</c:v>
                </c:pt>
                <c:pt idx="331">
                  <c:v>55.9</c:v>
                </c:pt>
                <c:pt idx="332">
                  <c:v>54.5</c:v>
                </c:pt>
                <c:pt idx="333">
                  <c:v>53.6</c:v>
                </c:pt>
                <c:pt idx="334">
                  <c:v>53.5</c:v>
                </c:pt>
                <c:pt idx="335">
                  <c:v>51.7</c:v>
                </c:pt>
                <c:pt idx="336">
                  <c:v>56.6</c:v>
                </c:pt>
                <c:pt idx="337">
                  <c:v>54.8</c:v>
                </c:pt>
                <c:pt idx="338">
                  <c:v>55</c:v>
                </c:pt>
                <c:pt idx="339">
                  <c:v>58.4</c:v>
                </c:pt>
                <c:pt idx="340">
                  <c:v>56.9</c:v>
                </c:pt>
                <c:pt idx="341">
                  <c:v>59.7</c:v>
                </c:pt>
                <c:pt idx="342">
                  <c:v>56.8</c:v>
                </c:pt>
                <c:pt idx="343">
                  <c:v>57.7</c:v>
                </c:pt>
                <c:pt idx="344">
                  <c:v>54.9</c:v>
                </c:pt>
                <c:pt idx="345">
                  <c:v>53.9</c:v>
                </c:pt>
                <c:pt idx="346">
                  <c:v>55.4</c:v>
                </c:pt>
                <c:pt idx="347">
                  <c:v>56.1</c:v>
                </c:pt>
                <c:pt idx="348">
                  <c:v>59.8</c:v>
                </c:pt>
                <c:pt idx="349">
                  <c:v>57.4</c:v>
                </c:pt>
                <c:pt idx="350">
                  <c:v>55.9</c:v>
                </c:pt>
                <c:pt idx="351">
                  <c:v>55</c:v>
                </c:pt>
                <c:pt idx="352">
                  <c:v>57.7</c:v>
                </c:pt>
                <c:pt idx="353">
                  <c:v>60.2</c:v>
                </c:pt>
                <c:pt idx="354">
                  <c:v>60.5</c:v>
                </c:pt>
                <c:pt idx="355">
                  <c:v>62.2</c:v>
                </c:pt>
                <c:pt idx="356">
                  <c:v>60.3</c:v>
                </c:pt>
                <c:pt idx="357">
                  <c:v>60.5</c:v>
                </c:pt>
                <c:pt idx="358">
                  <c:v>60.1</c:v>
                </c:pt>
                <c:pt idx="359">
                  <c:v>61.3</c:v>
                </c:pt>
                <c:pt idx="360">
                  <c:v>59.4</c:v>
                </c:pt>
                <c:pt idx="361">
                  <c:v>58.5</c:v>
                </c:pt>
                <c:pt idx="362">
                  <c:v>58.2</c:v>
                </c:pt>
                <c:pt idx="363">
                  <c:v>57.7</c:v>
                </c:pt>
                <c:pt idx="364">
                  <c:v>56.2</c:v>
                </c:pt>
                <c:pt idx="365">
                  <c:v>54.4</c:v>
                </c:pt>
                <c:pt idx="366">
                  <c:v>52.7</c:v>
                </c:pt>
                <c:pt idx="367">
                  <c:v>51.3</c:v>
                </c:pt>
                <c:pt idx="368">
                  <c:v>49.5</c:v>
                </c:pt>
                <c:pt idx="369">
                  <c:v>49.6</c:v>
                </c:pt>
                <c:pt idx="370">
                  <c:v>49</c:v>
                </c:pt>
                <c:pt idx="371">
                  <c:v>48</c:v>
                </c:pt>
                <c:pt idx="372">
                  <c:v>44.8</c:v>
                </c:pt>
                <c:pt idx="373">
                  <c:v>46.2</c:v>
                </c:pt>
                <c:pt idx="374">
                  <c:v>50.2</c:v>
                </c:pt>
                <c:pt idx="375">
                  <c:v>43.6</c:v>
                </c:pt>
                <c:pt idx="376">
                  <c:v>37.4</c:v>
                </c:pt>
                <c:pt idx="377">
                  <c:v>29.4</c:v>
                </c:pt>
                <c:pt idx="378">
                  <c:v>30.3</c:v>
                </c:pt>
                <c:pt idx="379">
                  <c:v>35</c:v>
                </c:pt>
                <c:pt idx="380">
                  <c:v>45.5</c:v>
                </c:pt>
                <c:pt idx="381">
                  <c:v>50.1</c:v>
                </c:pt>
                <c:pt idx="382">
                  <c:v>55.5</c:v>
                </c:pt>
                <c:pt idx="383">
                  <c:v>58.2</c:v>
                </c:pt>
                <c:pt idx="384">
                  <c:v>53</c:v>
                </c:pt>
                <c:pt idx="385">
                  <c:v>49.2</c:v>
                </c:pt>
                <c:pt idx="386">
                  <c:v>48.8</c:v>
                </c:pt>
                <c:pt idx="387">
                  <c:v>49.6</c:v>
                </c:pt>
                <c:pt idx="388">
                  <c:v>51.6</c:v>
                </c:pt>
                <c:pt idx="389">
                  <c:v>53.5</c:v>
                </c:pt>
                <c:pt idx="390">
                  <c:v>50.7</c:v>
                </c:pt>
                <c:pt idx="391">
                  <c:v>46.7</c:v>
                </c:pt>
                <c:pt idx="392">
                  <c:v>48.3</c:v>
                </c:pt>
                <c:pt idx="393">
                  <c:v>42.5</c:v>
                </c:pt>
                <c:pt idx="394">
                  <c:v>40</c:v>
                </c:pt>
                <c:pt idx="395">
                  <c:v>36.1</c:v>
                </c:pt>
                <c:pt idx="396">
                  <c:v>37.799999999999997</c:v>
                </c:pt>
                <c:pt idx="397">
                  <c:v>38.200000000000003</c:v>
                </c:pt>
                <c:pt idx="398">
                  <c:v>38.299999999999997</c:v>
                </c:pt>
                <c:pt idx="399">
                  <c:v>36.799999999999997</c:v>
                </c:pt>
                <c:pt idx="400">
                  <c:v>37.799999999999997</c:v>
                </c:pt>
                <c:pt idx="401">
                  <c:v>35.5</c:v>
                </c:pt>
                <c:pt idx="402">
                  <c:v>38.299999999999997</c:v>
                </c:pt>
                <c:pt idx="403">
                  <c:v>38.4</c:v>
                </c:pt>
                <c:pt idx="404">
                  <c:v>38.299999999999997</c:v>
                </c:pt>
                <c:pt idx="405">
                  <c:v>38.799999999999997</c:v>
                </c:pt>
                <c:pt idx="406">
                  <c:v>39.4</c:v>
                </c:pt>
                <c:pt idx="407">
                  <c:v>39.200000000000003</c:v>
                </c:pt>
                <c:pt idx="408">
                  <c:v>42.8</c:v>
                </c:pt>
                <c:pt idx="409">
                  <c:v>46</c:v>
                </c:pt>
                <c:pt idx="410">
                  <c:v>54.4</c:v>
                </c:pt>
                <c:pt idx="411">
                  <c:v>53.9</c:v>
                </c:pt>
                <c:pt idx="412">
                  <c:v>54.2</c:v>
                </c:pt>
                <c:pt idx="413">
                  <c:v>56.1</c:v>
                </c:pt>
                <c:pt idx="414">
                  <c:v>57.5</c:v>
                </c:pt>
                <c:pt idx="415">
                  <c:v>63.6</c:v>
                </c:pt>
                <c:pt idx="416">
                  <c:v>63.1</c:v>
                </c:pt>
                <c:pt idx="417">
                  <c:v>62.5</c:v>
                </c:pt>
                <c:pt idx="418">
                  <c:v>64.400000000000006</c:v>
                </c:pt>
                <c:pt idx="419">
                  <c:v>66</c:v>
                </c:pt>
                <c:pt idx="420">
                  <c:v>69.900000000000006</c:v>
                </c:pt>
                <c:pt idx="421">
                  <c:v>60.5</c:v>
                </c:pt>
                <c:pt idx="422">
                  <c:v>61.3</c:v>
                </c:pt>
                <c:pt idx="423">
                  <c:v>58.9</c:v>
                </c:pt>
                <c:pt idx="424">
                  <c:v>61</c:v>
                </c:pt>
                <c:pt idx="425">
                  <c:v>58.6</c:v>
                </c:pt>
                <c:pt idx="426">
                  <c:v>58.1</c:v>
                </c:pt>
                <c:pt idx="427">
                  <c:v>56.1</c:v>
                </c:pt>
                <c:pt idx="428">
                  <c:v>53</c:v>
                </c:pt>
                <c:pt idx="429">
                  <c:v>50</c:v>
                </c:pt>
                <c:pt idx="430">
                  <c:v>50.8</c:v>
                </c:pt>
                <c:pt idx="431">
                  <c:v>50.3</c:v>
                </c:pt>
                <c:pt idx="432">
                  <c:v>50.6</c:v>
                </c:pt>
                <c:pt idx="433">
                  <c:v>50.3</c:v>
                </c:pt>
                <c:pt idx="434">
                  <c:v>49.9</c:v>
                </c:pt>
                <c:pt idx="435">
                  <c:v>47.8</c:v>
                </c:pt>
                <c:pt idx="436">
                  <c:v>48.2</c:v>
                </c:pt>
                <c:pt idx="437">
                  <c:v>47.1</c:v>
                </c:pt>
                <c:pt idx="438">
                  <c:v>47.8</c:v>
                </c:pt>
                <c:pt idx="439">
                  <c:v>47.9</c:v>
                </c:pt>
                <c:pt idx="440">
                  <c:v>47.7</c:v>
                </c:pt>
                <c:pt idx="441">
                  <c:v>49.9</c:v>
                </c:pt>
                <c:pt idx="442">
                  <c:v>50.9</c:v>
                </c:pt>
                <c:pt idx="443">
                  <c:v>52</c:v>
                </c:pt>
                <c:pt idx="444">
                  <c:v>50.7</c:v>
                </c:pt>
                <c:pt idx="445">
                  <c:v>51.2</c:v>
                </c:pt>
                <c:pt idx="446">
                  <c:v>51</c:v>
                </c:pt>
                <c:pt idx="447">
                  <c:v>51</c:v>
                </c:pt>
                <c:pt idx="448">
                  <c:v>49.7</c:v>
                </c:pt>
                <c:pt idx="449">
                  <c:v>53.4</c:v>
                </c:pt>
                <c:pt idx="450">
                  <c:v>50.5</c:v>
                </c:pt>
                <c:pt idx="451">
                  <c:v>48</c:v>
                </c:pt>
                <c:pt idx="452">
                  <c:v>52.6</c:v>
                </c:pt>
                <c:pt idx="453">
                  <c:v>52.4</c:v>
                </c:pt>
                <c:pt idx="454">
                  <c:v>51.2</c:v>
                </c:pt>
                <c:pt idx="455">
                  <c:v>51.2</c:v>
                </c:pt>
                <c:pt idx="456">
                  <c:v>50.5</c:v>
                </c:pt>
                <c:pt idx="457">
                  <c:v>54.9</c:v>
                </c:pt>
                <c:pt idx="458">
                  <c:v>52.6</c:v>
                </c:pt>
                <c:pt idx="459">
                  <c:v>55</c:v>
                </c:pt>
                <c:pt idx="460">
                  <c:v>55.5</c:v>
                </c:pt>
                <c:pt idx="461">
                  <c:v>57.2</c:v>
                </c:pt>
                <c:pt idx="462">
                  <c:v>57.4</c:v>
                </c:pt>
                <c:pt idx="463">
                  <c:v>57.5</c:v>
                </c:pt>
                <c:pt idx="464">
                  <c:v>59.3</c:v>
                </c:pt>
                <c:pt idx="465">
                  <c:v>60</c:v>
                </c:pt>
                <c:pt idx="466">
                  <c:v>60.7</c:v>
                </c:pt>
                <c:pt idx="467">
                  <c:v>58.8</c:v>
                </c:pt>
                <c:pt idx="468">
                  <c:v>61</c:v>
                </c:pt>
                <c:pt idx="469">
                  <c:v>57.5</c:v>
                </c:pt>
                <c:pt idx="470">
                  <c:v>56.2</c:v>
                </c:pt>
                <c:pt idx="471">
                  <c:v>54.6</c:v>
                </c:pt>
                <c:pt idx="472">
                  <c:v>55.8</c:v>
                </c:pt>
                <c:pt idx="473">
                  <c:v>55.5</c:v>
                </c:pt>
                <c:pt idx="474">
                  <c:v>59.3</c:v>
                </c:pt>
                <c:pt idx="475">
                  <c:v>58.2</c:v>
                </c:pt>
                <c:pt idx="476">
                  <c:v>56</c:v>
                </c:pt>
                <c:pt idx="477">
                  <c:v>54.5</c:v>
                </c:pt>
                <c:pt idx="478">
                  <c:v>55.4</c:v>
                </c:pt>
                <c:pt idx="479">
                  <c:v>55.6</c:v>
                </c:pt>
                <c:pt idx="480">
                  <c:v>56</c:v>
                </c:pt>
                <c:pt idx="481">
                  <c:v>54.7</c:v>
                </c:pt>
                <c:pt idx="482">
                  <c:v>54.1</c:v>
                </c:pt>
                <c:pt idx="483">
                  <c:v>51.5</c:v>
                </c:pt>
                <c:pt idx="484">
                  <c:v>52.2</c:v>
                </c:pt>
                <c:pt idx="485">
                  <c:v>49.3</c:v>
                </c:pt>
                <c:pt idx="486">
                  <c:v>47.3</c:v>
                </c:pt>
                <c:pt idx="487">
                  <c:v>45.9</c:v>
                </c:pt>
                <c:pt idx="488">
                  <c:v>45.1</c:v>
                </c:pt>
                <c:pt idx="489">
                  <c:v>46</c:v>
                </c:pt>
                <c:pt idx="490">
                  <c:v>46.8</c:v>
                </c:pt>
                <c:pt idx="491">
                  <c:v>46.8</c:v>
                </c:pt>
                <c:pt idx="492">
                  <c:v>47.4</c:v>
                </c:pt>
                <c:pt idx="493">
                  <c:v>47.2</c:v>
                </c:pt>
                <c:pt idx="494">
                  <c:v>49.1</c:v>
                </c:pt>
                <c:pt idx="495">
                  <c:v>49.9</c:v>
                </c:pt>
                <c:pt idx="496">
                  <c:v>50</c:v>
                </c:pt>
                <c:pt idx="497">
                  <c:v>49.5</c:v>
                </c:pt>
                <c:pt idx="498">
                  <c:v>49.2</c:v>
                </c:pt>
                <c:pt idx="499">
                  <c:v>46.6</c:v>
                </c:pt>
                <c:pt idx="500">
                  <c:v>46.1</c:v>
                </c:pt>
                <c:pt idx="501">
                  <c:v>44.5</c:v>
                </c:pt>
                <c:pt idx="502">
                  <c:v>43.2</c:v>
                </c:pt>
                <c:pt idx="503">
                  <c:v>41.3</c:v>
                </c:pt>
                <c:pt idx="504">
                  <c:v>40.799999999999997</c:v>
                </c:pt>
                <c:pt idx="505">
                  <c:v>39.200000000000003</c:v>
                </c:pt>
                <c:pt idx="506">
                  <c:v>39.4</c:v>
                </c:pt>
                <c:pt idx="507">
                  <c:v>40.700000000000003</c:v>
                </c:pt>
                <c:pt idx="508">
                  <c:v>42.8</c:v>
                </c:pt>
                <c:pt idx="509">
                  <c:v>44.5</c:v>
                </c:pt>
                <c:pt idx="510">
                  <c:v>50.3</c:v>
                </c:pt>
                <c:pt idx="511">
                  <c:v>50.6</c:v>
                </c:pt>
                <c:pt idx="512">
                  <c:v>52.9</c:v>
                </c:pt>
                <c:pt idx="513">
                  <c:v>54.9</c:v>
                </c:pt>
                <c:pt idx="514">
                  <c:v>53.1</c:v>
                </c:pt>
                <c:pt idx="515">
                  <c:v>49.5</c:v>
                </c:pt>
                <c:pt idx="516">
                  <c:v>46.8</c:v>
                </c:pt>
                <c:pt idx="517">
                  <c:v>47.3</c:v>
                </c:pt>
                <c:pt idx="518">
                  <c:v>52.7</c:v>
                </c:pt>
                <c:pt idx="519">
                  <c:v>54.6</c:v>
                </c:pt>
                <c:pt idx="520">
                  <c:v>52.6</c:v>
                </c:pt>
                <c:pt idx="521">
                  <c:v>55.7</c:v>
                </c:pt>
                <c:pt idx="522">
                  <c:v>53.6</c:v>
                </c:pt>
                <c:pt idx="523">
                  <c:v>53.9</c:v>
                </c:pt>
                <c:pt idx="524">
                  <c:v>53.4</c:v>
                </c:pt>
                <c:pt idx="525">
                  <c:v>49.7</c:v>
                </c:pt>
                <c:pt idx="526">
                  <c:v>50.3</c:v>
                </c:pt>
                <c:pt idx="527">
                  <c:v>53.6</c:v>
                </c:pt>
                <c:pt idx="528">
                  <c:v>54.2</c:v>
                </c:pt>
                <c:pt idx="529">
                  <c:v>55.8</c:v>
                </c:pt>
                <c:pt idx="530">
                  <c:v>55.2</c:v>
                </c:pt>
                <c:pt idx="531">
                  <c:v>53.5</c:v>
                </c:pt>
                <c:pt idx="532">
                  <c:v>50.2</c:v>
                </c:pt>
                <c:pt idx="533">
                  <c:v>51.2</c:v>
                </c:pt>
                <c:pt idx="534">
                  <c:v>49.6</c:v>
                </c:pt>
                <c:pt idx="535">
                  <c:v>50.2</c:v>
                </c:pt>
                <c:pt idx="536">
                  <c:v>50.7</c:v>
                </c:pt>
                <c:pt idx="537">
                  <c:v>50.8</c:v>
                </c:pt>
                <c:pt idx="538">
                  <c:v>53.4</c:v>
                </c:pt>
                <c:pt idx="539">
                  <c:v>53.8</c:v>
                </c:pt>
                <c:pt idx="540">
                  <c:v>55.6</c:v>
                </c:pt>
                <c:pt idx="541">
                  <c:v>56</c:v>
                </c:pt>
                <c:pt idx="542">
                  <c:v>56.5</c:v>
                </c:pt>
                <c:pt idx="543">
                  <c:v>56.9</c:v>
                </c:pt>
                <c:pt idx="544">
                  <c:v>57.4</c:v>
                </c:pt>
                <c:pt idx="545">
                  <c:v>58.2</c:v>
                </c:pt>
                <c:pt idx="546">
                  <c:v>58.8</c:v>
                </c:pt>
                <c:pt idx="547">
                  <c:v>58.5</c:v>
                </c:pt>
                <c:pt idx="548">
                  <c:v>58</c:v>
                </c:pt>
                <c:pt idx="549">
                  <c:v>59</c:v>
                </c:pt>
                <c:pt idx="550">
                  <c:v>59.4</c:v>
                </c:pt>
                <c:pt idx="551">
                  <c:v>59.2</c:v>
                </c:pt>
                <c:pt idx="552">
                  <c:v>56.1</c:v>
                </c:pt>
                <c:pt idx="553">
                  <c:v>57.4</c:v>
                </c:pt>
                <c:pt idx="554">
                  <c:v>55.1</c:v>
                </c:pt>
                <c:pt idx="555">
                  <c:v>52.1</c:v>
                </c:pt>
                <c:pt idx="556">
                  <c:v>51.5</c:v>
                </c:pt>
                <c:pt idx="557">
                  <c:v>46.7</c:v>
                </c:pt>
                <c:pt idx="558">
                  <c:v>45.9</c:v>
                </c:pt>
                <c:pt idx="559">
                  <c:v>50.7</c:v>
                </c:pt>
                <c:pt idx="560">
                  <c:v>47.1</c:v>
                </c:pt>
                <c:pt idx="561">
                  <c:v>48.1</c:v>
                </c:pt>
                <c:pt idx="562">
                  <c:v>46.7</c:v>
                </c:pt>
                <c:pt idx="563">
                  <c:v>45.9</c:v>
                </c:pt>
                <c:pt idx="564">
                  <c:v>46.2</c:v>
                </c:pt>
                <c:pt idx="565">
                  <c:v>45.5</c:v>
                </c:pt>
                <c:pt idx="566">
                  <c:v>45.9</c:v>
                </c:pt>
                <c:pt idx="567">
                  <c:v>46.9</c:v>
                </c:pt>
                <c:pt idx="568">
                  <c:v>49.3</c:v>
                </c:pt>
                <c:pt idx="569">
                  <c:v>49.1</c:v>
                </c:pt>
                <c:pt idx="570">
                  <c:v>53.6</c:v>
                </c:pt>
                <c:pt idx="571">
                  <c:v>49.7</c:v>
                </c:pt>
                <c:pt idx="572">
                  <c:v>51.6</c:v>
                </c:pt>
                <c:pt idx="573">
                  <c:v>51.1</c:v>
                </c:pt>
                <c:pt idx="574">
                  <c:v>50.5</c:v>
                </c:pt>
                <c:pt idx="575">
                  <c:v>53</c:v>
                </c:pt>
                <c:pt idx="576">
                  <c:v>55.2</c:v>
                </c:pt>
                <c:pt idx="577">
                  <c:v>53.8</c:v>
                </c:pt>
                <c:pt idx="578">
                  <c:v>53.1</c:v>
                </c:pt>
                <c:pt idx="579">
                  <c:v>53.8</c:v>
                </c:pt>
                <c:pt idx="580">
                  <c:v>53.7</c:v>
                </c:pt>
                <c:pt idx="581">
                  <c:v>56.1</c:v>
                </c:pt>
                <c:pt idx="582">
                  <c:v>54.9</c:v>
                </c:pt>
                <c:pt idx="583">
                  <c:v>57.7</c:v>
                </c:pt>
                <c:pt idx="584">
                  <c:v>56.3</c:v>
                </c:pt>
                <c:pt idx="585">
                  <c:v>53.9</c:v>
                </c:pt>
                <c:pt idx="586">
                  <c:v>56.4</c:v>
                </c:pt>
                <c:pt idx="587">
                  <c:v>55.7</c:v>
                </c:pt>
                <c:pt idx="588">
                  <c:v>54.5</c:v>
                </c:pt>
                <c:pt idx="589">
                  <c:v>53.8</c:v>
                </c:pt>
                <c:pt idx="590">
                  <c:v>52.9</c:v>
                </c:pt>
                <c:pt idx="591">
                  <c:v>52.9</c:v>
                </c:pt>
                <c:pt idx="592">
                  <c:v>52.2</c:v>
                </c:pt>
                <c:pt idx="593">
                  <c:v>50.9</c:v>
                </c:pt>
                <c:pt idx="594">
                  <c:v>48.9</c:v>
                </c:pt>
                <c:pt idx="595">
                  <c:v>49.2</c:v>
                </c:pt>
                <c:pt idx="596">
                  <c:v>49.3</c:v>
                </c:pt>
                <c:pt idx="597">
                  <c:v>48.7</c:v>
                </c:pt>
                <c:pt idx="598">
                  <c:v>48.7</c:v>
                </c:pt>
                <c:pt idx="599">
                  <c:v>48.2</c:v>
                </c:pt>
                <c:pt idx="600">
                  <c:v>46.8</c:v>
                </c:pt>
                <c:pt idx="601">
                  <c:v>50.6</c:v>
                </c:pt>
                <c:pt idx="602">
                  <c:v>51.7</c:v>
                </c:pt>
                <c:pt idx="603">
                  <c:v>52.4</c:v>
                </c:pt>
                <c:pt idx="604">
                  <c:v>52.3</c:v>
                </c:pt>
                <c:pt idx="605">
                  <c:v>54.3</c:v>
                </c:pt>
                <c:pt idx="606">
                  <c:v>55.8</c:v>
                </c:pt>
                <c:pt idx="607">
                  <c:v>53.6</c:v>
                </c:pt>
                <c:pt idx="608">
                  <c:v>54.8</c:v>
                </c:pt>
                <c:pt idx="609">
                  <c:v>57</c:v>
                </c:pt>
                <c:pt idx="610">
                  <c:v>57.2</c:v>
                </c:pt>
                <c:pt idx="611">
                  <c:v>58.1</c:v>
                </c:pt>
                <c:pt idx="612">
                  <c:v>57.8</c:v>
                </c:pt>
                <c:pt idx="613">
                  <c:v>56.7</c:v>
                </c:pt>
                <c:pt idx="614">
                  <c:v>55.8</c:v>
                </c:pt>
                <c:pt idx="615">
                  <c:v>54.9</c:v>
                </c:pt>
                <c:pt idx="616">
                  <c:v>54.7</c:v>
                </c:pt>
                <c:pt idx="617">
                  <c:v>53.2</c:v>
                </c:pt>
                <c:pt idx="618">
                  <c:v>51.4</c:v>
                </c:pt>
                <c:pt idx="619">
                  <c:v>52.5</c:v>
                </c:pt>
                <c:pt idx="620">
                  <c:v>49.9</c:v>
                </c:pt>
                <c:pt idx="621">
                  <c:v>49.7</c:v>
                </c:pt>
                <c:pt idx="622">
                  <c:v>48.7</c:v>
                </c:pt>
                <c:pt idx="623">
                  <c:v>48.5</c:v>
                </c:pt>
                <c:pt idx="624">
                  <c:v>43.9</c:v>
                </c:pt>
                <c:pt idx="625">
                  <c:v>42.3</c:v>
                </c:pt>
                <c:pt idx="626">
                  <c:v>42.1</c:v>
                </c:pt>
                <c:pt idx="627">
                  <c:v>43.1</c:v>
                </c:pt>
                <c:pt idx="628">
                  <c:v>42.7</c:v>
                </c:pt>
                <c:pt idx="629">
                  <c:v>41.3</c:v>
                </c:pt>
                <c:pt idx="630">
                  <c:v>43.2</c:v>
                </c:pt>
                <c:pt idx="631">
                  <c:v>43.5</c:v>
                </c:pt>
                <c:pt idx="632">
                  <c:v>46.3</c:v>
                </c:pt>
                <c:pt idx="633">
                  <c:v>46.2</c:v>
                </c:pt>
                <c:pt idx="634">
                  <c:v>40.799999999999997</c:v>
                </c:pt>
                <c:pt idx="635">
                  <c:v>44.1</c:v>
                </c:pt>
                <c:pt idx="636">
                  <c:v>45.3</c:v>
                </c:pt>
                <c:pt idx="637">
                  <c:v>47.5</c:v>
                </c:pt>
                <c:pt idx="638">
                  <c:v>50.7</c:v>
                </c:pt>
                <c:pt idx="639">
                  <c:v>52.4</c:v>
                </c:pt>
                <c:pt idx="640">
                  <c:v>52.4</c:v>
                </c:pt>
                <c:pt idx="641">
                  <c:v>53.1</c:v>
                </c:pt>
                <c:pt idx="642">
                  <c:v>53.6</c:v>
                </c:pt>
                <c:pt idx="643">
                  <c:v>50.2</c:v>
                </c:pt>
                <c:pt idx="644">
                  <c:v>50.3</c:v>
                </c:pt>
                <c:pt idx="645">
                  <c:v>50.5</c:v>
                </c:pt>
                <c:pt idx="646">
                  <c:v>49</c:v>
                </c:pt>
                <c:pt idx="647">
                  <c:v>48.5</c:v>
                </c:pt>
                <c:pt idx="648">
                  <c:v>51.6</c:v>
                </c:pt>
                <c:pt idx="649">
                  <c:v>51.3</c:v>
                </c:pt>
                <c:pt idx="650">
                  <c:v>48.8</c:v>
                </c:pt>
                <c:pt idx="651">
                  <c:v>46.3</c:v>
                </c:pt>
                <c:pt idx="652">
                  <c:v>46.1</c:v>
                </c:pt>
                <c:pt idx="653">
                  <c:v>49</c:v>
                </c:pt>
                <c:pt idx="654">
                  <c:v>49</c:v>
                </c:pt>
                <c:pt idx="655">
                  <c:v>51</c:v>
                </c:pt>
                <c:pt idx="656">
                  <c:v>53.2</c:v>
                </c:pt>
                <c:pt idx="657">
                  <c:v>52.4</c:v>
                </c:pt>
                <c:pt idx="658">
                  <c:v>55.2</c:v>
                </c:pt>
                <c:pt idx="659">
                  <c:v>58.4</c:v>
                </c:pt>
                <c:pt idx="660">
                  <c:v>60.1</c:v>
                </c:pt>
                <c:pt idx="661">
                  <c:v>60.8</c:v>
                </c:pt>
                <c:pt idx="662">
                  <c:v>59.9</c:v>
                </c:pt>
                <c:pt idx="663">
                  <c:v>60.6</c:v>
                </c:pt>
                <c:pt idx="664">
                  <c:v>60.6</c:v>
                </c:pt>
                <c:pt idx="665">
                  <c:v>61.4</c:v>
                </c:pt>
                <c:pt idx="666">
                  <c:v>60.5</c:v>
                </c:pt>
                <c:pt idx="667">
                  <c:v>59.9</c:v>
                </c:pt>
                <c:pt idx="668">
                  <c:v>58.5</c:v>
                </c:pt>
                <c:pt idx="669">
                  <c:v>57.4</c:v>
                </c:pt>
                <c:pt idx="670">
                  <c:v>56.3</c:v>
                </c:pt>
                <c:pt idx="671">
                  <c:v>56.2</c:v>
                </c:pt>
                <c:pt idx="672">
                  <c:v>57.2</c:v>
                </c:pt>
                <c:pt idx="673">
                  <c:v>56.8</c:v>
                </c:pt>
                <c:pt idx="674">
                  <c:v>55.5</c:v>
                </c:pt>
                <c:pt idx="675">
                  <c:v>55.2</c:v>
                </c:pt>
                <c:pt idx="676">
                  <c:v>52.2</c:v>
                </c:pt>
                <c:pt idx="677">
                  <c:v>50.8</c:v>
                </c:pt>
                <c:pt idx="678">
                  <c:v>52.4</c:v>
                </c:pt>
                <c:pt idx="679">
                  <c:v>52.8</c:v>
                </c:pt>
                <c:pt idx="680">
                  <c:v>52.4</c:v>
                </c:pt>
                <c:pt idx="681">
                  <c:v>56.8</c:v>
                </c:pt>
                <c:pt idx="682">
                  <c:v>57.2</c:v>
                </c:pt>
                <c:pt idx="683">
                  <c:v>56.7</c:v>
                </c:pt>
                <c:pt idx="684">
                  <c:v>55.1</c:v>
                </c:pt>
                <c:pt idx="685">
                  <c:v>55</c:v>
                </c:pt>
                <c:pt idx="686">
                  <c:v>55.8</c:v>
                </c:pt>
                <c:pt idx="687">
                  <c:v>54.3</c:v>
                </c:pt>
                <c:pt idx="688">
                  <c:v>55.2</c:v>
                </c:pt>
                <c:pt idx="689">
                  <c:v>53.7</c:v>
                </c:pt>
                <c:pt idx="690">
                  <c:v>52</c:v>
                </c:pt>
                <c:pt idx="691">
                  <c:v>53</c:v>
                </c:pt>
                <c:pt idx="692">
                  <c:v>53.7</c:v>
                </c:pt>
                <c:pt idx="693">
                  <c:v>52.2</c:v>
                </c:pt>
                <c:pt idx="694">
                  <c:v>51.4</c:v>
                </c:pt>
                <c:pt idx="695">
                  <c:v>50.3</c:v>
                </c:pt>
                <c:pt idx="696">
                  <c:v>51.4</c:v>
                </c:pt>
                <c:pt idx="697">
                  <c:v>49.5</c:v>
                </c:pt>
                <c:pt idx="698">
                  <c:v>51.9</c:v>
                </c:pt>
                <c:pt idx="699">
                  <c:v>50.7</c:v>
                </c:pt>
                <c:pt idx="700">
                  <c:v>52.6</c:v>
                </c:pt>
                <c:pt idx="701">
                  <c:v>52.5</c:v>
                </c:pt>
                <c:pt idx="702">
                  <c:v>52.6</c:v>
                </c:pt>
                <c:pt idx="703">
                  <c:v>52.4</c:v>
                </c:pt>
                <c:pt idx="704">
                  <c:v>50.9</c:v>
                </c:pt>
                <c:pt idx="705">
                  <c:v>51</c:v>
                </c:pt>
                <c:pt idx="706">
                  <c:v>51.1</c:v>
                </c:pt>
                <c:pt idx="707">
                  <c:v>50.5</c:v>
                </c:pt>
                <c:pt idx="708">
                  <c:v>49</c:v>
                </c:pt>
                <c:pt idx="709">
                  <c:v>50.3</c:v>
                </c:pt>
                <c:pt idx="710">
                  <c:v>47.6</c:v>
                </c:pt>
                <c:pt idx="711">
                  <c:v>48.3</c:v>
                </c:pt>
                <c:pt idx="712">
                  <c:v>48.8</c:v>
                </c:pt>
                <c:pt idx="713">
                  <c:v>48.8</c:v>
                </c:pt>
                <c:pt idx="714">
                  <c:v>49.8</c:v>
                </c:pt>
                <c:pt idx="715">
                  <c:v>50</c:v>
                </c:pt>
                <c:pt idx="716">
                  <c:v>49.2</c:v>
                </c:pt>
                <c:pt idx="717">
                  <c:v>44.8</c:v>
                </c:pt>
                <c:pt idx="718">
                  <c:v>38.9</c:v>
                </c:pt>
                <c:pt idx="719">
                  <c:v>36.5</c:v>
                </c:pt>
                <c:pt idx="720">
                  <c:v>33.1</c:v>
                </c:pt>
                <c:pt idx="721">
                  <c:v>34.9</c:v>
                </c:pt>
                <c:pt idx="722">
                  <c:v>35.5</c:v>
                </c:pt>
                <c:pt idx="723">
                  <c:v>36</c:v>
                </c:pt>
                <c:pt idx="724">
                  <c:v>39.5</c:v>
                </c:pt>
                <c:pt idx="725">
                  <c:v>41.7</c:v>
                </c:pt>
                <c:pt idx="726">
                  <c:v>45.8</c:v>
                </c:pt>
                <c:pt idx="727">
                  <c:v>49.9</c:v>
                </c:pt>
                <c:pt idx="728">
                  <c:v>53.5</c:v>
                </c:pt>
                <c:pt idx="729">
                  <c:v>54.4</c:v>
                </c:pt>
                <c:pt idx="730">
                  <c:v>56</c:v>
                </c:pt>
                <c:pt idx="731">
                  <c:v>54.4</c:v>
                </c:pt>
                <c:pt idx="732">
                  <c:v>55.3</c:v>
                </c:pt>
                <c:pt idx="733">
                  <c:v>57.2</c:v>
                </c:pt>
                <c:pt idx="734">
                  <c:v>55.8</c:v>
                </c:pt>
                <c:pt idx="735">
                  <c:v>58.8</c:v>
                </c:pt>
                <c:pt idx="736">
                  <c:v>58.1</c:v>
                </c:pt>
                <c:pt idx="737">
                  <c:v>58.3</c:v>
                </c:pt>
                <c:pt idx="738">
                  <c:v>56.4</c:v>
                </c:pt>
                <c:pt idx="739">
                  <c:v>56.4</c:v>
                </c:pt>
                <c:pt idx="740">
                  <c:v>58</c:v>
                </c:pt>
                <c:pt idx="741">
                  <c:v>56.3</c:v>
                </c:pt>
                <c:pt idx="742">
                  <c:v>57.7</c:v>
                </c:pt>
                <c:pt idx="743">
                  <c:v>57.6</c:v>
                </c:pt>
                <c:pt idx="744">
                  <c:v>57.5</c:v>
                </c:pt>
                <c:pt idx="745">
                  <c:v>59</c:v>
                </c:pt>
                <c:pt idx="746">
                  <c:v>59.3</c:v>
                </c:pt>
                <c:pt idx="747">
                  <c:v>59.1</c:v>
                </c:pt>
                <c:pt idx="748">
                  <c:v>58.9</c:v>
                </c:pt>
                <c:pt idx="749">
                  <c:v>53.7</c:v>
                </c:pt>
                <c:pt idx="750">
                  <c:v>56.6</c:v>
                </c:pt>
                <c:pt idx="751">
                  <c:v>52.9</c:v>
                </c:pt>
                <c:pt idx="752">
                  <c:v>53</c:v>
                </c:pt>
                <c:pt idx="753">
                  <c:v>52.8</c:v>
                </c:pt>
                <c:pt idx="754">
                  <c:v>51.8</c:v>
                </c:pt>
                <c:pt idx="755">
                  <c:v>52.1</c:v>
                </c:pt>
                <c:pt idx="756">
                  <c:v>53.1</c:v>
                </c:pt>
                <c:pt idx="757">
                  <c:v>52.8</c:v>
                </c:pt>
                <c:pt idx="758">
                  <c:v>52.4</c:v>
                </c:pt>
                <c:pt idx="759">
                  <c:v>53</c:v>
                </c:pt>
                <c:pt idx="760">
                  <c:v>53.7</c:v>
                </c:pt>
                <c:pt idx="761">
                  <c:v>53.2</c:v>
                </c:pt>
                <c:pt idx="762">
                  <c:v>51</c:v>
                </c:pt>
                <c:pt idx="763">
                  <c:v>50.6</c:v>
                </c:pt>
                <c:pt idx="764">
                  <c:v>51.1</c:v>
                </c:pt>
                <c:pt idx="765">
                  <c:v>52.2</c:v>
                </c:pt>
                <c:pt idx="766">
                  <c:v>51.2</c:v>
                </c:pt>
                <c:pt idx="767">
                  <c:v>49.5</c:v>
                </c:pt>
                <c:pt idx="768">
                  <c:v>50.4</c:v>
                </c:pt>
                <c:pt idx="769">
                  <c:v>52.3</c:v>
                </c:pt>
                <c:pt idx="770">
                  <c:v>53.1</c:v>
                </c:pt>
                <c:pt idx="771">
                  <c:v>51.5</c:v>
                </c:pt>
                <c:pt idx="772">
                  <c:v>50</c:v>
                </c:pt>
                <c:pt idx="773">
                  <c:v>50</c:v>
                </c:pt>
                <c:pt idx="774">
                  <c:v>52.5</c:v>
                </c:pt>
                <c:pt idx="775">
                  <c:v>54.9</c:v>
                </c:pt>
                <c:pt idx="776">
                  <c:v>56.3</c:v>
                </c:pt>
                <c:pt idx="777">
                  <c:v>56</c:v>
                </c:pt>
                <c:pt idx="778">
                  <c:v>56.6</c:v>
                </c:pt>
                <c:pt idx="779">
                  <c:v>57</c:v>
                </c:pt>
                <c:pt idx="780">
                  <c:v>56.5</c:v>
                </c:pt>
                <c:pt idx="781">
                  <c:v>51.3</c:v>
                </c:pt>
                <c:pt idx="782">
                  <c:v>54.3</c:v>
                </c:pt>
                <c:pt idx="783">
                  <c:v>54.4</c:v>
                </c:pt>
                <c:pt idx="784">
                  <c:v>55.3</c:v>
                </c:pt>
                <c:pt idx="785">
                  <c:v>55.6</c:v>
                </c:pt>
                <c:pt idx="786">
                  <c:v>55.7</c:v>
                </c:pt>
                <c:pt idx="787">
                  <c:v>56.4</c:v>
                </c:pt>
                <c:pt idx="788">
                  <c:v>58.1</c:v>
                </c:pt>
                <c:pt idx="789">
                  <c:v>56.1</c:v>
                </c:pt>
                <c:pt idx="790">
                  <c:v>57.9</c:v>
                </c:pt>
                <c:pt idx="791">
                  <c:v>57.6</c:v>
                </c:pt>
                <c:pt idx="792">
                  <c:v>55.1</c:v>
                </c:pt>
                <c:pt idx="793">
                  <c:v>53.5</c:v>
                </c:pt>
                <c:pt idx="794">
                  <c:v>52.9</c:v>
                </c:pt>
                <c:pt idx="795">
                  <c:v>51.5</c:v>
                </c:pt>
                <c:pt idx="796">
                  <c:v>51.5</c:v>
                </c:pt>
                <c:pt idx="797">
                  <c:v>52.8</c:v>
                </c:pt>
                <c:pt idx="798">
                  <c:v>53.5</c:v>
                </c:pt>
                <c:pt idx="799">
                  <c:v>52.7</c:v>
                </c:pt>
                <c:pt idx="800">
                  <c:v>51.1</c:v>
                </c:pt>
                <c:pt idx="801">
                  <c:v>50.2</c:v>
                </c:pt>
                <c:pt idx="802">
                  <c:v>49.4</c:v>
                </c:pt>
                <c:pt idx="803">
                  <c:v>48.4</c:v>
                </c:pt>
                <c:pt idx="804">
                  <c:v>48</c:v>
                </c:pt>
                <c:pt idx="805">
                  <c:v>48.2</c:v>
                </c:pt>
                <c:pt idx="806">
                  <c:v>49.7</c:v>
                </c:pt>
                <c:pt idx="807">
                  <c:v>51.7</c:v>
                </c:pt>
                <c:pt idx="808">
                  <c:v>50.7</c:v>
                </c:pt>
                <c:pt idx="809">
                  <c:v>51</c:v>
                </c:pt>
                <c:pt idx="810">
                  <c:v>52.8</c:v>
                </c:pt>
                <c:pt idx="811">
                  <c:v>52.3</c:v>
                </c:pt>
                <c:pt idx="812">
                  <c:v>49.4</c:v>
                </c:pt>
                <c:pt idx="813">
                  <c:v>51.7</c:v>
                </c:pt>
                <c:pt idx="814">
                  <c:v>52</c:v>
                </c:pt>
                <c:pt idx="815">
                  <c:v>53.5</c:v>
                </c:pt>
                <c:pt idx="816">
                  <c:v>54.5</c:v>
                </c:pt>
                <c:pt idx="817">
                  <c:v>56</c:v>
                </c:pt>
                <c:pt idx="818">
                  <c:v>57.6</c:v>
                </c:pt>
                <c:pt idx="819">
                  <c:v>56.6</c:v>
                </c:pt>
                <c:pt idx="820">
                  <c:v>55.3</c:v>
                </c:pt>
                <c:pt idx="821">
                  <c:v>55.5</c:v>
                </c:pt>
                <c:pt idx="822">
                  <c:v>56.7</c:v>
                </c:pt>
                <c:pt idx="823">
                  <c:v>56.5</c:v>
                </c:pt>
                <c:pt idx="824">
                  <c:v>59.3</c:v>
                </c:pt>
                <c:pt idx="825">
                  <c:v>60.2</c:v>
                </c:pt>
                <c:pt idx="826">
                  <c:v>58.5</c:v>
                </c:pt>
                <c:pt idx="827">
                  <c:v>58.2</c:v>
                </c:pt>
                <c:pt idx="828">
                  <c:v>59.3</c:v>
                </c:pt>
                <c:pt idx="829">
                  <c:v>59.1</c:v>
                </c:pt>
                <c:pt idx="830">
                  <c:v>60.7</c:v>
                </c:pt>
                <c:pt idx="831">
                  <c:v>59.3</c:v>
                </c:pt>
                <c:pt idx="832">
                  <c:v>57.9</c:v>
                </c:pt>
              </c:numCache>
            </c:numRef>
          </c:val>
          <c:smooth val="0"/>
          <c:extLst>
            <c:ext xmlns:c16="http://schemas.microsoft.com/office/drawing/2014/chart" uri="{C3380CC4-5D6E-409C-BE32-E72D297353CC}">
              <c16:uniqueId val="{00000001-EA26-0449-B24E-CC1C2E4CC487}"/>
            </c:ext>
          </c:extLst>
        </c:ser>
        <c:dLbls>
          <c:showLegendKey val="0"/>
          <c:showVal val="0"/>
          <c:showCatName val="0"/>
          <c:showSerName val="0"/>
          <c:showPercent val="0"/>
          <c:showBubbleSize val="0"/>
        </c:dLbls>
        <c:marker val="1"/>
        <c:smooth val="0"/>
        <c:axId val="697537007"/>
        <c:axId val="814336863"/>
      </c:lineChart>
      <c:dateAx>
        <c:axId val="831590079"/>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380063"/>
        <c:crosses val="autoZero"/>
        <c:auto val="1"/>
        <c:lblOffset val="100"/>
        <c:baseTimeUnit val="months"/>
      </c:dateAx>
      <c:valAx>
        <c:axId val="7893800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590079"/>
        <c:crosses val="autoZero"/>
        <c:crossBetween val="between"/>
      </c:valAx>
      <c:valAx>
        <c:axId val="81433686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537007"/>
        <c:crosses val="max"/>
        <c:crossBetween val="between"/>
      </c:valAx>
      <c:dateAx>
        <c:axId val="697537007"/>
        <c:scaling>
          <c:orientation val="minMax"/>
        </c:scaling>
        <c:delete val="1"/>
        <c:axPos val="b"/>
        <c:numFmt formatCode="m/d/yy" sourceLinked="1"/>
        <c:majorTickMark val="out"/>
        <c:minorTickMark val="none"/>
        <c:tickLblPos val="nextTo"/>
        <c:crossAx val="814336863"/>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12Month Lagged PMI vs SPX</a:t>
            </a:r>
            <a:r>
              <a:rPr lang="en-US" baseline="0"/>
              <a:t> Adj Close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'PMI Analysis'!$X$1</c:f>
              <c:strCache>
                <c:ptCount val="1"/>
                <c:pt idx="0">
                  <c:v>Adj Close SPX</c:v>
                </c:pt>
              </c:strCache>
            </c:strRef>
          </c:tx>
          <c:spPr>
            <a:ln w="6350" cap="rnd">
              <a:solidFill>
                <a:schemeClr val="accent3"/>
              </a:solidFill>
              <a:round/>
            </a:ln>
            <a:effectLst/>
          </c:spPr>
          <c:marker>
            <c:symbol val="none"/>
          </c:marker>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Analysis'!$X$2:$X$833</c:f>
              <c:numCache>
                <c:formatCode>General</c:formatCode>
                <c:ptCount val="832"/>
                <c:pt idx="0">
                  <c:v>17.049999</c:v>
                </c:pt>
                <c:pt idx="1">
                  <c:v>17.219999000000001</c:v>
                </c:pt>
                <c:pt idx="2">
                  <c:v>17.290001</c:v>
                </c:pt>
                <c:pt idx="3">
                  <c:v>18.07</c:v>
                </c:pt>
                <c:pt idx="4">
                  <c:v>18.780000999999999</c:v>
                </c:pt>
                <c:pt idx="5">
                  <c:v>17.690000999999999</c:v>
                </c:pt>
                <c:pt idx="6">
                  <c:v>17.84</c:v>
                </c:pt>
                <c:pt idx="7">
                  <c:v>18.420000000000002</c:v>
                </c:pt>
                <c:pt idx="8">
                  <c:v>19.450001</c:v>
                </c:pt>
                <c:pt idx="9">
                  <c:v>19.530000999999999</c:v>
                </c:pt>
                <c:pt idx="10">
                  <c:v>19.510000000000002</c:v>
                </c:pt>
                <c:pt idx="11">
                  <c:v>20.41</c:v>
                </c:pt>
                <c:pt idx="12">
                  <c:v>21.66</c:v>
                </c:pt>
                <c:pt idx="13">
                  <c:v>21.799999</c:v>
                </c:pt>
                <c:pt idx="14">
                  <c:v>21.4</c:v>
                </c:pt>
                <c:pt idx="15">
                  <c:v>22.43</c:v>
                </c:pt>
                <c:pt idx="16">
                  <c:v>21.52</c:v>
                </c:pt>
                <c:pt idx="17">
                  <c:v>20.959999</c:v>
                </c:pt>
                <c:pt idx="18">
                  <c:v>22.4</c:v>
                </c:pt>
                <c:pt idx="19">
                  <c:v>23.280000999999999</c:v>
                </c:pt>
                <c:pt idx="20">
                  <c:v>23.26</c:v>
                </c:pt>
                <c:pt idx="21">
                  <c:v>22.940000999999999</c:v>
                </c:pt>
                <c:pt idx="22">
                  <c:v>22.879999000000002</c:v>
                </c:pt>
                <c:pt idx="23">
                  <c:v>23.77</c:v>
                </c:pt>
                <c:pt idx="24">
                  <c:v>24.139999</c:v>
                </c:pt>
                <c:pt idx="25">
                  <c:v>23.26</c:v>
                </c:pt>
                <c:pt idx="26">
                  <c:v>24.370000999999998</c:v>
                </c:pt>
                <c:pt idx="27">
                  <c:v>23.32</c:v>
                </c:pt>
                <c:pt idx="28">
                  <c:v>23.860001</c:v>
                </c:pt>
                <c:pt idx="29">
                  <c:v>24.959999</c:v>
                </c:pt>
                <c:pt idx="30">
                  <c:v>25.4</c:v>
                </c:pt>
                <c:pt idx="31">
                  <c:v>25.030000999999999</c:v>
                </c:pt>
                <c:pt idx="32">
                  <c:v>24.540001</c:v>
                </c:pt>
                <c:pt idx="33">
                  <c:v>24.52</c:v>
                </c:pt>
                <c:pt idx="34">
                  <c:v>25.66</c:v>
                </c:pt>
                <c:pt idx="35">
                  <c:v>26.57</c:v>
                </c:pt>
                <c:pt idx="36">
                  <c:v>26.379999000000002</c:v>
                </c:pt>
                <c:pt idx="37">
                  <c:v>25.9</c:v>
                </c:pt>
                <c:pt idx="38">
                  <c:v>25.290001</c:v>
                </c:pt>
                <c:pt idx="39">
                  <c:v>24.620000999999998</c:v>
                </c:pt>
                <c:pt idx="40">
                  <c:v>24.540001</c:v>
                </c:pt>
                <c:pt idx="41">
                  <c:v>24.139999</c:v>
                </c:pt>
                <c:pt idx="42">
                  <c:v>24.75</c:v>
                </c:pt>
                <c:pt idx="43">
                  <c:v>23.32</c:v>
                </c:pt>
                <c:pt idx="44">
                  <c:v>23.35</c:v>
                </c:pt>
                <c:pt idx="45">
                  <c:v>24.540001</c:v>
                </c:pt>
                <c:pt idx="46">
                  <c:v>24.76</c:v>
                </c:pt>
                <c:pt idx="47">
                  <c:v>24.809999000000001</c:v>
                </c:pt>
                <c:pt idx="48">
                  <c:v>26.08</c:v>
                </c:pt>
                <c:pt idx="49">
                  <c:v>26.15</c:v>
                </c:pt>
                <c:pt idx="50">
                  <c:v>26.940000999999999</c:v>
                </c:pt>
                <c:pt idx="51">
                  <c:v>28.26</c:v>
                </c:pt>
                <c:pt idx="52">
                  <c:v>29.190000999999999</c:v>
                </c:pt>
                <c:pt idx="53">
                  <c:v>29.209999</c:v>
                </c:pt>
                <c:pt idx="54">
                  <c:v>30.879999000000002</c:v>
                </c:pt>
                <c:pt idx="55">
                  <c:v>29.83</c:v>
                </c:pt>
                <c:pt idx="56">
                  <c:v>32.310001</c:v>
                </c:pt>
                <c:pt idx="57">
                  <c:v>31.68</c:v>
                </c:pt>
                <c:pt idx="58">
                  <c:v>34.240001999999997</c:v>
                </c:pt>
                <c:pt idx="59">
                  <c:v>35.979999999999997</c:v>
                </c:pt>
                <c:pt idx="60">
                  <c:v>36.630001</c:v>
                </c:pt>
                <c:pt idx="61">
                  <c:v>36.759998000000003</c:v>
                </c:pt>
                <c:pt idx="62">
                  <c:v>36.580002</c:v>
                </c:pt>
                <c:pt idx="63">
                  <c:v>37.959999000000003</c:v>
                </c:pt>
                <c:pt idx="64">
                  <c:v>37.909999999999997</c:v>
                </c:pt>
                <c:pt idx="65">
                  <c:v>41.029998999999997</c:v>
                </c:pt>
                <c:pt idx="66">
                  <c:v>43.52</c:v>
                </c:pt>
                <c:pt idx="67">
                  <c:v>43.18</c:v>
                </c:pt>
                <c:pt idx="68">
                  <c:v>43.669998</c:v>
                </c:pt>
                <c:pt idx="69">
                  <c:v>42.34</c:v>
                </c:pt>
                <c:pt idx="70">
                  <c:v>45.509998000000003</c:v>
                </c:pt>
                <c:pt idx="71">
                  <c:v>45.48</c:v>
                </c:pt>
                <c:pt idx="72">
                  <c:v>43.82</c:v>
                </c:pt>
                <c:pt idx="73">
                  <c:v>45.34</c:v>
                </c:pt>
                <c:pt idx="74">
                  <c:v>48.48</c:v>
                </c:pt>
                <c:pt idx="75">
                  <c:v>48.380001</c:v>
                </c:pt>
                <c:pt idx="76">
                  <c:v>45.200001</c:v>
                </c:pt>
                <c:pt idx="77">
                  <c:v>46.970001000000003</c:v>
                </c:pt>
                <c:pt idx="78">
                  <c:v>49.389999000000003</c:v>
                </c:pt>
                <c:pt idx="79">
                  <c:v>47.509998000000003</c:v>
                </c:pt>
                <c:pt idx="80">
                  <c:v>45.349997999999999</c:v>
                </c:pt>
                <c:pt idx="81">
                  <c:v>45.580002</c:v>
                </c:pt>
                <c:pt idx="82">
                  <c:v>45.080002</c:v>
                </c:pt>
                <c:pt idx="83">
                  <c:v>46.669998</c:v>
                </c:pt>
                <c:pt idx="84">
                  <c:v>44.720001000000003</c:v>
                </c:pt>
                <c:pt idx="85">
                  <c:v>43.259998000000003</c:v>
                </c:pt>
                <c:pt idx="86">
                  <c:v>44.110000999999997</c:v>
                </c:pt>
                <c:pt idx="87">
                  <c:v>45.740001999999997</c:v>
                </c:pt>
                <c:pt idx="88">
                  <c:v>47.43</c:v>
                </c:pt>
                <c:pt idx="89">
                  <c:v>47.369999</c:v>
                </c:pt>
                <c:pt idx="90">
                  <c:v>47.91</c:v>
                </c:pt>
                <c:pt idx="91">
                  <c:v>45.220001000000003</c:v>
                </c:pt>
                <c:pt idx="92">
                  <c:v>42.419998</c:v>
                </c:pt>
                <c:pt idx="93">
                  <c:v>41.060001</c:v>
                </c:pt>
                <c:pt idx="94">
                  <c:v>41.720001000000003</c:v>
                </c:pt>
                <c:pt idx="95">
                  <c:v>39.990001999999997</c:v>
                </c:pt>
                <c:pt idx="96">
                  <c:v>41.700001</c:v>
                </c:pt>
                <c:pt idx="97">
                  <c:v>40.840000000000003</c:v>
                </c:pt>
                <c:pt idx="98">
                  <c:v>42.099997999999999</c:v>
                </c:pt>
                <c:pt idx="99">
                  <c:v>43.439999</c:v>
                </c:pt>
                <c:pt idx="100">
                  <c:v>44.09</c:v>
                </c:pt>
                <c:pt idx="101">
                  <c:v>45.240001999999997</c:v>
                </c:pt>
                <c:pt idx="102">
                  <c:v>47.189999</c:v>
                </c:pt>
                <c:pt idx="103">
                  <c:v>47.75</c:v>
                </c:pt>
                <c:pt idx="104">
                  <c:v>50.060001</c:v>
                </c:pt>
                <c:pt idx="105">
                  <c:v>51.330002</c:v>
                </c:pt>
                <c:pt idx="106">
                  <c:v>52.48</c:v>
                </c:pt>
                <c:pt idx="107">
                  <c:v>55.209999000000003</c:v>
                </c:pt>
                <c:pt idx="108">
                  <c:v>55.450001</c:v>
                </c:pt>
                <c:pt idx="109">
                  <c:v>55.41</c:v>
                </c:pt>
                <c:pt idx="110">
                  <c:v>55.439999</c:v>
                </c:pt>
                <c:pt idx="111">
                  <c:v>57.59</c:v>
                </c:pt>
                <c:pt idx="112">
                  <c:v>58.68</c:v>
                </c:pt>
                <c:pt idx="113">
                  <c:v>58.470001000000003</c:v>
                </c:pt>
                <c:pt idx="114">
                  <c:v>60.509998000000003</c:v>
                </c:pt>
                <c:pt idx="115">
                  <c:v>59.599997999999999</c:v>
                </c:pt>
                <c:pt idx="116">
                  <c:v>56.880001</c:v>
                </c:pt>
                <c:pt idx="117">
                  <c:v>57.52</c:v>
                </c:pt>
                <c:pt idx="118">
                  <c:v>58.279998999999997</c:v>
                </c:pt>
                <c:pt idx="119">
                  <c:v>59.889999000000003</c:v>
                </c:pt>
                <c:pt idx="120">
                  <c:v>55.610000999999997</c:v>
                </c:pt>
                <c:pt idx="121">
                  <c:v>56.119999</c:v>
                </c:pt>
                <c:pt idx="122">
                  <c:v>55.34</c:v>
                </c:pt>
                <c:pt idx="123">
                  <c:v>54.369999</c:v>
                </c:pt>
                <c:pt idx="124">
                  <c:v>55.830002</c:v>
                </c:pt>
                <c:pt idx="125">
                  <c:v>56.919998</c:v>
                </c:pt>
                <c:pt idx="126">
                  <c:v>55.509998000000003</c:v>
                </c:pt>
                <c:pt idx="127">
                  <c:v>56.959999000000003</c:v>
                </c:pt>
                <c:pt idx="128">
                  <c:v>53.52</c:v>
                </c:pt>
                <c:pt idx="129">
                  <c:v>53.389999000000003</c:v>
                </c:pt>
                <c:pt idx="130">
                  <c:v>55.540000999999997</c:v>
                </c:pt>
                <c:pt idx="131">
                  <c:v>58.110000999999997</c:v>
                </c:pt>
                <c:pt idx="132">
                  <c:v>61.779998999999997</c:v>
                </c:pt>
                <c:pt idx="133">
                  <c:v>63.439999</c:v>
                </c:pt>
                <c:pt idx="134">
                  <c:v>65.059997999999993</c:v>
                </c:pt>
                <c:pt idx="135">
                  <c:v>65.309997999999993</c:v>
                </c:pt>
                <c:pt idx="136">
                  <c:v>66.559997999999993</c:v>
                </c:pt>
                <c:pt idx="137">
                  <c:v>64.639999000000003</c:v>
                </c:pt>
                <c:pt idx="138">
                  <c:v>66.760002</c:v>
                </c:pt>
                <c:pt idx="139">
                  <c:v>68.069999999999993</c:v>
                </c:pt>
                <c:pt idx="140">
                  <c:v>66.730002999999996</c:v>
                </c:pt>
                <c:pt idx="141">
                  <c:v>68.620002999999997</c:v>
                </c:pt>
                <c:pt idx="142">
                  <c:v>71.319999999999993</c:v>
                </c:pt>
                <c:pt idx="143">
                  <c:v>71.550003000000004</c:v>
                </c:pt>
                <c:pt idx="144">
                  <c:v>68.839995999999999</c:v>
                </c:pt>
                <c:pt idx="145">
                  <c:v>69.959998999999996</c:v>
                </c:pt>
                <c:pt idx="146">
                  <c:v>69.550003000000004</c:v>
                </c:pt>
                <c:pt idx="147">
                  <c:v>65.239998</c:v>
                </c:pt>
                <c:pt idx="148">
                  <c:v>59.630001</c:v>
                </c:pt>
                <c:pt idx="149">
                  <c:v>54.75</c:v>
                </c:pt>
                <c:pt idx="150">
                  <c:v>58.23</c:v>
                </c:pt>
                <c:pt idx="151">
                  <c:v>59.119999</c:v>
                </c:pt>
                <c:pt idx="152">
                  <c:v>56.27</c:v>
                </c:pt>
                <c:pt idx="153">
                  <c:v>56.52</c:v>
                </c:pt>
                <c:pt idx="154">
                  <c:v>62.259998000000003</c:v>
                </c:pt>
                <c:pt idx="155">
                  <c:v>63.099997999999999</c:v>
                </c:pt>
                <c:pt idx="156">
                  <c:v>66.199996999999996</c:v>
                </c:pt>
                <c:pt idx="157">
                  <c:v>64.290001000000004</c:v>
                </c:pt>
                <c:pt idx="158">
                  <c:v>66.569999999999993</c:v>
                </c:pt>
                <c:pt idx="159">
                  <c:v>69.800003000000004</c:v>
                </c:pt>
                <c:pt idx="160">
                  <c:v>70.800003000000004</c:v>
                </c:pt>
                <c:pt idx="161">
                  <c:v>69.370002999999997</c:v>
                </c:pt>
                <c:pt idx="162">
                  <c:v>69.129997000000003</c:v>
                </c:pt>
                <c:pt idx="163">
                  <c:v>72.5</c:v>
                </c:pt>
                <c:pt idx="164">
                  <c:v>71.699996999999996</c:v>
                </c:pt>
                <c:pt idx="165">
                  <c:v>74.010002</c:v>
                </c:pt>
                <c:pt idx="166">
                  <c:v>73.230002999999996</c:v>
                </c:pt>
                <c:pt idx="167">
                  <c:v>75.019997000000004</c:v>
                </c:pt>
                <c:pt idx="168">
                  <c:v>77.040001000000004</c:v>
                </c:pt>
                <c:pt idx="169">
                  <c:v>77.800003000000004</c:v>
                </c:pt>
                <c:pt idx="170">
                  <c:v>78.980002999999996</c:v>
                </c:pt>
                <c:pt idx="171">
                  <c:v>79.459998999999996</c:v>
                </c:pt>
                <c:pt idx="172">
                  <c:v>80.370002999999997</c:v>
                </c:pt>
                <c:pt idx="173">
                  <c:v>81.690002000000007</c:v>
                </c:pt>
                <c:pt idx="174">
                  <c:v>83.18</c:v>
                </c:pt>
                <c:pt idx="175">
                  <c:v>81.830001999999993</c:v>
                </c:pt>
                <c:pt idx="176">
                  <c:v>84.18</c:v>
                </c:pt>
                <c:pt idx="177">
                  <c:v>84.860000999999997</c:v>
                </c:pt>
                <c:pt idx="178">
                  <c:v>84.419998000000007</c:v>
                </c:pt>
                <c:pt idx="179">
                  <c:v>84.75</c:v>
                </c:pt>
                <c:pt idx="180">
                  <c:v>87.559997999999993</c:v>
                </c:pt>
                <c:pt idx="181">
                  <c:v>87.43</c:v>
                </c:pt>
                <c:pt idx="182">
                  <c:v>86.160004000000001</c:v>
                </c:pt>
                <c:pt idx="183">
                  <c:v>89.110000999999997</c:v>
                </c:pt>
                <c:pt idx="184">
                  <c:v>88.419998000000007</c:v>
                </c:pt>
                <c:pt idx="185">
                  <c:v>84.120002999999997</c:v>
                </c:pt>
                <c:pt idx="186">
                  <c:v>85.25</c:v>
                </c:pt>
                <c:pt idx="187">
                  <c:v>87.169998000000007</c:v>
                </c:pt>
                <c:pt idx="188">
                  <c:v>89.959998999999996</c:v>
                </c:pt>
                <c:pt idx="189">
                  <c:v>92.419998000000007</c:v>
                </c:pt>
                <c:pt idx="190">
                  <c:v>91.610000999999997</c:v>
                </c:pt>
                <c:pt idx="191">
                  <c:v>92.43</c:v>
                </c:pt>
                <c:pt idx="192">
                  <c:v>92.879997000000003</c:v>
                </c:pt>
                <c:pt idx="193">
                  <c:v>91.220000999999996</c:v>
                </c:pt>
                <c:pt idx="194">
                  <c:v>89.230002999999996</c:v>
                </c:pt>
                <c:pt idx="195">
                  <c:v>91.059997999999993</c:v>
                </c:pt>
                <c:pt idx="196">
                  <c:v>86.129997000000003</c:v>
                </c:pt>
                <c:pt idx="197">
                  <c:v>84.739998</c:v>
                </c:pt>
                <c:pt idx="198">
                  <c:v>83.599997999999999</c:v>
                </c:pt>
                <c:pt idx="199">
                  <c:v>77.099997999999999</c:v>
                </c:pt>
                <c:pt idx="200">
                  <c:v>76.559997999999993</c:v>
                </c:pt>
                <c:pt idx="201">
                  <c:v>80.199996999999996</c:v>
                </c:pt>
                <c:pt idx="202">
                  <c:v>80.449996999999996</c:v>
                </c:pt>
                <c:pt idx="203">
                  <c:v>80.330001999999993</c:v>
                </c:pt>
                <c:pt idx="204">
                  <c:v>86.610000999999997</c:v>
                </c:pt>
                <c:pt idx="205">
                  <c:v>86.779999000000004</c:v>
                </c:pt>
                <c:pt idx="206">
                  <c:v>90.199996999999996</c:v>
                </c:pt>
                <c:pt idx="207">
                  <c:v>94.010002</c:v>
                </c:pt>
                <c:pt idx="208">
                  <c:v>89.080001999999993</c:v>
                </c:pt>
                <c:pt idx="209">
                  <c:v>90.639999000000003</c:v>
                </c:pt>
                <c:pt idx="210">
                  <c:v>94.75</c:v>
                </c:pt>
                <c:pt idx="211">
                  <c:v>93.639999000000003</c:v>
                </c:pt>
                <c:pt idx="212">
                  <c:v>96.709998999999996</c:v>
                </c:pt>
                <c:pt idx="213">
                  <c:v>93.300003000000004</c:v>
                </c:pt>
                <c:pt idx="214">
                  <c:v>94</c:v>
                </c:pt>
                <c:pt idx="215">
                  <c:v>96.470000999999996</c:v>
                </c:pt>
                <c:pt idx="216">
                  <c:v>92.239998</c:v>
                </c:pt>
                <c:pt idx="217">
                  <c:v>89.360000999999997</c:v>
                </c:pt>
                <c:pt idx="218">
                  <c:v>90.199996999999996</c:v>
                </c:pt>
                <c:pt idx="219">
                  <c:v>97.459998999999996</c:v>
                </c:pt>
                <c:pt idx="220">
                  <c:v>98.68</c:v>
                </c:pt>
                <c:pt idx="221">
                  <c:v>99.580001999999993</c:v>
                </c:pt>
                <c:pt idx="222">
                  <c:v>97.739998</c:v>
                </c:pt>
                <c:pt idx="223">
                  <c:v>98.860000999999997</c:v>
                </c:pt>
                <c:pt idx="224">
                  <c:v>102.66999800000001</c:v>
                </c:pt>
                <c:pt idx="225">
                  <c:v>103.410004</c:v>
                </c:pt>
                <c:pt idx="226">
                  <c:v>108.370003</c:v>
                </c:pt>
                <c:pt idx="227">
                  <c:v>103.860001</c:v>
                </c:pt>
                <c:pt idx="228">
                  <c:v>103.010002</c:v>
                </c:pt>
                <c:pt idx="229">
                  <c:v>98.129997000000003</c:v>
                </c:pt>
                <c:pt idx="230">
                  <c:v>101.510002</c:v>
                </c:pt>
                <c:pt idx="231">
                  <c:v>103.69000200000001</c:v>
                </c:pt>
                <c:pt idx="232">
                  <c:v>103.459999</c:v>
                </c:pt>
                <c:pt idx="233">
                  <c:v>97.709998999999996</c:v>
                </c:pt>
                <c:pt idx="234">
                  <c:v>91.830001999999993</c:v>
                </c:pt>
                <c:pt idx="235">
                  <c:v>95.510002</c:v>
                </c:pt>
                <c:pt idx="236">
                  <c:v>93.120002999999997</c:v>
                </c:pt>
                <c:pt idx="237">
                  <c:v>97.120002999999997</c:v>
                </c:pt>
                <c:pt idx="238">
                  <c:v>93.809997999999993</c:v>
                </c:pt>
                <c:pt idx="239">
                  <c:v>92.059997999999993</c:v>
                </c:pt>
                <c:pt idx="240">
                  <c:v>85.019997000000004</c:v>
                </c:pt>
                <c:pt idx="241">
                  <c:v>89.5</c:v>
                </c:pt>
                <c:pt idx="242">
                  <c:v>89.629997000000003</c:v>
                </c:pt>
                <c:pt idx="243">
                  <c:v>81.519997000000004</c:v>
                </c:pt>
                <c:pt idx="244">
                  <c:v>76.550003000000004</c:v>
                </c:pt>
                <c:pt idx="245">
                  <c:v>72.720000999999996</c:v>
                </c:pt>
                <c:pt idx="246">
                  <c:v>78.050003000000004</c:v>
                </c:pt>
                <c:pt idx="247">
                  <c:v>81.519997000000004</c:v>
                </c:pt>
                <c:pt idx="248">
                  <c:v>84.300003000000004</c:v>
                </c:pt>
                <c:pt idx="249">
                  <c:v>83.25</c:v>
                </c:pt>
                <c:pt idx="250">
                  <c:v>87.199996999999996</c:v>
                </c:pt>
                <c:pt idx="251">
                  <c:v>92.150002000000001</c:v>
                </c:pt>
                <c:pt idx="252">
                  <c:v>95.879997000000003</c:v>
                </c:pt>
                <c:pt idx="253">
                  <c:v>96.75</c:v>
                </c:pt>
                <c:pt idx="254">
                  <c:v>100.30999799999999</c:v>
                </c:pt>
                <c:pt idx="255">
                  <c:v>103.949997</c:v>
                </c:pt>
                <c:pt idx="256">
                  <c:v>99.629997000000003</c:v>
                </c:pt>
                <c:pt idx="257">
                  <c:v>98.699996999999996</c:v>
                </c:pt>
                <c:pt idx="258">
                  <c:v>95.580001999999993</c:v>
                </c:pt>
                <c:pt idx="259">
                  <c:v>99.029999000000004</c:v>
                </c:pt>
                <c:pt idx="260">
                  <c:v>98.339995999999999</c:v>
                </c:pt>
                <c:pt idx="261">
                  <c:v>94.230002999999996</c:v>
                </c:pt>
                <c:pt idx="262">
                  <c:v>93.989998</c:v>
                </c:pt>
                <c:pt idx="263">
                  <c:v>102.089996</c:v>
                </c:pt>
                <c:pt idx="264">
                  <c:v>103.94000200000001</c:v>
                </c:pt>
                <c:pt idx="265">
                  <c:v>106.57</c:v>
                </c:pt>
                <c:pt idx="266">
                  <c:v>107.199997</c:v>
                </c:pt>
                <c:pt idx="267">
                  <c:v>107.66999800000001</c:v>
                </c:pt>
                <c:pt idx="268">
                  <c:v>109.529999</c:v>
                </c:pt>
                <c:pt idx="269">
                  <c:v>107.139999</c:v>
                </c:pt>
                <c:pt idx="270">
                  <c:v>107.389999</c:v>
                </c:pt>
                <c:pt idx="271">
                  <c:v>111.089996</c:v>
                </c:pt>
                <c:pt idx="272">
                  <c:v>110.550003</c:v>
                </c:pt>
                <c:pt idx="273">
                  <c:v>111.58000199999999</c:v>
                </c:pt>
                <c:pt idx="274">
                  <c:v>116.66999800000001</c:v>
                </c:pt>
                <c:pt idx="275">
                  <c:v>118.050003</c:v>
                </c:pt>
                <c:pt idx="276">
                  <c:v>116.029999</c:v>
                </c:pt>
                <c:pt idx="277">
                  <c:v>111.68</c:v>
                </c:pt>
                <c:pt idx="278">
                  <c:v>111.519997</c:v>
                </c:pt>
                <c:pt idx="279">
                  <c:v>106.970001</c:v>
                </c:pt>
                <c:pt idx="280">
                  <c:v>104.949997</c:v>
                </c:pt>
                <c:pt idx="281">
                  <c:v>104.260002</c:v>
                </c:pt>
                <c:pt idx="282">
                  <c:v>108.220001</c:v>
                </c:pt>
                <c:pt idx="283">
                  <c:v>104.25</c:v>
                </c:pt>
                <c:pt idx="284">
                  <c:v>108.43</c:v>
                </c:pt>
                <c:pt idx="285">
                  <c:v>108.290001</c:v>
                </c:pt>
                <c:pt idx="286">
                  <c:v>95.959998999999996</c:v>
                </c:pt>
                <c:pt idx="287">
                  <c:v>97.550003000000004</c:v>
                </c:pt>
                <c:pt idx="288">
                  <c:v>96.57</c:v>
                </c:pt>
                <c:pt idx="289">
                  <c:v>96.220000999999996</c:v>
                </c:pt>
                <c:pt idx="290">
                  <c:v>93.980002999999996</c:v>
                </c:pt>
                <c:pt idx="291">
                  <c:v>90.309997999999993</c:v>
                </c:pt>
                <c:pt idx="292">
                  <c:v>87.279999000000004</c:v>
                </c:pt>
                <c:pt idx="293">
                  <c:v>86</c:v>
                </c:pt>
                <c:pt idx="294">
                  <c:v>79.309997999999993</c:v>
                </c:pt>
                <c:pt idx="295">
                  <c:v>72.150002000000001</c:v>
                </c:pt>
                <c:pt idx="296">
                  <c:v>63.540000999999997</c:v>
                </c:pt>
                <c:pt idx="297">
                  <c:v>73.900002000000001</c:v>
                </c:pt>
                <c:pt idx="298">
                  <c:v>69.970000999999996</c:v>
                </c:pt>
                <c:pt idx="299">
                  <c:v>68.559997999999993</c:v>
                </c:pt>
                <c:pt idx="300">
                  <c:v>76.980002999999996</c:v>
                </c:pt>
                <c:pt idx="301">
                  <c:v>81.589995999999999</c:v>
                </c:pt>
                <c:pt idx="302">
                  <c:v>83.360000999999997</c:v>
                </c:pt>
                <c:pt idx="303">
                  <c:v>87.300003000000004</c:v>
                </c:pt>
                <c:pt idx="304">
                  <c:v>91.150002000000001</c:v>
                </c:pt>
                <c:pt idx="305">
                  <c:v>95.190002000000007</c:v>
                </c:pt>
                <c:pt idx="306">
                  <c:v>88.75</c:v>
                </c:pt>
                <c:pt idx="307">
                  <c:v>86.879997000000003</c:v>
                </c:pt>
                <c:pt idx="308">
                  <c:v>83.870002999999997</c:v>
                </c:pt>
                <c:pt idx="309">
                  <c:v>89.040001000000004</c:v>
                </c:pt>
                <c:pt idx="310">
                  <c:v>91.239998</c:v>
                </c:pt>
                <c:pt idx="311">
                  <c:v>90.190002000000007</c:v>
                </c:pt>
                <c:pt idx="312">
                  <c:v>100.860001</c:v>
                </c:pt>
                <c:pt idx="313">
                  <c:v>99.709998999999996</c:v>
                </c:pt>
                <c:pt idx="314">
                  <c:v>102.769997</c:v>
                </c:pt>
                <c:pt idx="315">
                  <c:v>101.639999</c:v>
                </c:pt>
                <c:pt idx="316">
                  <c:v>100.18</c:v>
                </c:pt>
                <c:pt idx="317">
                  <c:v>104.279999</c:v>
                </c:pt>
                <c:pt idx="318">
                  <c:v>103.44000200000001</c:v>
                </c:pt>
                <c:pt idx="319">
                  <c:v>102.910004</c:v>
                </c:pt>
                <c:pt idx="320">
                  <c:v>105.239998</c:v>
                </c:pt>
                <c:pt idx="321">
                  <c:v>102.900002</c:v>
                </c:pt>
                <c:pt idx="322">
                  <c:v>102.099998</c:v>
                </c:pt>
                <c:pt idx="323">
                  <c:v>107.459999</c:v>
                </c:pt>
                <c:pt idx="324">
                  <c:v>102.029999</c:v>
                </c:pt>
                <c:pt idx="325">
                  <c:v>99.82</c:v>
                </c:pt>
                <c:pt idx="326">
                  <c:v>98.419998000000007</c:v>
                </c:pt>
                <c:pt idx="327">
                  <c:v>98.440002000000007</c:v>
                </c:pt>
                <c:pt idx="328">
                  <c:v>96.120002999999997</c:v>
                </c:pt>
                <c:pt idx="329">
                  <c:v>100.480003</c:v>
                </c:pt>
                <c:pt idx="330">
                  <c:v>98.849997999999999</c:v>
                </c:pt>
                <c:pt idx="331">
                  <c:v>96.769997000000004</c:v>
                </c:pt>
                <c:pt idx="332">
                  <c:v>96.529999000000004</c:v>
                </c:pt>
                <c:pt idx="333">
                  <c:v>92.339995999999999</c:v>
                </c:pt>
                <c:pt idx="334">
                  <c:v>94.830001999999993</c:v>
                </c:pt>
                <c:pt idx="335">
                  <c:v>95.099997999999999</c:v>
                </c:pt>
                <c:pt idx="336">
                  <c:v>89.25</c:v>
                </c:pt>
                <c:pt idx="337">
                  <c:v>87.040001000000004</c:v>
                </c:pt>
                <c:pt idx="338">
                  <c:v>89.209998999999996</c:v>
                </c:pt>
                <c:pt idx="339">
                  <c:v>96.830001999999993</c:v>
                </c:pt>
                <c:pt idx="340">
                  <c:v>97.239998</c:v>
                </c:pt>
                <c:pt idx="341">
                  <c:v>95.529999000000004</c:v>
                </c:pt>
                <c:pt idx="342">
                  <c:v>100.68</c:v>
                </c:pt>
                <c:pt idx="343">
                  <c:v>103.290001</c:v>
                </c:pt>
                <c:pt idx="344">
                  <c:v>102.540001</c:v>
                </c:pt>
                <c:pt idx="345">
                  <c:v>93.150002000000001</c:v>
                </c:pt>
                <c:pt idx="346">
                  <c:v>94.699996999999996</c:v>
                </c:pt>
                <c:pt idx="347">
                  <c:v>96.110000999999997</c:v>
                </c:pt>
                <c:pt idx="348">
                  <c:v>99.93</c:v>
                </c:pt>
                <c:pt idx="349">
                  <c:v>96.279999000000004</c:v>
                </c:pt>
                <c:pt idx="350">
                  <c:v>101.589996</c:v>
                </c:pt>
                <c:pt idx="351">
                  <c:v>101.760002</c:v>
                </c:pt>
                <c:pt idx="352">
                  <c:v>99.080001999999993</c:v>
                </c:pt>
                <c:pt idx="353">
                  <c:v>102.910004</c:v>
                </c:pt>
                <c:pt idx="354">
                  <c:v>103.80999799999999</c:v>
                </c:pt>
                <c:pt idx="355">
                  <c:v>109.32</c:v>
                </c:pt>
                <c:pt idx="356">
                  <c:v>109.32</c:v>
                </c:pt>
                <c:pt idx="357">
                  <c:v>101.82</c:v>
                </c:pt>
                <c:pt idx="358">
                  <c:v>106.160004</c:v>
                </c:pt>
                <c:pt idx="359">
                  <c:v>107.94000200000001</c:v>
                </c:pt>
                <c:pt idx="360">
                  <c:v>114.160004</c:v>
                </c:pt>
                <c:pt idx="361">
                  <c:v>113.660004</c:v>
                </c:pt>
                <c:pt idx="362">
                  <c:v>102.089996</c:v>
                </c:pt>
                <c:pt idx="363">
                  <c:v>106.290001</c:v>
                </c:pt>
                <c:pt idx="364">
                  <c:v>111.239998</c:v>
                </c:pt>
                <c:pt idx="365">
                  <c:v>114.239998</c:v>
                </c:pt>
                <c:pt idx="366">
                  <c:v>121.66999800000001</c:v>
                </c:pt>
                <c:pt idx="367">
                  <c:v>122.379997</c:v>
                </c:pt>
                <c:pt idx="368">
                  <c:v>125.459999</c:v>
                </c:pt>
                <c:pt idx="369">
                  <c:v>127.470001</c:v>
                </c:pt>
                <c:pt idx="370">
                  <c:v>140.520004</c:v>
                </c:pt>
                <c:pt idx="371">
                  <c:v>135.759995</c:v>
                </c:pt>
                <c:pt idx="372">
                  <c:v>129.550003</c:v>
                </c:pt>
                <c:pt idx="373">
                  <c:v>131.270004</c:v>
                </c:pt>
                <c:pt idx="374">
                  <c:v>136</c:v>
                </c:pt>
                <c:pt idx="375">
                  <c:v>132.80999800000001</c:v>
                </c:pt>
                <c:pt idx="376">
                  <c:v>132.58999600000001</c:v>
                </c:pt>
                <c:pt idx="377">
                  <c:v>131.21000699999999</c:v>
                </c:pt>
                <c:pt idx="378">
                  <c:v>130.91999799999999</c:v>
                </c:pt>
                <c:pt idx="379">
                  <c:v>122.790001</c:v>
                </c:pt>
                <c:pt idx="380">
                  <c:v>116.18</c:v>
                </c:pt>
                <c:pt idx="381">
                  <c:v>121.889999</c:v>
                </c:pt>
                <c:pt idx="382">
                  <c:v>126.349998</c:v>
                </c:pt>
                <c:pt idx="383">
                  <c:v>122.550003</c:v>
                </c:pt>
                <c:pt idx="384">
                  <c:v>120.400002</c:v>
                </c:pt>
                <c:pt idx="385">
                  <c:v>113.110001</c:v>
                </c:pt>
                <c:pt idx="386">
                  <c:v>111.959999</c:v>
                </c:pt>
                <c:pt idx="387">
                  <c:v>116.44000200000001</c:v>
                </c:pt>
                <c:pt idx="388">
                  <c:v>111.879997</c:v>
                </c:pt>
                <c:pt idx="389">
                  <c:v>109.610001</c:v>
                </c:pt>
                <c:pt idx="390">
                  <c:v>107.089996</c:v>
                </c:pt>
                <c:pt idx="391">
                  <c:v>119.510002</c:v>
                </c:pt>
                <c:pt idx="392">
                  <c:v>120.41999800000001</c:v>
                </c:pt>
                <c:pt idx="393">
                  <c:v>133.720001</c:v>
                </c:pt>
                <c:pt idx="394">
                  <c:v>138.529999</c:v>
                </c:pt>
                <c:pt idx="395">
                  <c:v>140.63999899999999</c:v>
                </c:pt>
                <c:pt idx="396">
                  <c:v>145.300003</c:v>
                </c:pt>
                <c:pt idx="397">
                  <c:v>148.05999800000001</c:v>
                </c:pt>
                <c:pt idx="398">
                  <c:v>152.96000699999999</c:v>
                </c:pt>
                <c:pt idx="399">
                  <c:v>164.429993</c:v>
                </c:pt>
                <c:pt idx="400">
                  <c:v>162.38999899999999</c:v>
                </c:pt>
                <c:pt idx="401">
                  <c:v>167.63999899999999</c:v>
                </c:pt>
                <c:pt idx="402">
                  <c:v>162.55999800000001</c:v>
                </c:pt>
                <c:pt idx="403">
                  <c:v>164.39999399999999</c:v>
                </c:pt>
                <c:pt idx="404">
                  <c:v>166.070007</c:v>
                </c:pt>
                <c:pt idx="405">
                  <c:v>163.550003</c:v>
                </c:pt>
                <c:pt idx="406">
                  <c:v>166.39999399999999</c:v>
                </c:pt>
                <c:pt idx="407">
                  <c:v>164.929993</c:v>
                </c:pt>
                <c:pt idx="408">
                  <c:v>163.41000399999999</c:v>
                </c:pt>
                <c:pt idx="409">
                  <c:v>157.05999800000001</c:v>
                </c:pt>
                <c:pt idx="410">
                  <c:v>159.179993</c:v>
                </c:pt>
                <c:pt idx="411">
                  <c:v>160.050003</c:v>
                </c:pt>
                <c:pt idx="412">
                  <c:v>150.550003</c:v>
                </c:pt>
                <c:pt idx="413">
                  <c:v>153.179993</c:v>
                </c:pt>
                <c:pt idx="414">
                  <c:v>150.66000399999999</c:v>
                </c:pt>
                <c:pt idx="415">
                  <c:v>166.679993</c:v>
                </c:pt>
                <c:pt idx="416">
                  <c:v>166.10000600000001</c:v>
                </c:pt>
                <c:pt idx="417">
                  <c:v>166.08999600000001</c:v>
                </c:pt>
                <c:pt idx="418">
                  <c:v>163.58000200000001</c:v>
                </c:pt>
                <c:pt idx="419">
                  <c:v>167.240005</c:v>
                </c:pt>
                <c:pt idx="420">
                  <c:v>179.63000500000001</c:v>
                </c:pt>
                <c:pt idx="421">
                  <c:v>181.179993</c:v>
                </c:pt>
                <c:pt idx="422">
                  <c:v>180.66000399999999</c:v>
                </c:pt>
                <c:pt idx="423">
                  <c:v>179.83000200000001</c:v>
                </c:pt>
                <c:pt idx="424">
                  <c:v>189.550003</c:v>
                </c:pt>
                <c:pt idx="425">
                  <c:v>191.85000600000001</c:v>
                </c:pt>
                <c:pt idx="426">
                  <c:v>190.91999799999999</c:v>
                </c:pt>
                <c:pt idx="427">
                  <c:v>188.63000500000001</c:v>
                </c:pt>
                <c:pt idx="428">
                  <c:v>182.08000200000001</c:v>
                </c:pt>
                <c:pt idx="429">
                  <c:v>189.820007</c:v>
                </c:pt>
                <c:pt idx="430">
                  <c:v>202.16999799999999</c:v>
                </c:pt>
                <c:pt idx="431">
                  <c:v>211.279999</c:v>
                </c:pt>
                <c:pt idx="432">
                  <c:v>211.779999</c:v>
                </c:pt>
                <c:pt idx="433">
                  <c:v>226.91999799999999</c:v>
                </c:pt>
                <c:pt idx="434">
                  <c:v>238.89999399999999</c:v>
                </c:pt>
                <c:pt idx="435">
                  <c:v>235.520004</c:v>
                </c:pt>
                <c:pt idx="436">
                  <c:v>247.35000600000001</c:v>
                </c:pt>
                <c:pt idx="437">
                  <c:v>250.83999600000001</c:v>
                </c:pt>
                <c:pt idx="438">
                  <c:v>236.11999499999999</c:v>
                </c:pt>
                <c:pt idx="439">
                  <c:v>252.929993</c:v>
                </c:pt>
                <c:pt idx="440">
                  <c:v>231.320007</c:v>
                </c:pt>
                <c:pt idx="441">
                  <c:v>243.979996</c:v>
                </c:pt>
                <c:pt idx="442">
                  <c:v>249.220001</c:v>
                </c:pt>
                <c:pt idx="443">
                  <c:v>242.16999799999999</c:v>
                </c:pt>
                <c:pt idx="444">
                  <c:v>274.07998700000002</c:v>
                </c:pt>
                <c:pt idx="445">
                  <c:v>284.20001200000002</c:v>
                </c:pt>
                <c:pt idx="446">
                  <c:v>291.70001200000002</c:v>
                </c:pt>
                <c:pt idx="447">
                  <c:v>288.35998499999999</c:v>
                </c:pt>
                <c:pt idx="448">
                  <c:v>290.10000600000001</c:v>
                </c:pt>
                <c:pt idx="449">
                  <c:v>304</c:v>
                </c:pt>
                <c:pt idx="450">
                  <c:v>318.66000400000001</c:v>
                </c:pt>
                <c:pt idx="451">
                  <c:v>329.79998799999998</c:v>
                </c:pt>
                <c:pt idx="452">
                  <c:v>321.82998700000002</c:v>
                </c:pt>
                <c:pt idx="453">
                  <c:v>251.78999300000001</c:v>
                </c:pt>
                <c:pt idx="454">
                  <c:v>230.300003</c:v>
                </c:pt>
                <c:pt idx="455">
                  <c:v>247.08000200000001</c:v>
                </c:pt>
                <c:pt idx="456">
                  <c:v>257.07000699999998</c:v>
                </c:pt>
                <c:pt idx="457">
                  <c:v>267.82000699999998</c:v>
                </c:pt>
                <c:pt idx="458">
                  <c:v>258.89001500000001</c:v>
                </c:pt>
                <c:pt idx="459">
                  <c:v>261.32998700000002</c:v>
                </c:pt>
                <c:pt idx="460">
                  <c:v>262.16000400000001</c:v>
                </c:pt>
                <c:pt idx="461">
                  <c:v>273.5</c:v>
                </c:pt>
                <c:pt idx="462">
                  <c:v>272.01998900000001</c:v>
                </c:pt>
                <c:pt idx="463">
                  <c:v>261.51998900000001</c:v>
                </c:pt>
                <c:pt idx="464">
                  <c:v>271.91000400000001</c:v>
                </c:pt>
                <c:pt idx="465">
                  <c:v>278.97000100000002</c:v>
                </c:pt>
                <c:pt idx="466">
                  <c:v>273.70001200000002</c:v>
                </c:pt>
                <c:pt idx="467">
                  <c:v>277.72000100000002</c:v>
                </c:pt>
                <c:pt idx="468">
                  <c:v>297.47000100000002</c:v>
                </c:pt>
                <c:pt idx="469">
                  <c:v>288.85998499999999</c:v>
                </c:pt>
                <c:pt idx="470">
                  <c:v>294.86999500000002</c:v>
                </c:pt>
                <c:pt idx="471">
                  <c:v>309.64001500000001</c:v>
                </c:pt>
                <c:pt idx="472">
                  <c:v>320.51998900000001</c:v>
                </c:pt>
                <c:pt idx="473">
                  <c:v>317.98001099999999</c:v>
                </c:pt>
                <c:pt idx="474">
                  <c:v>346.07998700000002</c:v>
                </c:pt>
                <c:pt idx="475">
                  <c:v>351.45001200000002</c:v>
                </c:pt>
                <c:pt idx="476">
                  <c:v>349.14999399999999</c:v>
                </c:pt>
                <c:pt idx="477">
                  <c:v>340.35998499999999</c:v>
                </c:pt>
                <c:pt idx="478">
                  <c:v>345.98998999999998</c:v>
                </c:pt>
                <c:pt idx="479">
                  <c:v>353.39999399999999</c:v>
                </c:pt>
                <c:pt idx="480">
                  <c:v>329.07998700000002</c:v>
                </c:pt>
                <c:pt idx="481">
                  <c:v>331.89001500000001</c:v>
                </c:pt>
                <c:pt idx="482">
                  <c:v>339.94000199999999</c:v>
                </c:pt>
                <c:pt idx="483">
                  <c:v>330.79998799999998</c:v>
                </c:pt>
                <c:pt idx="484">
                  <c:v>361.23001099999999</c:v>
                </c:pt>
                <c:pt idx="485">
                  <c:v>358.01998900000001</c:v>
                </c:pt>
                <c:pt idx="486">
                  <c:v>356.14999399999999</c:v>
                </c:pt>
                <c:pt idx="487">
                  <c:v>322.55999800000001</c:v>
                </c:pt>
                <c:pt idx="488">
                  <c:v>306.04998799999998</c:v>
                </c:pt>
                <c:pt idx="489">
                  <c:v>304</c:v>
                </c:pt>
                <c:pt idx="490">
                  <c:v>322.22000100000002</c:v>
                </c:pt>
                <c:pt idx="491">
                  <c:v>330.22000100000002</c:v>
                </c:pt>
                <c:pt idx="492">
                  <c:v>343.92999300000002</c:v>
                </c:pt>
                <c:pt idx="493">
                  <c:v>367.07000699999998</c:v>
                </c:pt>
                <c:pt idx="494">
                  <c:v>375.22000100000002</c:v>
                </c:pt>
                <c:pt idx="495">
                  <c:v>375.33999599999999</c:v>
                </c:pt>
                <c:pt idx="496">
                  <c:v>389.82998700000002</c:v>
                </c:pt>
                <c:pt idx="497">
                  <c:v>371.16000400000001</c:v>
                </c:pt>
                <c:pt idx="498">
                  <c:v>387.80999800000001</c:v>
                </c:pt>
                <c:pt idx="499">
                  <c:v>395.42999300000002</c:v>
                </c:pt>
                <c:pt idx="500">
                  <c:v>387.85998499999999</c:v>
                </c:pt>
                <c:pt idx="501">
                  <c:v>392.45001200000002</c:v>
                </c:pt>
                <c:pt idx="502">
                  <c:v>375.22000100000002</c:v>
                </c:pt>
                <c:pt idx="503">
                  <c:v>417.08999599999999</c:v>
                </c:pt>
                <c:pt idx="504">
                  <c:v>408.77999899999998</c:v>
                </c:pt>
                <c:pt idx="505">
                  <c:v>412.70001200000002</c:v>
                </c:pt>
                <c:pt idx="506">
                  <c:v>403.69000199999999</c:v>
                </c:pt>
                <c:pt idx="507">
                  <c:v>414.95001200000002</c:v>
                </c:pt>
                <c:pt idx="508">
                  <c:v>415.35000600000001</c:v>
                </c:pt>
                <c:pt idx="509">
                  <c:v>408.14001500000001</c:v>
                </c:pt>
                <c:pt idx="510">
                  <c:v>424.209991</c:v>
                </c:pt>
                <c:pt idx="511">
                  <c:v>414.02999899999998</c:v>
                </c:pt>
                <c:pt idx="512">
                  <c:v>417.79998799999998</c:v>
                </c:pt>
                <c:pt idx="513">
                  <c:v>418.67999300000002</c:v>
                </c:pt>
                <c:pt idx="514">
                  <c:v>431.35000600000001</c:v>
                </c:pt>
                <c:pt idx="515">
                  <c:v>435.709991</c:v>
                </c:pt>
                <c:pt idx="516">
                  <c:v>438.77999899999998</c:v>
                </c:pt>
                <c:pt idx="517">
                  <c:v>443.38000499999998</c:v>
                </c:pt>
                <c:pt idx="518">
                  <c:v>451.67001299999998</c:v>
                </c:pt>
                <c:pt idx="519">
                  <c:v>440.19000199999999</c:v>
                </c:pt>
                <c:pt idx="520">
                  <c:v>450.19000199999999</c:v>
                </c:pt>
                <c:pt idx="521">
                  <c:v>450.52999899999998</c:v>
                </c:pt>
                <c:pt idx="522">
                  <c:v>448.13000499999998</c:v>
                </c:pt>
                <c:pt idx="523">
                  <c:v>463.55999800000001</c:v>
                </c:pt>
                <c:pt idx="524">
                  <c:v>458.92999300000002</c:v>
                </c:pt>
                <c:pt idx="525">
                  <c:v>467.82998700000002</c:v>
                </c:pt>
                <c:pt idx="526">
                  <c:v>461.790009</c:v>
                </c:pt>
                <c:pt idx="527">
                  <c:v>466.45001200000002</c:v>
                </c:pt>
                <c:pt idx="528">
                  <c:v>481.60998499999999</c:v>
                </c:pt>
                <c:pt idx="529">
                  <c:v>467.14001500000001</c:v>
                </c:pt>
                <c:pt idx="530">
                  <c:v>445.76998900000001</c:v>
                </c:pt>
                <c:pt idx="531">
                  <c:v>450.91000400000001</c:v>
                </c:pt>
                <c:pt idx="532">
                  <c:v>456.5</c:v>
                </c:pt>
                <c:pt idx="533">
                  <c:v>444.26998900000001</c:v>
                </c:pt>
                <c:pt idx="534">
                  <c:v>458.26001000000002</c:v>
                </c:pt>
                <c:pt idx="535">
                  <c:v>475.48998999999998</c:v>
                </c:pt>
                <c:pt idx="536">
                  <c:v>462.709991</c:v>
                </c:pt>
                <c:pt idx="537">
                  <c:v>472.35000600000001</c:v>
                </c:pt>
                <c:pt idx="538">
                  <c:v>453.69000199999999</c:v>
                </c:pt>
                <c:pt idx="539">
                  <c:v>459.26998900000001</c:v>
                </c:pt>
                <c:pt idx="540">
                  <c:v>470.42001299999998</c:v>
                </c:pt>
                <c:pt idx="541">
                  <c:v>487.39001500000001</c:v>
                </c:pt>
                <c:pt idx="542">
                  <c:v>500.709991</c:v>
                </c:pt>
                <c:pt idx="543">
                  <c:v>514.71002199999998</c:v>
                </c:pt>
                <c:pt idx="544">
                  <c:v>533.40002400000003</c:v>
                </c:pt>
                <c:pt idx="545">
                  <c:v>544.75</c:v>
                </c:pt>
                <c:pt idx="546">
                  <c:v>562.05999799999995</c:v>
                </c:pt>
                <c:pt idx="547">
                  <c:v>561.88000499999998</c:v>
                </c:pt>
                <c:pt idx="548">
                  <c:v>584.40997300000004</c:v>
                </c:pt>
                <c:pt idx="549">
                  <c:v>581.5</c:v>
                </c:pt>
                <c:pt idx="550">
                  <c:v>605.36999500000002</c:v>
                </c:pt>
                <c:pt idx="551">
                  <c:v>615.92999299999997</c:v>
                </c:pt>
                <c:pt idx="552">
                  <c:v>636.02002000000005</c:v>
                </c:pt>
                <c:pt idx="553">
                  <c:v>640.42999299999997</c:v>
                </c:pt>
                <c:pt idx="554">
                  <c:v>645.5</c:v>
                </c:pt>
                <c:pt idx="555">
                  <c:v>654.169983</c:v>
                </c:pt>
                <c:pt idx="556">
                  <c:v>669.11999500000002</c:v>
                </c:pt>
                <c:pt idx="557">
                  <c:v>670.63000499999998</c:v>
                </c:pt>
                <c:pt idx="558">
                  <c:v>639.95001200000002</c:v>
                </c:pt>
                <c:pt idx="559">
                  <c:v>651.98999000000003</c:v>
                </c:pt>
                <c:pt idx="560">
                  <c:v>687.330017</c:v>
                </c:pt>
                <c:pt idx="561">
                  <c:v>705.27002000000005</c:v>
                </c:pt>
                <c:pt idx="562">
                  <c:v>757.02002000000005</c:v>
                </c:pt>
                <c:pt idx="563">
                  <c:v>740.73999000000003</c:v>
                </c:pt>
                <c:pt idx="564">
                  <c:v>786.15997300000004</c:v>
                </c:pt>
                <c:pt idx="565">
                  <c:v>790.82000700000003</c:v>
                </c:pt>
                <c:pt idx="566">
                  <c:v>757.11999500000002</c:v>
                </c:pt>
                <c:pt idx="567">
                  <c:v>801.34002699999996</c:v>
                </c:pt>
                <c:pt idx="568">
                  <c:v>848.28002900000001</c:v>
                </c:pt>
                <c:pt idx="569">
                  <c:v>885.14001499999995</c:v>
                </c:pt>
                <c:pt idx="570">
                  <c:v>954.30999799999995</c:v>
                </c:pt>
                <c:pt idx="571">
                  <c:v>899.46997099999999</c:v>
                </c:pt>
                <c:pt idx="572">
                  <c:v>947.28002900000001</c:v>
                </c:pt>
                <c:pt idx="573">
                  <c:v>914.61999500000002</c:v>
                </c:pt>
                <c:pt idx="574">
                  <c:v>955.40002400000003</c:v>
                </c:pt>
                <c:pt idx="575">
                  <c:v>970.42999299999997</c:v>
                </c:pt>
                <c:pt idx="576">
                  <c:v>980.28002900000001</c:v>
                </c:pt>
                <c:pt idx="577">
                  <c:v>1049.339966</c:v>
                </c:pt>
                <c:pt idx="578">
                  <c:v>1101.75</c:v>
                </c:pt>
                <c:pt idx="579">
                  <c:v>1111.75</c:v>
                </c:pt>
                <c:pt idx="580">
                  <c:v>1090.8199460000001</c:v>
                </c:pt>
                <c:pt idx="581">
                  <c:v>1133.839966</c:v>
                </c:pt>
                <c:pt idx="582">
                  <c:v>1120.670044</c:v>
                </c:pt>
                <c:pt idx="583">
                  <c:v>957.28002900000001</c:v>
                </c:pt>
                <c:pt idx="584">
                  <c:v>1017.01001</c:v>
                </c:pt>
                <c:pt idx="585">
                  <c:v>1098.670044</c:v>
                </c:pt>
                <c:pt idx="586">
                  <c:v>1163.630005</c:v>
                </c:pt>
                <c:pt idx="587">
                  <c:v>1229.2299800000001</c:v>
                </c:pt>
                <c:pt idx="588">
                  <c:v>1279.6400149999999</c:v>
                </c:pt>
                <c:pt idx="589">
                  <c:v>1238.329956</c:v>
                </c:pt>
                <c:pt idx="590">
                  <c:v>1286.369995</c:v>
                </c:pt>
                <c:pt idx="591">
                  <c:v>1335.1800539999999</c:v>
                </c:pt>
                <c:pt idx="592">
                  <c:v>1301.839966</c:v>
                </c:pt>
                <c:pt idx="593">
                  <c:v>1372.709961</c:v>
                </c:pt>
                <c:pt idx="594">
                  <c:v>1328.719971</c:v>
                </c:pt>
                <c:pt idx="595">
                  <c:v>1320.410034</c:v>
                </c:pt>
                <c:pt idx="596">
                  <c:v>1282.709961</c:v>
                </c:pt>
                <c:pt idx="597">
                  <c:v>1362.9300539999999</c:v>
                </c:pt>
                <c:pt idx="598">
                  <c:v>1388.910034</c:v>
                </c:pt>
                <c:pt idx="599">
                  <c:v>1469.25</c:v>
                </c:pt>
                <c:pt idx="600">
                  <c:v>1394.459961</c:v>
                </c:pt>
                <c:pt idx="601">
                  <c:v>1366.420044</c:v>
                </c:pt>
                <c:pt idx="602">
                  <c:v>1498.579956</c:v>
                </c:pt>
                <c:pt idx="603">
                  <c:v>1452.4300539999999</c:v>
                </c:pt>
                <c:pt idx="604">
                  <c:v>1420.599976</c:v>
                </c:pt>
                <c:pt idx="605">
                  <c:v>1454.599976</c:v>
                </c:pt>
                <c:pt idx="606">
                  <c:v>1430.829956</c:v>
                </c:pt>
                <c:pt idx="607">
                  <c:v>1517.6800539999999</c:v>
                </c:pt>
                <c:pt idx="608">
                  <c:v>1436.51001</c:v>
                </c:pt>
                <c:pt idx="609">
                  <c:v>1429.400024</c:v>
                </c:pt>
                <c:pt idx="610">
                  <c:v>1314.9499510000001</c:v>
                </c:pt>
                <c:pt idx="611">
                  <c:v>1320.280029</c:v>
                </c:pt>
                <c:pt idx="612">
                  <c:v>1366.01001</c:v>
                </c:pt>
                <c:pt idx="613">
                  <c:v>1239.9399410000001</c:v>
                </c:pt>
                <c:pt idx="614">
                  <c:v>1160.329956</c:v>
                </c:pt>
                <c:pt idx="615">
                  <c:v>1249.459961</c:v>
                </c:pt>
                <c:pt idx="616">
                  <c:v>1255.8199460000001</c:v>
                </c:pt>
                <c:pt idx="617">
                  <c:v>1224.380005</c:v>
                </c:pt>
                <c:pt idx="618">
                  <c:v>1211.2299800000001</c:v>
                </c:pt>
                <c:pt idx="619">
                  <c:v>1133.579956</c:v>
                </c:pt>
                <c:pt idx="620">
                  <c:v>1040.9399410000001</c:v>
                </c:pt>
                <c:pt idx="621">
                  <c:v>1059.780029</c:v>
                </c:pt>
                <c:pt idx="622">
                  <c:v>1139.4499510000001</c:v>
                </c:pt>
                <c:pt idx="623">
                  <c:v>1148.079956</c:v>
                </c:pt>
                <c:pt idx="624">
                  <c:v>1130.1999510000001</c:v>
                </c:pt>
                <c:pt idx="625">
                  <c:v>1106.7299800000001</c:v>
                </c:pt>
                <c:pt idx="626">
                  <c:v>1147.3900149999999</c:v>
                </c:pt>
                <c:pt idx="627">
                  <c:v>1076.920044</c:v>
                </c:pt>
                <c:pt idx="628">
                  <c:v>1067.1400149999999</c:v>
                </c:pt>
                <c:pt idx="629">
                  <c:v>989.82000700000003</c:v>
                </c:pt>
                <c:pt idx="630">
                  <c:v>911.61999500000002</c:v>
                </c:pt>
                <c:pt idx="631">
                  <c:v>916.07000700000003</c:v>
                </c:pt>
                <c:pt idx="632">
                  <c:v>815.28002900000001</c:v>
                </c:pt>
                <c:pt idx="633">
                  <c:v>885.76000999999997</c:v>
                </c:pt>
                <c:pt idx="634">
                  <c:v>936.30999799999995</c:v>
                </c:pt>
                <c:pt idx="635">
                  <c:v>879.82000700000003</c:v>
                </c:pt>
                <c:pt idx="636">
                  <c:v>855.70001200000002</c:v>
                </c:pt>
                <c:pt idx="637">
                  <c:v>841.15002400000003</c:v>
                </c:pt>
                <c:pt idx="638">
                  <c:v>848.17999299999997</c:v>
                </c:pt>
                <c:pt idx="639">
                  <c:v>916.919983</c:v>
                </c:pt>
                <c:pt idx="640">
                  <c:v>963.59002699999996</c:v>
                </c:pt>
                <c:pt idx="641">
                  <c:v>974.5</c:v>
                </c:pt>
                <c:pt idx="642">
                  <c:v>990.30999799999995</c:v>
                </c:pt>
                <c:pt idx="643">
                  <c:v>1008.01001</c:v>
                </c:pt>
                <c:pt idx="644">
                  <c:v>995.96997099999999</c:v>
                </c:pt>
                <c:pt idx="645">
                  <c:v>1050.709961</c:v>
                </c:pt>
                <c:pt idx="646">
                  <c:v>1058.1999510000001</c:v>
                </c:pt>
                <c:pt idx="647">
                  <c:v>1111.920044</c:v>
                </c:pt>
                <c:pt idx="648">
                  <c:v>1131.130005</c:v>
                </c:pt>
                <c:pt idx="649">
                  <c:v>1144.9399410000001</c:v>
                </c:pt>
                <c:pt idx="650">
                  <c:v>1126.209961</c:v>
                </c:pt>
                <c:pt idx="651">
                  <c:v>1107.3000489999999</c:v>
                </c:pt>
                <c:pt idx="652">
                  <c:v>1120.6800539999999</c:v>
                </c:pt>
                <c:pt idx="653">
                  <c:v>1140.839966</c:v>
                </c:pt>
                <c:pt idx="654">
                  <c:v>1101.719971</c:v>
                </c:pt>
                <c:pt idx="655">
                  <c:v>1104.23999</c:v>
                </c:pt>
                <c:pt idx="656">
                  <c:v>1114.579956</c:v>
                </c:pt>
                <c:pt idx="657">
                  <c:v>1130.1999510000001</c:v>
                </c:pt>
                <c:pt idx="658">
                  <c:v>1173.8199460000001</c:v>
                </c:pt>
                <c:pt idx="659">
                  <c:v>1211.920044</c:v>
                </c:pt>
                <c:pt idx="660">
                  <c:v>1181.2700199999999</c:v>
                </c:pt>
                <c:pt idx="661">
                  <c:v>1203.599976</c:v>
                </c:pt>
                <c:pt idx="662">
                  <c:v>1180.589966</c:v>
                </c:pt>
                <c:pt idx="663">
                  <c:v>1156.849976</c:v>
                </c:pt>
                <c:pt idx="664">
                  <c:v>1191.5</c:v>
                </c:pt>
                <c:pt idx="665">
                  <c:v>1191.329956</c:v>
                </c:pt>
                <c:pt idx="666">
                  <c:v>1234.1800539999999</c:v>
                </c:pt>
                <c:pt idx="667">
                  <c:v>1220.329956</c:v>
                </c:pt>
                <c:pt idx="668">
                  <c:v>1228.8100589999999</c:v>
                </c:pt>
                <c:pt idx="669">
                  <c:v>1207.01001</c:v>
                </c:pt>
                <c:pt idx="670">
                  <c:v>1249.4799800000001</c:v>
                </c:pt>
                <c:pt idx="671">
                  <c:v>1248.290039</c:v>
                </c:pt>
                <c:pt idx="672">
                  <c:v>1280.079956</c:v>
                </c:pt>
                <c:pt idx="673">
                  <c:v>1280.660034</c:v>
                </c:pt>
                <c:pt idx="674">
                  <c:v>1294.869995</c:v>
                </c:pt>
                <c:pt idx="675">
                  <c:v>1310.6099850000001</c:v>
                </c:pt>
                <c:pt idx="676">
                  <c:v>1270.089966</c:v>
                </c:pt>
                <c:pt idx="677">
                  <c:v>1270.1999510000001</c:v>
                </c:pt>
                <c:pt idx="678">
                  <c:v>1276.660034</c:v>
                </c:pt>
                <c:pt idx="679">
                  <c:v>1303.8199460000001</c:v>
                </c:pt>
                <c:pt idx="680">
                  <c:v>1335.849976</c:v>
                </c:pt>
                <c:pt idx="681">
                  <c:v>1377.9399410000001</c:v>
                </c:pt>
                <c:pt idx="682">
                  <c:v>1400.630005</c:v>
                </c:pt>
                <c:pt idx="683">
                  <c:v>1418.3000489999999</c:v>
                </c:pt>
                <c:pt idx="684">
                  <c:v>1438.23999</c:v>
                </c:pt>
                <c:pt idx="685">
                  <c:v>1406.8199460000001</c:v>
                </c:pt>
                <c:pt idx="686">
                  <c:v>1420.8599850000001</c:v>
                </c:pt>
                <c:pt idx="687">
                  <c:v>1482.369995</c:v>
                </c:pt>
                <c:pt idx="688">
                  <c:v>1530.619995</c:v>
                </c:pt>
                <c:pt idx="689">
                  <c:v>1503.349976</c:v>
                </c:pt>
                <c:pt idx="690">
                  <c:v>1455.2700199999999</c:v>
                </c:pt>
                <c:pt idx="691">
                  <c:v>1473.98999</c:v>
                </c:pt>
                <c:pt idx="692">
                  <c:v>1526.75</c:v>
                </c:pt>
                <c:pt idx="693">
                  <c:v>1549.380005</c:v>
                </c:pt>
                <c:pt idx="694">
                  <c:v>1481.1400149999999</c:v>
                </c:pt>
                <c:pt idx="695">
                  <c:v>1468.3599850000001</c:v>
                </c:pt>
                <c:pt idx="696">
                  <c:v>1378.5500489999999</c:v>
                </c:pt>
                <c:pt idx="697">
                  <c:v>1330.630005</c:v>
                </c:pt>
                <c:pt idx="698">
                  <c:v>1322.6999510000001</c:v>
                </c:pt>
                <c:pt idx="699">
                  <c:v>1385.589966</c:v>
                </c:pt>
                <c:pt idx="700">
                  <c:v>1400.380005</c:v>
                </c:pt>
                <c:pt idx="701">
                  <c:v>1280</c:v>
                </c:pt>
                <c:pt idx="702">
                  <c:v>1267.380005</c:v>
                </c:pt>
                <c:pt idx="703">
                  <c:v>1282.829956</c:v>
                </c:pt>
                <c:pt idx="704">
                  <c:v>1166.3599850000001</c:v>
                </c:pt>
                <c:pt idx="705">
                  <c:v>968.75</c:v>
                </c:pt>
                <c:pt idx="706">
                  <c:v>896.23999000000003</c:v>
                </c:pt>
                <c:pt idx="707">
                  <c:v>903.25</c:v>
                </c:pt>
                <c:pt idx="708">
                  <c:v>825.88000499999998</c:v>
                </c:pt>
                <c:pt idx="709">
                  <c:v>735.09002699999996</c:v>
                </c:pt>
                <c:pt idx="710">
                  <c:v>797.86999500000002</c:v>
                </c:pt>
                <c:pt idx="711">
                  <c:v>872.80999799999995</c:v>
                </c:pt>
                <c:pt idx="712">
                  <c:v>919.14001499999995</c:v>
                </c:pt>
                <c:pt idx="713">
                  <c:v>919.32000700000003</c:v>
                </c:pt>
                <c:pt idx="714">
                  <c:v>987.47997999999995</c:v>
                </c:pt>
                <c:pt idx="715">
                  <c:v>1020.619995</c:v>
                </c:pt>
                <c:pt idx="716">
                  <c:v>1057.079956</c:v>
                </c:pt>
                <c:pt idx="717">
                  <c:v>1036.1899410000001</c:v>
                </c:pt>
                <c:pt idx="718">
                  <c:v>1095.630005</c:v>
                </c:pt>
                <c:pt idx="719">
                  <c:v>1115.099976</c:v>
                </c:pt>
                <c:pt idx="720">
                  <c:v>1073.869995</c:v>
                </c:pt>
                <c:pt idx="721">
                  <c:v>1104.48999</c:v>
                </c:pt>
                <c:pt idx="722">
                  <c:v>1169.4300539999999</c:v>
                </c:pt>
                <c:pt idx="723">
                  <c:v>1186.6899410000001</c:v>
                </c:pt>
                <c:pt idx="724">
                  <c:v>1089.410034</c:v>
                </c:pt>
                <c:pt idx="725">
                  <c:v>1030.709961</c:v>
                </c:pt>
                <c:pt idx="726">
                  <c:v>1101.599976</c:v>
                </c:pt>
                <c:pt idx="727">
                  <c:v>1049.329956</c:v>
                </c:pt>
                <c:pt idx="728">
                  <c:v>1141.1999510000001</c:v>
                </c:pt>
                <c:pt idx="729">
                  <c:v>1183.26001</c:v>
                </c:pt>
                <c:pt idx="730">
                  <c:v>1180.5500489999999</c:v>
                </c:pt>
                <c:pt idx="731">
                  <c:v>1257.6400149999999</c:v>
                </c:pt>
                <c:pt idx="732">
                  <c:v>1286.119995</c:v>
                </c:pt>
                <c:pt idx="733">
                  <c:v>1327.219971</c:v>
                </c:pt>
                <c:pt idx="734">
                  <c:v>1325.829956</c:v>
                </c:pt>
                <c:pt idx="735">
                  <c:v>1363.6099850000001</c:v>
                </c:pt>
                <c:pt idx="736">
                  <c:v>1345.1999510000001</c:v>
                </c:pt>
                <c:pt idx="737">
                  <c:v>1320.6400149999999</c:v>
                </c:pt>
                <c:pt idx="738">
                  <c:v>1292.280029</c:v>
                </c:pt>
                <c:pt idx="739">
                  <c:v>1218.8900149999999</c:v>
                </c:pt>
                <c:pt idx="740">
                  <c:v>1131.420044</c:v>
                </c:pt>
                <c:pt idx="741">
                  <c:v>1253.3000489999999</c:v>
                </c:pt>
                <c:pt idx="742">
                  <c:v>1246.959961</c:v>
                </c:pt>
                <c:pt idx="743">
                  <c:v>1257.599976</c:v>
                </c:pt>
                <c:pt idx="744">
                  <c:v>1312.410034</c:v>
                </c:pt>
                <c:pt idx="745">
                  <c:v>1365.6800539999999</c:v>
                </c:pt>
                <c:pt idx="746">
                  <c:v>1408.469971</c:v>
                </c:pt>
                <c:pt idx="747">
                  <c:v>1397.910034</c:v>
                </c:pt>
                <c:pt idx="748">
                  <c:v>1310.329956</c:v>
                </c:pt>
                <c:pt idx="749">
                  <c:v>1362.160034</c:v>
                </c:pt>
                <c:pt idx="750">
                  <c:v>1379.3199460000001</c:v>
                </c:pt>
                <c:pt idx="751">
                  <c:v>1406.579956</c:v>
                </c:pt>
                <c:pt idx="752">
                  <c:v>1440.670044</c:v>
                </c:pt>
                <c:pt idx="753">
                  <c:v>1412.160034</c:v>
                </c:pt>
                <c:pt idx="754">
                  <c:v>1416.1800539999999</c:v>
                </c:pt>
                <c:pt idx="755">
                  <c:v>1426.1899410000001</c:v>
                </c:pt>
                <c:pt idx="756">
                  <c:v>1498.1099850000001</c:v>
                </c:pt>
                <c:pt idx="757">
                  <c:v>1514.6800539999999</c:v>
                </c:pt>
                <c:pt idx="758">
                  <c:v>1569.1899410000001</c:v>
                </c:pt>
                <c:pt idx="759">
                  <c:v>1597.5699460000001</c:v>
                </c:pt>
                <c:pt idx="760">
                  <c:v>1630.73999</c:v>
                </c:pt>
                <c:pt idx="761">
                  <c:v>1606.280029</c:v>
                </c:pt>
                <c:pt idx="762">
                  <c:v>1685.7299800000001</c:v>
                </c:pt>
                <c:pt idx="763">
                  <c:v>1632.969971</c:v>
                </c:pt>
                <c:pt idx="764">
                  <c:v>1681.5500489999999</c:v>
                </c:pt>
                <c:pt idx="765">
                  <c:v>1756.540039</c:v>
                </c:pt>
                <c:pt idx="766">
                  <c:v>1805.8100589999999</c:v>
                </c:pt>
                <c:pt idx="767">
                  <c:v>1848.3599850000001</c:v>
                </c:pt>
                <c:pt idx="768">
                  <c:v>1782.589966</c:v>
                </c:pt>
                <c:pt idx="769">
                  <c:v>1859.4499510000001</c:v>
                </c:pt>
                <c:pt idx="770">
                  <c:v>1872.339966</c:v>
                </c:pt>
                <c:pt idx="771">
                  <c:v>1883.9499510000001</c:v>
                </c:pt>
                <c:pt idx="772">
                  <c:v>1923.5699460000001</c:v>
                </c:pt>
                <c:pt idx="773">
                  <c:v>1960.2299800000001</c:v>
                </c:pt>
                <c:pt idx="774">
                  <c:v>1930.670044</c:v>
                </c:pt>
                <c:pt idx="775">
                  <c:v>2003.369995</c:v>
                </c:pt>
                <c:pt idx="776">
                  <c:v>1972.290039</c:v>
                </c:pt>
                <c:pt idx="777">
                  <c:v>2018.0500489999999</c:v>
                </c:pt>
                <c:pt idx="778">
                  <c:v>2067.5600589999999</c:v>
                </c:pt>
                <c:pt idx="779">
                  <c:v>2058.8999020000001</c:v>
                </c:pt>
                <c:pt idx="780">
                  <c:v>1994.98999</c:v>
                </c:pt>
                <c:pt idx="781">
                  <c:v>2104.5</c:v>
                </c:pt>
                <c:pt idx="782">
                  <c:v>2067.889893</c:v>
                </c:pt>
                <c:pt idx="783">
                  <c:v>2085.51001</c:v>
                </c:pt>
                <c:pt idx="784">
                  <c:v>2107.389893</c:v>
                </c:pt>
                <c:pt idx="785">
                  <c:v>2063.110107</c:v>
                </c:pt>
                <c:pt idx="786">
                  <c:v>2103.8400879999999</c:v>
                </c:pt>
                <c:pt idx="787">
                  <c:v>1972.1800539999999</c:v>
                </c:pt>
                <c:pt idx="788">
                  <c:v>1920.030029</c:v>
                </c:pt>
                <c:pt idx="789">
                  <c:v>2079.360107</c:v>
                </c:pt>
                <c:pt idx="790">
                  <c:v>2080.4099120000001</c:v>
                </c:pt>
                <c:pt idx="791">
                  <c:v>2043.9399410000001</c:v>
                </c:pt>
                <c:pt idx="792">
                  <c:v>1940.23999</c:v>
                </c:pt>
                <c:pt idx="793">
                  <c:v>1932.2299800000001</c:v>
                </c:pt>
                <c:pt idx="794">
                  <c:v>2059.73999</c:v>
                </c:pt>
                <c:pt idx="795">
                  <c:v>2065.3000489999999</c:v>
                </c:pt>
                <c:pt idx="796">
                  <c:v>2096.9499510000001</c:v>
                </c:pt>
                <c:pt idx="797">
                  <c:v>2098.860107</c:v>
                </c:pt>
                <c:pt idx="798">
                  <c:v>2173.6000979999999</c:v>
                </c:pt>
                <c:pt idx="799">
                  <c:v>2170.9499510000001</c:v>
                </c:pt>
                <c:pt idx="800">
                  <c:v>2168.2700199999999</c:v>
                </c:pt>
                <c:pt idx="801">
                  <c:v>2126.1499020000001</c:v>
                </c:pt>
                <c:pt idx="802">
                  <c:v>2198.8100589999999</c:v>
                </c:pt>
                <c:pt idx="803">
                  <c:v>2238.830078</c:v>
                </c:pt>
                <c:pt idx="804">
                  <c:v>2278.8701169999999</c:v>
                </c:pt>
                <c:pt idx="805">
                  <c:v>2363.639893</c:v>
                </c:pt>
                <c:pt idx="806">
                  <c:v>2362.719971</c:v>
                </c:pt>
                <c:pt idx="807">
                  <c:v>2384.1999510000001</c:v>
                </c:pt>
                <c:pt idx="808">
                  <c:v>2411.8000489999999</c:v>
                </c:pt>
                <c:pt idx="809">
                  <c:v>2423.4099120000001</c:v>
                </c:pt>
                <c:pt idx="810">
                  <c:v>2470.3000489999999</c:v>
                </c:pt>
                <c:pt idx="811">
                  <c:v>2471.6499020000001</c:v>
                </c:pt>
                <c:pt idx="812">
                  <c:v>2519.360107</c:v>
                </c:pt>
                <c:pt idx="813">
                  <c:v>2575.26001</c:v>
                </c:pt>
                <c:pt idx="814">
                  <c:v>2584.8400879999999</c:v>
                </c:pt>
                <c:pt idx="815">
                  <c:v>2673.610107</c:v>
                </c:pt>
                <c:pt idx="816">
                  <c:v>2823.8100589999999</c:v>
                </c:pt>
                <c:pt idx="817">
                  <c:v>2713.830078</c:v>
                </c:pt>
                <c:pt idx="818">
                  <c:v>2640.8701169999999</c:v>
                </c:pt>
                <c:pt idx="819">
                  <c:v>2648.0500489999999</c:v>
                </c:pt>
                <c:pt idx="820">
                  <c:v>2705.2700199999999</c:v>
                </c:pt>
                <c:pt idx="821">
                  <c:v>2718.3701169999999</c:v>
                </c:pt>
                <c:pt idx="822">
                  <c:v>2816.290039</c:v>
                </c:pt>
                <c:pt idx="823">
                  <c:v>2901.5200199999999</c:v>
                </c:pt>
                <c:pt idx="824">
                  <c:v>2913.9799800000001</c:v>
                </c:pt>
                <c:pt idx="825">
                  <c:v>2711.73999</c:v>
                </c:pt>
                <c:pt idx="826">
                  <c:v>2760.169922</c:v>
                </c:pt>
                <c:pt idx="827">
                  <c:v>2506.8500979999999</c:v>
                </c:pt>
                <c:pt idx="828">
                  <c:v>2704.1000979999999</c:v>
                </c:pt>
                <c:pt idx="829">
                  <c:v>2784.48999</c:v>
                </c:pt>
                <c:pt idx="830">
                  <c:v>2834.3999020000001</c:v>
                </c:pt>
                <c:pt idx="831">
                  <c:v>2907.0600589999999</c:v>
                </c:pt>
              </c:numCache>
            </c:numRef>
          </c:val>
          <c:smooth val="0"/>
          <c:extLst>
            <c:ext xmlns:c16="http://schemas.microsoft.com/office/drawing/2014/chart" uri="{C3380CC4-5D6E-409C-BE32-E72D297353CC}">
              <c16:uniqueId val="{00000000-9E8F-874B-9F00-5D6208D3A2ED}"/>
            </c:ext>
          </c:extLst>
        </c:ser>
        <c:dLbls>
          <c:showLegendKey val="0"/>
          <c:showVal val="0"/>
          <c:showCatName val="0"/>
          <c:showSerName val="0"/>
          <c:showPercent val="0"/>
          <c:showBubbleSize val="0"/>
        </c:dLbls>
        <c:marker val="1"/>
        <c:smooth val="0"/>
        <c:axId val="407391103"/>
        <c:axId val="814032143"/>
      </c:lineChart>
      <c:lineChart>
        <c:grouping val="standard"/>
        <c:varyColors val="0"/>
        <c:ser>
          <c:idx val="0"/>
          <c:order val="1"/>
          <c:tx>
            <c:strRef>
              <c:f>'PMI Analysis'!$AB$1</c:f>
              <c:strCache>
                <c:ptCount val="1"/>
                <c:pt idx="0">
                  <c:v>PMI(lagged)</c:v>
                </c:pt>
              </c:strCache>
            </c:strRef>
          </c:tx>
          <c:spPr>
            <a:ln w="3175" cap="rnd">
              <a:solidFill>
                <a:srgbClr val="941100"/>
              </a:solidFill>
              <a:round/>
            </a:ln>
            <a:effectLst/>
          </c:spPr>
          <c:marker>
            <c:symbol val="none"/>
          </c:marker>
          <c:trendline>
            <c:spPr>
              <a:ln w="19050" cap="rnd">
                <a:solidFill>
                  <a:srgbClr val="941100"/>
                </a:solidFill>
                <a:prstDash val="solid"/>
              </a:ln>
              <a:effectLst/>
            </c:spPr>
            <c:trendlineType val="movingAvg"/>
            <c:period val="6"/>
            <c:dispRSqr val="0"/>
            <c:dispEq val="0"/>
          </c:trendline>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Analysis'!$AB$2:$AB$834</c:f>
              <c:numCache>
                <c:formatCode>General</c:formatCode>
                <c:ptCount val="833"/>
                <c:pt idx="13">
                  <c:v>59.1</c:v>
                </c:pt>
                <c:pt idx="14">
                  <c:v>60.5</c:v>
                </c:pt>
                <c:pt idx="15">
                  <c:v>62.1</c:v>
                </c:pt>
                <c:pt idx="16">
                  <c:v>68.099999999999994</c:v>
                </c:pt>
                <c:pt idx="17">
                  <c:v>74.7</c:v>
                </c:pt>
                <c:pt idx="18">
                  <c:v>76.599999999999994</c:v>
                </c:pt>
                <c:pt idx="19">
                  <c:v>77.5</c:v>
                </c:pt>
                <c:pt idx="20">
                  <c:v>75.8</c:v>
                </c:pt>
                <c:pt idx="21">
                  <c:v>68.099999999999994</c:v>
                </c:pt>
                <c:pt idx="22">
                  <c:v>59.2</c:v>
                </c:pt>
                <c:pt idx="23">
                  <c:v>63.1</c:v>
                </c:pt>
                <c:pt idx="24">
                  <c:v>67.099999999999994</c:v>
                </c:pt>
                <c:pt idx="25">
                  <c:v>67.8</c:v>
                </c:pt>
                <c:pt idx="26">
                  <c:v>69.3</c:v>
                </c:pt>
                <c:pt idx="27">
                  <c:v>65.5</c:v>
                </c:pt>
                <c:pt idx="28">
                  <c:v>53.5</c:v>
                </c:pt>
                <c:pt idx="29">
                  <c:v>50.7</c:v>
                </c:pt>
                <c:pt idx="30">
                  <c:v>45.5</c:v>
                </c:pt>
                <c:pt idx="31">
                  <c:v>42.1</c:v>
                </c:pt>
                <c:pt idx="32">
                  <c:v>43.6</c:v>
                </c:pt>
                <c:pt idx="33">
                  <c:v>48.1</c:v>
                </c:pt>
                <c:pt idx="34">
                  <c:v>49.6</c:v>
                </c:pt>
                <c:pt idx="35">
                  <c:v>47.2</c:v>
                </c:pt>
                <c:pt idx="36">
                  <c:v>46.5</c:v>
                </c:pt>
                <c:pt idx="37">
                  <c:v>44.7</c:v>
                </c:pt>
                <c:pt idx="38">
                  <c:v>41.8</c:v>
                </c:pt>
                <c:pt idx="39">
                  <c:v>40</c:v>
                </c:pt>
                <c:pt idx="40">
                  <c:v>36.700000000000003</c:v>
                </c:pt>
                <c:pt idx="41">
                  <c:v>39.5</c:v>
                </c:pt>
                <c:pt idx="42">
                  <c:v>43.3</c:v>
                </c:pt>
                <c:pt idx="43">
                  <c:v>48.3</c:v>
                </c:pt>
                <c:pt idx="44">
                  <c:v>60.4</c:v>
                </c:pt>
                <c:pt idx="45">
                  <c:v>56.1</c:v>
                </c:pt>
                <c:pt idx="46">
                  <c:v>56.2</c:v>
                </c:pt>
                <c:pt idx="47">
                  <c:v>56.8</c:v>
                </c:pt>
                <c:pt idx="48">
                  <c:v>55.8</c:v>
                </c:pt>
                <c:pt idx="49">
                  <c:v>59.4</c:v>
                </c:pt>
                <c:pt idx="50">
                  <c:v>55.4</c:v>
                </c:pt>
                <c:pt idx="51">
                  <c:v>50.5</c:v>
                </c:pt>
                <c:pt idx="52">
                  <c:v>51.1</c:v>
                </c:pt>
                <c:pt idx="53">
                  <c:v>48.9</c:v>
                </c:pt>
                <c:pt idx="54">
                  <c:v>48.5</c:v>
                </c:pt>
                <c:pt idx="55">
                  <c:v>46.3</c:v>
                </c:pt>
                <c:pt idx="56">
                  <c:v>43.5</c:v>
                </c:pt>
                <c:pt idx="57">
                  <c:v>40.200000000000003</c:v>
                </c:pt>
                <c:pt idx="58">
                  <c:v>37.4</c:v>
                </c:pt>
                <c:pt idx="59">
                  <c:v>36.9</c:v>
                </c:pt>
                <c:pt idx="60">
                  <c:v>35.6</c:v>
                </c:pt>
                <c:pt idx="61">
                  <c:v>37.4</c:v>
                </c:pt>
                <c:pt idx="62">
                  <c:v>40.700000000000003</c:v>
                </c:pt>
                <c:pt idx="63">
                  <c:v>44.7</c:v>
                </c:pt>
                <c:pt idx="64">
                  <c:v>47.7</c:v>
                </c:pt>
                <c:pt idx="65">
                  <c:v>50.1</c:v>
                </c:pt>
                <c:pt idx="66">
                  <c:v>52.1</c:v>
                </c:pt>
                <c:pt idx="67">
                  <c:v>51.7</c:v>
                </c:pt>
                <c:pt idx="68">
                  <c:v>54.4</c:v>
                </c:pt>
                <c:pt idx="69">
                  <c:v>53.5</c:v>
                </c:pt>
                <c:pt idx="70">
                  <c:v>58.2</c:v>
                </c:pt>
                <c:pt idx="71">
                  <c:v>58.8</c:v>
                </c:pt>
                <c:pt idx="72">
                  <c:v>63.8</c:v>
                </c:pt>
                <c:pt idx="73">
                  <c:v>63</c:v>
                </c:pt>
                <c:pt idx="74">
                  <c:v>67.8</c:v>
                </c:pt>
                <c:pt idx="75">
                  <c:v>67.5</c:v>
                </c:pt>
                <c:pt idx="76">
                  <c:v>68.7</c:v>
                </c:pt>
                <c:pt idx="77">
                  <c:v>69.5</c:v>
                </c:pt>
                <c:pt idx="78">
                  <c:v>63.3</c:v>
                </c:pt>
                <c:pt idx="79">
                  <c:v>66.2</c:v>
                </c:pt>
                <c:pt idx="80">
                  <c:v>64.8</c:v>
                </c:pt>
                <c:pt idx="81">
                  <c:v>62.4</c:v>
                </c:pt>
                <c:pt idx="82">
                  <c:v>63.7</c:v>
                </c:pt>
                <c:pt idx="83">
                  <c:v>62</c:v>
                </c:pt>
                <c:pt idx="84">
                  <c:v>65.599999999999994</c:v>
                </c:pt>
                <c:pt idx="85">
                  <c:v>60.2</c:v>
                </c:pt>
                <c:pt idx="86">
                  <c:v>58.2</c:v>
                </c:pt>
                <c:pt idx="87">
                  <c:v>57.2</c:v>
                </c:pt>
                <c:pt idx="88">
                  <c:v>55.9</c:v>
                </c:pt>
                <c:pt idx="89">
                  <c:v>51.2</c:v>
                </c:pt>
                <c:pt idx="90">
                  <c:v>47.7</c:v>
                </c:pt>
                <c:pt idx="91">
                  <c:v>44.2</c:v>
                </c:pt>
                <c:pt idx="92">
                  <c:v>51.5</c:v>
                </c:pt>
                <c:pt idx="93">
                  <c:v>55.5</c:v>
                </c:pt>
                <c:pt idx="94">
                  <c:v>52.7</c:v>
                </c:pt>
                <c:pt idx="95">
                  <c:v>55</c:v>
                </c:pt>
                <c:pt idx="96">
                  <c:v>52.7</c:v>
                </c:pt>
                <c:pt idx="97">
                  <c:v>53.6</c:v>
                </c:pt>
                <c:pt idx="98">
                  <c:v>51</c:v>
                </c:pt>
                <c:pt idx="99">
                  <c:v>47.5</c:v>
                </c:pt>
                <c:pt idx="100">
                  <c:v>43.1</c:v>
                </c:pt>
                <c:pt idx="101">
                  <c:v>43.4</c:v>
                </c:pt>
                <c:pt idx="102">
                  <c:v>45.9</c:v>
                </c:pt>
                <c:pt idx="103">
                  <c:v>45.7</c:v>
                </c:pt>
                <c:pt idx="104">
                  <c:v>45.3</c:v>
                </c:pt>
                <c:pt idx="105">
                  <c:v>45.8</c:v>
                </c:pt>
                <c:pt idx="106">
                  <c:v>41.1</c:v>
                </c:pt>
                <c:pt idx="107">
                  <c:v>40.4</c:v>
                </c:pt>
                <c:pt idx="108">
                  <c:v>36.799999999999997</c:v>
                </c:pt>
                <c:pt idx="109">
                  <c:v>33.4</c:v>
                </c:pt>
                <c:pt idx="110">
                  <c:v>37.200000000000003</c:v>
                </c:pt>
                <c:pt idx="111">
                  <c:v>39.799999999999997</c:v>
                </c:pt>
                <c:pt idx="112">
                  <c:v>39.1</c:v>
                </c:pt>
                <c:pt idx="113">
                  <c:v>46.6</c:v>
                </c:pt>
                <c:pt idx="114">
                  <c:v>51.4</c:v>
                </c:pt>
                <c:pt idx="115">
                  <c:v>54.7</c:v>
                </c:pt>
                <c:pt idx="116">
                  <c:v>57.3</c:v>
                </c:pt>
                <c:pt idx="117">
                  <c:v>59.8</c:v>
                </c:pt>
                <c:pt idx="118">
                  <c:v>62.3</c:v>
                </c:pt>
                <c:pt idx="119">
                  <c:v>62.7</c:v>
                </c:pt>
                <c:pt idx="120">
                  <c:v>60.5</c:v>
                </c:pt>
                <c:pt idx="121">
                  <c:v>64.400000000000006</c:v>
                </c:pt>
                <c:pt idx="122">
                  <c:v>66.900000000000006</c:v>
                </c:pt>
                <c:pt idx="123">
                  <c:v>67.099999999999994</c:v>
                </c:pt>
                <c:pt idx="124">
                  <c:v>66.900000000000006</c:v>
                </c:pt>
                <c:pt idx="125">
                  <c:v>68.2</c:v>
                </c:pt>
                <c:pt idx="126">
                  <c:v>64.400000000000006</c:v>
                </c:pt>
                <c:pt idx="127">
                  <c:v>61.5</c:v>
                </c:pt>
                <c:pt idx="128">
                  <c:v>55.1</c:v>
                </c:pt>
                <c:pt idx="129">
                  <c:v>48.3</c:v>
                </c:pt>
                <c:pt idx="130">
                  <c:v>49.7</c:v>
                </c:pt>
                <c:pt idx="131">
                  <c:v>50.6</c:v>
                </c:pt>
                <c:pt idx="132">
                  <c:v>58.2</c:v>
                </c:pt>
                <c:pt idx="133">
                  <c:v>61.5</c:v>
                </c:pt>
                <c:pt idx="134">
                  <c:v>52.3</c:v>
                </c:pt>
                <c:pt idx="135">
                  <c:v>47.8</c:v>
                </c:pt>
                <c:pt idx="136">
                  <c:v>45.3</c:v>
                </c:pt>
                <c:pt idx="137">
                  <c:v>42.6</c:v>
                </c:pt>
                <c:pt idx="138">
                  <c:v>44.4</c:v>
                </c:pt>
                <c:pt idx="139">
                  <c:v>43.7</c:v>
                </c:pt>
                <c:pt idx="140">
                  <c:v>47.6</c:v>
                </c:pt>
                <c:pt idx="141">
                  <c:v>45.4</c:v>
                </c:pt>
                <c:pt idx="142">
                  <c:v>46</c:v>
                </c:pt>
                <c:pt idx="143">
                  <c:v>44.3</c:v>
                </c:pt>
                <c:pt idx="144">
                  <c:v>44.3</c:v>
                </c:pt>
                <c:pt idx="145">
                  <c:v>43.9</c:v>
                </c:pt>
                <c:pt idx="146">
                  <c:v>43.6</c:v>
                </c:pt>
                <c:pt idx="147">
                  <c:v>49.1</c:v>
                </c:pt>
                <c:pt idx="148">
                  <c:v>57.6</c:v>
                </c:pt>
                <c:pt idx="149">
                  <c:v>58.9</c:v>
                </c:pt>
                <c:pt idx="150">
                  <c:v>58.1</c:v>
                </c:pt>
                <c:pt idx="151">
                  <c:v>58.2</c:v>
                </c:pt>
                <c:pt idx="152">
                  <c:v>60.7</c:v>
                </c:pt>
                <c:pt idx="153">
                  <c:v>63</c:v>
                </c:pt>
                <c:pt idx="154">
                  <c:v>62.2</c:v>
                </c:pt>
                <c:pt idx="155">
                  <c:v>59</c:v>
                </c:pt>
                <c:pt idx="156">
                  <c:v>64.2</c:v>
                </c:pt>
                <c:pt idx="157">
                  <c:v>60.9</c:v>
                </c:pt>
                <c:pt idx="158">
                  <c:v>61.1</c:v>
                </c:pt>
                <c:pt idx="159">
                  <c:v>60.6</c:v>
                </c:pt>
                <c:pt idx="160">
                  <c:v>55.1</c:v>
                </c:pt>
                <c:pt idx="161">
                  <c:v>52.2</c:v>
                </c:pt>
                <c:pt idx="162">
                  <c:v>50.8</c:v>
                </c:pt>
                <c:pt idx="163">
                  <c:v>51</c:v>
                </c:pt>
                <c:pt idx="164">
                  <c:v>49.5</c:v>
                </c:pt>
                <c:pt idx="165">
                  <c:v>50</c:v>
                </c:pt>
                <c:pt idx="166">
                  <c:v>51.2</c:v>
                </c:pt>
                <c:pt idx="167">
                  <c:v>53.8</c:v>
                </c:pt>
                <c:pt idx="168">
                  <c:v>57.2</c:v>
                </c:pt>
                <c:pt idx="169">
                  <c:v>55.2</c:v>
                </c:pt>
                <c:pt idx="170">
                  <c:v>55.1</c:v>
                </c:pt>
                <c:pt idx="171">
                  <c:v>54.7</c:v>
                </c:pt>
                <c:pt idx="172">
                  <c:v>57.6</c:v>
                </c:pt>
                <c:pt idx="173">
                  <c:v>59.8</c:v>
                </c:pt>
                <c:pt idx="174">
                  <c:v>58.2</c:v>
                </c:pt>
                <c:pt idx="175">
                  <c:v>55.5</c:v>
                </c:pt>
                <c:pt idx="176">
                  <c:v>55.1</c:v>
                </c:pt>
                <c:pt idx="177">
                  <c:v>56.9</c:v>
                </c:pt>
                <c:pt idx="178">
                  <c:v>57.7</c:v>
                </c:pt>
                <c:pt idx="179">
                  <c:v>57.5</c:v>
                </c:pt>
                <c:pt idx="180">
                  <c:v>54</c:v>
                </c:pt>
                <c:pt idx="181">
                  <c:v>57.1</c:v>
                </c:pt>
                <c:pt idx="182">
                  <c:v>57.9</c:v>
                </c:pt>
                <c:pt idx="183">
                  <c:v>60.2</c:v>
                </c:pt>
                <c:pt idx="184">
                  <c:v>59.2</c:v>
                </c:pt>
                <c:pt idx="185">
                  <c:v>58.7</c:v>
                </c:pt>
                <c:pt idx="186">
                  <c:v>60.1</c:v>
                </c:pt>
                <c:pt idx="187">
                  <c:v>62.9</c:v>
                </c:pt>
                <c:pt idx="188">
                  <c:v>63.3</c:v>
                </c:pt>
                <c:pt idx="189">
                  <c:v>63.3</c:v>
                </c:pt>
                <c:pt idx="190">
                  <c:v>60.7</c:v>
                </c:pt>
                <c:pt idx="191">
                  <c:v>61.8</c:v>
                </c:pt>
                <c:pt idx="192">
                  <c:v>62.4</c:v>
                </c:pt>
                <c:pt idx="193">
                  <c:v>61</c:v>
                </c:pt>
                <c:pt idx="194">
                  <c:v>62.1</c:v>
                </c:pt>
                <c:pt idx="195">
                  <c:v>64.900000000000006</c:v>
                </c:pt>
                <c:pt idx="196">
                  <c:v>62</c:v>
                </c:pt>
                <c:pt idx="197">
                  <c:v>61.3</c:v>
                </c:pt>
                <c:pt idx="198">
                  <c:v>58.7</c:v>
                </c:pt>
                <c:pt idx="199">
                  <c:v>58.1</c:v>
                </c:pt>
                <c:pt idx="200">
                  <c:v>58.1</c:v>
                </c:pt>
                <c:pt idx="201">
                  <c:v>61</c:v>
                </c:pt>
                <c:pt idx="202">
                  <c:v>58.6</c:v>
                </c:pt>
                <c:pt idx="203">
                  <c:v>59.4</c:v>
                </c:pt>
                <c:pt idx="204">
                  <c:v>62.8</c:v>
                </c:pt>
                <c:pt idx="205">
                  <c:v>65.8</c:v>
                </c:pt>
                <c:pt idx="206">
                  <c:v>65.5</c:v>
                </c:pt>
                <c:pt idx="207">
                  <c:v>65.7</c:v>
                </c:pt>
                <c:pt idx="208">
                  <c:v>64.2</c:v>
                </c:pt>
                <c:pt idx="209">
                  <c:v>57.7</c:v>
                </c:pt>
                <c:pt idx="210">
                  <c:v>59</c:v>
                </c:pt>
                <c:pt idx="211">
                  <c:v>60.3</c:v>
                </c:pt>
                <c:pt idx="212">
                  <c:v>58.5</c:v>
                </c:pt>
                <c:pt idx="213">
                  <c:v>58.7</c:v>
                </c:pt>
                <c:pt idx="214">
                  <c:v>57.2</c:v>
                </c:pt>
                <c:pt idx="215">
                  <c:v>53.7</c:v>
                </c:pt>
                <c:pt idx="216">
                  <c:v>52.4</c:v>
                </c:pt>
                <c:pt idx="217">
                  <c:v>49.1</c:v>
                </c:pt>
                <c:pt idx="218">
                  <c:v>47.6</c:v>
                </c:pt>
                <c:pt idx="219">
                  <c:v>45.3</c:v>
                </c:pt>
                <c:pt idx="220">
                  <c:v>42.8</c:v>
                </c:pt>
                <c:pt idx="221">
                  <c:v>44.5</c:v>
                </c:pt>
                <c:pt idx="222">
                  <c:v>46.8</c:v>
                </c:pt>
                <c:pt idx="223">
                  <c:v>49.5</c:v>
                </c:pt>
                <c:pt idx="224">
                  <c:v>52.2</c:v>
                </c:pt>
                <c:pt idx="225">
                  <c:v>54.9</c:v>
                </c:pt>
                <c:pt idx="226">
                  <c:v>54.1</c:v>
                </c:pt>
                <c:pt idx="227">
                  <c:v>54.2</c:v>
                </c:pt>
                <c:pt idx="228">
                  <c:v>55.6</c:v>
                </c:pt>
                <c:pt idx="229">
                  <c:v>56.6</c:v>
                </c:pt>
                <c:pt idx="230">
                  <c:v>55</c:v>
                </c:pt>
                <c:pt idx="231">
                  <c:v>53.8</c:v>
                </c:pt>
                <c:pt idx="232">
                  <c:v>58</c:v>
                </c:pt>
                <c:pt idx="233">
                  <c:v>55.3</c:v>
                </c:pt>
                <c:pt idx="234">
                  <c:v>53.5</c:v>
                </c:pt>
                <c:pt idx="235">
                  <c:v>54.1</c:v>
                </c:pt>
                <c:pt idx="236">
                  <c:v>52.7</c:v>
                </c:pt>
                <c:pt idx="237">
                  <c:v>51.8</c:v>
                </c:pt>
                <c:pt idx="238">
                  <c:v>55.8</c:v>
                </c:pt>
                <c:pt idx="239">
                  <c:v>58.1</c:v>
                </c:pt>
                <c:pt idx="240">
                  <c:v>56.1</c:v>
                </c:pt>
                <c:pt idx="241">
                  <c:v>54.9</c:v>
                </c:pt>
                <c:pt idx="242">
                  <c:v>57</c:v>
                </c:pt>
                <c:pt idx="243">
                  <c:v>57.1</c:v>
                </c:pt>
                <c:pt idx="244">
                  <c:v>55.2</c:v>
                </c:pt>
                <c:pt idx="245">
                  <c:v>56.7</c:v>
                </c:pt>
                <c:pt idx="246">
                  <c:v>55.5</c:v>
                </c:pt>
                <c:pt idx="247">
                  <c:v>53.1</c:v>
                </c:pt>
                <c:pt idx="248">
                  <c:v>54.8</c:v>
                </c:pt>
                <c:pt idx="249">
                  <c:v>54.1</c:v>
                </c:pt>
                <c:pt idx="250">
                  <c:v>54.6</c:v>
                </c:pt>
                <c:pt idx="251">
                  <c:v>53.2</c:v>
                </c:pt>
                <c:pt idx="252">
                  <c:v>52</c:v>
                </c:pt>
                <c:pt idx="253">
                  <c:v>48.7</c:v>
                </c:pt>
                <c:pt idx="254">
                  <c:v>47.4</c:v>
                </c:pt>
                <c:pt idx="255">
                  <c:v>46.9</c:v>
                </c:pt>
                <c:pt idx="256">
                  <c:v>45</c:v>
                </c:pt>
                <c:pt idx="257">
                  <c:v>47.2</c:v>
                </c:pt>
                <c:pt idx="258">
                  <c:v>51.1</c:v>
                </c:pt>
                <c:pt idx="259">
                  <c:v>49.5</c:v>
                </c:pt>
                <c:pt idx="260">
                  <c:v>47.3</c:v>
                </c:pt>
                <c:pt idx="261">
                  <c:v>44.1</c:v>
                </c:pt>
                <c:pt idx="262">
                  <c:v>42.4</c:v>
                </c:pt>
                <c:pt idx="263">
                  <c:v>39.700000000000003</c:v>
                </c:pt>
                <c:pt idx="264">
                  <c:v>45.4</c:v>
                </c:pt>
                <c:pt idx="265">
                  <c:v>47.9</c:v>
                </c:pt>
                <c:pt idx="266">
                  <c:v>54.8</c:v>
                </c:pt>
                <c:pt idx="267">
                  <c:v>51.2</c:v>
                </c:pt>
                <c:pt idx="268">
                  <c:v>54.5</c:v>
                </c:pt>
                <c:pt idx="269">
                  <c:v>54.2</c:v>
                </c:pt>
                <c:pt idx="270">
                  <c:v>53.8</c:v>
                </c:pt>
                <c:pt idx="271">
                  <c:v>54.4</c:v>
                </c:pt>
                <c:pt idx="272">
                  <c:v>53.6</c:v>
                </c:pt>
                <c:pt idx="273">
                  <c:v>55.1</c:v>
                </c:pt>
                <c:pt idx="274">
                  <c:v>55</c:v>
                </c:pt>
                <c:pt idx="275">
                  <c:v>52.3</c:v>
                </c:pt>
                <c:pt idx="276">
                  <c:v>57.6</c:v>
                </c:pt>
                <c:pt idx="277">
                  <c:v>59.6</c:v>
                </c:pt>
                <c:pt idx="278">
                  <c:v>60.6</c:v>
                </c:pt>
                <c:pt idx="279">
                  <c:v>59.8</c:v>
                </c:pt>
                <c:pt idx="280">
                  <c:v>59.3</c:v>
                </c:pt>
                <c:pt idx="281">
                  <c:v>61.4</c:v>
                </c:pt>
                <c:pt idx="282">
                  <c:v>58.6</c:v>
                </c:pt>
                <c:pt idx="283">
                  <c:v>60.1</c:v>
                </c:pt>
                <c:pt idx="284">
                  <c:v>61.7</c:v>
                </c:pt>
                <c:pt idx="285">
                  <c:v>65.099999999999994</c:v>
                </c:pt>
                <c:pt idx="286">
                  <c:v>67</c:v>
                </c:pt>
                <c:pt idx="287">
                  <c:v>69.900000000000006</c:v>
                </c:pt>
                <c:pt idx="288">
                  <c:v>70.5</c:v>
                </c:pt>
                <c:pt idx="289">
                  <c:v>72.099999999999994</c:v>
                </c:pt>
                <c:pt idx="290">
                  <c:v>69.599999999999994</c:v>
                </c:pt>
                <c:pt idx="291">
                  <c:v>69.599999999999994</c:v>
                </c:pt>
                <c:pt idx="292">
                  <c:v>67.7</c:v>
                </c:pt>
                <c:pt idx="293">
                  <c:v>64.8</c:v>
                </c:pt>
                <c:pt idx="294">
                  <c:v>65</c:v>
                </c:pt>
                <c:pt idx="295">
                  <c:v>57.8</c:v>
                </c:pt>
                <c:pt idx="296">
                  <c:v>62.7</c:v>
                </c:pt>
                <c:pt idx="297">
                  <c:v>63.5</c:v>
                </c:pt>
                <c:pt idx="298">
                  <c:v>66.2</c:v>
                </c:pt>
                <c:pt idx="299">
                  <c:v>68.099999999999994</c:v>
                </c:pt>
                <c:pt idx="300">
                  <c:v>63.6</c:v>
                </c:pt>
                <c:pt idx="301">
                  <c:v>62.1</c:v>
                </c:pt>
                <c:pt idx="302">
                  <c:v>58.6</c:v>
                </c:pt>
                <c:pt idx="303">
                  <c:v>61.8</c:v>
                </c:pt>
                <c:pt idx="304">
                  <c:v>59.9</c:v>
                </c:pt>
                <c:pt idx="305">
                  <c:v>55.7</c:v>
                </c:pt>
                <c:pt idx="306">
                  <c:v>54.7</c:v>
                </c:pt>
                <c:pt idx="307">
                  <c:v>54.8</c:v>
                </c:pt>
                <c:pt idx="308">
                  <c:v>52.9</c:v>
                </c:pt>
                <c:pt idx="309">
                  <c:v>46.2</c:v>
                </c:pt>
                <c:pt idx="310">
                  <c:v>42.7</c:v>
                </c:pt>
                <c:pt idx="311">
                  <c:v>37.9</c:v>
                </c:pt>
                <c:pt idx="312">
                  <c:v>30.9</c:v>
                </c:pt>
                <c:pt idx="313">
                  <c:v>30.7</c:v>
                </c:pt>
                <c:pt idx="314">
                  <c:v>34.4</c:v>
                </c:pt>
                <c:pt idx="315">
                  <c:v>31.6</c:v>
                </c:pt>
                <c:pt idx="316">
                  <c:v>37.5</c:v>
                </c:pt>
                <c:pt idx="317">
                  <c:v>41.2</c:v>
                </c:pt>
                <c:pt idx="318">
                  <c:v>45.1</c:v>
                </c:pt>
                <c:pt idx="319">
                  <c:v>47.2</c:v>
                </c:pt>
                <c:pt idx="320">
                  <c:v>51.4</c:v>
                </c:pt>
                <c:pt idx="321">
                  <c:v>54.4</c:v>
                </c:pt>
                <c:pt idx="322">
                  <c:v>55.5</c:v>
                </c:pt>
                <c:pt idx="323">
                  <c:v>54.5</c:v>
                </c:pt>
                <c:pt idx="324">
                  <c:v>54.9</c:v>
                </c:pt>
                <c:pt idx="325">
                  <c:v>58.8</c:v>
                </c:pt>
                <c:pt idx="326">
                  <c:v>61.5</c:v>
                </c:pt>
                <c:pt idx="327">
                  <c:v>58.4</c:v>
                </c:pt>
                <c:pt idx="328">
                  <c:v>60.6</c:v>
                </c:pt>
                <c:pt idx="329">
                  <c:v>58.8</c:v>
                </c:pt>
                <c:pt idx="330">
                  <c:v>58.2</c:v>
                </c:pt>
                <c:pt idx="331">
                  <c:v>55.9</c:v>
                </c:pt>
                <c:pt idx="332">
                  <c:v>54.5</c:v>
                </c:pt>
                <c:pt idx="333">
                  <c:v>53.6</c:v>
                </c:pt>
                <c:pt idx="334">
                  <c:v>53.5</c:v>
                </c:pt>
                <c:pt idx="335">
                  <c:v>51.7</c:v>
                </c:pt>
                <c:pt idx="336">
                  <c:v>56.6</c:v>
                </c:pt>
                <c:pt idx="337">
                  <c:v>54.8</c:v>
                </c:pt>
                <c:pt idx="338">
                  <c:v>55</c:v>
                </c:pt>
                <c:pt idx="339">
                  <c:v>58.4</c:v>
                </c:pt>
                <c:pt idx="340">
                  <c:v>56.9</c:v>
                </c:pt>
                <c:pt idx="341">
                  <c:v>59.7</c:v>
                </c:pt>
                <c:pt idx="342">
                  <c:v>56.8</c:v>
                </c:pt>
                <c:pt idx="343">
                  <c:v>57.7</c:v>
                </c:pt>
                <c:pt idx="344">
                  <c:v>54.9</c:v>
                </c:pt>
                <c:pt idx="345">
                  <c:v>53.9</c:v>
                </c:pt>
                <c:pt idx="346">
                  <c:v>55.4</c:v>
                </c:pt>
                <c:pt idx="347">
                  <c:v>56.1</c:v>
                </c:pt>
                <c:pt idx="348">
                  <c:v>59.8</c:v>
                </c:pt>
                <c:pt idx="349">
                  <c:v>57.4</c:v>
                </c:pt>
                <c:pt idx="350">
                  <c:v>55.9</c:v>
                </c:pt>
                <c:pt idx="351">
                  <c:v>55</c:v>
                </c:pt>
                <c:pt idx="352">
                  <c:v>57.7</c:v>
                </c:pt>
                <c:pt idx="353">
                  <c:v>60.2</c:v>
                </c:pt>
                <c:pt idx="354">
                  <c:v>60.5</c:v>
                </c:pt>
                <c:pt idx="355">
                  <c:v>62.2</c:v>
                </c:pt>
                <c:pt idx="356">
                  <c:v>60.3</c:v>
                </c:pt>
                <c:pt idx="357">
                  <c:v>60.5</c:v>
                </c:pt>
                <c:pt idx="358">
                  <c:v>60.1</c:v>
                </c:pt>
                <c:pt idx="359">
                  <c:v>61.3</c:v>
                </c:pt>
                <c:pt idx="360">
                  <c:v>59.4</c:v>
                </c:pt>
                <c:pt idx="361">
                  <c:v>58.5</c:v>
                </c:pt>
                <c:pt idx="362">
                  <c:v>58.2</c:v>
                </c:pt>
                <c:pt idx="363">
                  <c:v>57.7</c:v>
                </c:pt>
                <c:pt idx="364">
                  <c:v>56.2</c:v>
                </c:pt>
                <c:pt idx="365">
                  <c:v>54.4</c:v>
                </c:pt>
                <c:pt idx="366">
                  <c:v>52.7</c:v>
                </c:pt>
                <c:pt idx="367">
                  <c:v>51.3</c:v>
                </c:pt>
                <c:pt idx="368">
                  <c:v>49.5</c:v>
                </c:pt>
                <c:pt idx="369">
                  <c:v>49.6</c:v>
                </c:pt>
                <c:pt idx="370">
                  <c:v>49</c:v>
                </c:pt>
                <c:pt idx="371">
                  <c:v>48</c:v>
                </c:pt>
                <c:pt idx="372">
                  <c:v>44.8</c:v>
                </c:pt>
                <c:pt idx="373">
                  <c:v>46.2</c:v>
                </c:pt>
                <c:pt idx="374">
                  <c:v>50.2</c:v>
                </c:pt>
                <c:pt idx="375">
                  <c:v>43.6</c:v>
                </c:pt>
                <c:pt idx="376">
                  <c:v>37.4</c:v>
                </c:pt>
                <c:pt idx="377">
                  <c:v>29.4</c:v>
                </c:pt>
                <c:pt idx="378">
                  <c:v>30.3</c:v>
                </c:pt>
                <c:pt idx="379">
                  <c:v>35</c:v>
                </c:pt>
                <c:pt idx="380">
                  <c:v>45.5</c:v>
                </c:pt>
                <c:pt idx="381">
                  <c:v>50.1</c:v>
                </c:pt>
                <c:pt idx="382">
                  <c:v>55.5</c:v>
                </c:pt>
                <c:pt idx="383">
                  <c:v>58.2</c:v>
                </c:pt>
                <c:pt idx="384">
                  <c:v>53</c:v>
                </c:pt>
                <c:pt idx="385">
                  <c:v>49.2</c:v>
                </c:pt>
                <c:pt idx="386">
                  <c:v>48.8</c:v>
                </c:pt>
                <c:pt idx="387">
                  <c:v>49.6</c:v>
                </c:pt>
                <c:pt idx="388">
                  <c:v>51.6</c:v>
                </c:pt>
                <c:pt idx="389">
                  <c:v>53.5</c:v>
                </c:pt>
                <c:pt idx="390">
                  <c:v>50.7</c:v>
                </c:pt>
                <c:pt idx="391">
                  <c:v>46.7</c:v>
                </c:pt>
                <c:pt idx="392">
                  <c:v>48.3</c:v>
                </c:pt>
                <c:pt idx="393">
                  <c:v>42.5</c:v>
                </c:pt>
                <c:pt idx="394">
                  <c:v>40</c:v>
                </c:pt>
                <c:pt idx="395">
                  <c:v>36.1</c:v>
                </c:pt>
                <c:pt idx="396">
                  <c:v>37.799999999999997</c:v>
                </c:pt>
                <c:pt idx="397">
                  <c:v>38.200000000000003</c:v>
                </c:pt>
                <c:pt idx="398">
                  <c:v>38.299999999999997</c:v>
                </c:pt>
                <c:pt idx="399">
                  <c:v>36.799999999999997</c:v>
                </c:pt>
                <c:pt idx="400">
                  <c:v>37.799999999999997</c:v>
                </c:pt>
                <c:pt idx="401">
                  <c:v>35.5</c:v>
                </c:pt>
                <c:pt idx="402">
                  <c:v>38.299999999999997</c:v>
                </c:pt>
                <c:pt idx="403">
                  <c:v>38.4</c:v>
                </c:pt>
                <c:pt idx="404">
                  <c:v>38.299999999999997</c:v>
                </c:pt>
                <c:pt idx="405">
                  <c:v>38.799999999999997</c:v>
                </c:pt>
                <c:pt idx="406">
                  <c:v>39.4</c:v>
                </c:pt>
                <c:pt idx="407">
                  <c:v>39.200000000000003</c:v>
                </c:pt>
                <c:pt idx="408">
                  <c:v>42.8</c:v>
                </c:pt>
                <c:pt idx="409">
                  <c:v>46</c:v>
                </c:pt>
                <c:pt idx="410">
                  <c:v>54.4</c:v>
                </c:pt>
                <c:pt idx="411">
                  <c:v>53.9</c:v>
                </c:pt>
                <c:pt idx="412">
                  <c:v>54.2</c:v>
                </c:pt>
                <c:pt idx="413">
                  <c:v>56.1</c:v>
                </c:pt>
                <c:pt idx="414">
                  <c:v>57.5</c:v>
                </c:pt>
                <c:pt idx="415">
                  <c:v>63.6</c:v>
                </c:pt>
                <c:pt idx="416">
                  <c:v>63.1</c:v>
                </c:pt>
                <c:pt idx="417">
                  <c:v>62.5</c:v>
                </c:pt>
                <c:pt idx="418">
                  <c:v>64.400000000000006</c:v>
                </c:pt>
                <c:pt idx="419">
                  <c:v>66</c:v>
                </c:pt>
                <c:pt idx="420">
                  <c:v>69.900000000000006</c:v>
                </c:pt>
                <c:pt idx="421">
                  <c:v>60.5</c:v>
                </c:pt>
                <c:pt idx="422">
                  <c:v>61.3</c:v>
                </c:pt>
                <c:pt idx="423">
                  <c:v>58.9</c:v>
                </c:pt>
                <c:pt idx="424">
                  <c:v>61</c:v>
                </c:pt>
                <c:pt idx="425">
                  <c:v>58.6</c:v>
                </c:pt>
                <c:pt idx="426">
                  <c:v>58.1</c:v>
                </c:pt>
                <c:pt idx="427">
                  <c:v>56.1</c:v>
                </c:pt>
                <c:pt idx="428">
                  <c:v>53</c:v>
                </c:pt>
                <c:pt idx="429">
                  <c:v>50</c:v>
                </c:pt>
                <c:pt idx="430">
                  <c:v>50.8</c:v>
                </c:pt>
                <c:pt idx="431">
                  <c:v>50.3</c:v>
                </c:pt>
                <c:pt idx="432">
                  <c:v>50.6</c:v>
                </c:pt>
                <c:pt idx="433">
                  <c:v>50.3</c:v>
                </c:pt>
                <c:pt idx="434">
                  <c:v>49.9</c:v>
                </c:pt>
                <c:pt idx="435">
                  <c:v>47.8</c:v>
                </c:pt>
                <c:pt idx="436">
                  <c:v>48.2</c:v>
                </c:pt>
                <c:pt idx="437">
                  <c:v>47.1</c:v>
                </c:pt>
                <c:pt idx="438">
                  <c:v>47.8</c:v>
                </c:pt>
                <c:pt idx="439">
                  <c:v>47.9</c:v>
                </c:pt>
                <c:pt idx="440">
                  <c:v>47.7</c:v>
                </c:pt>
                <c:pt idx="441">
                  <c:v>49.9</c:v>
                </c:pt>
                <c:pt idx="442">
                  <c:v>50.9</c:v>
                </c:pt>
                <c:pt idx="443">
                  <c:v>52</c:v>
                </c:pt>
                <c:pt idx="444">
                  <c:v>50.7</c:v>
                </c:pt>
                <c:pt idx="445">
                  <c:v>51.2</c:v>
                </c:pt>
                <c:pt idx="446">
                  <c:v>51</c:v>
                </c:pt>
                <c:pt idx="447">
                  <c:v>51</c:v>
                </c:pt>
                <c:pt idx="448">
                  <c:v>49.7</c:v>
                </c:pt>
                <c:pt idx="449">
                  <c:v>53.4</c:v>
                </c:pt>
                <c:pt idx="450">
                  <c:v>50.5</c:v>
                </c:pt>
                <c:pt idx="451">
                  <c:v>48</c:v>
                </c:pt>
                <c:pt idx="452">
                  <c:v>52.6</c:v>
                </c:pt>
                <c:pt idx="453">
                  <c:v>52.4</c:v>
                </c:pt>
                <c:pt idx="454">
                  <c:v>51.2</c:v>
                </c:pt>
                <c:pt idx="455">
                  <c:v>51.2</c:v>
                </c:pt>
                <c:pt idx="456">
                  <c:v>50.5</c:v>
                </c:pt>
                <c:pt idx="457">
                  <c:v>54.9</c:v>
                </c:pt>
                <c:pt idx="458">
                  <c:v>52.6</c:v>
                </c:pt>
                <c:pt idx="459">
                  <c:v>55</c:v>
                </c:pt>
                <c:pt idx="460">
                  <c:v>55.5</c:v>
                </c:pt>
                <c:pt idx="461">
                  <c:v>57.2</c:v>
                </c:pt>
                <c:pt idx="462">
                  <c:v>57.4</c:v>
                </c:pt>
                <c:pt idx="463">
                  <c:v>57.5</c:v>
                </c:pt>
                <c:pt idx="464">
                  <c:v>59.3</c:v>
                </c:pt>
                <c:pt idx="465">
                  <c:v>60</c:v>
                </c:pt>
                <c:pt idx="466">
                  <c:v>60.7</c:v>
                </c:pt>
                <c:pt idx="467">
                  <c:v>58.8</c:v>
                </c:pt>
                <c:pt idx="468">
                  <c:v>61</c:v>
                </c:pt>
                <c:pt idx="469">
                  <c:v>57.5</c:v>
                </c:pt>
                <c:pt idx="470">
                  <c:v>56.2</c:v>
                </c:pt>
                <c:pt idx="471">
                  <c:v>54.6</c:v>
                </c:pt>
                <c:pt idx="472">
                  <c:v>55.8</c:v>
                </c:pt>
                <c:pt idx="473">
                  <c:v>55.5</c:v>
                </c:pt>
                <c:pt idx="474">
                  <c:v>59.3</c:v>
                </c:pt>
                <c:pt idx="475">
                  <c:v>58.2</c:v>
                </c:pt>
                <c:pt idx="476">
                  <c:v>56</c:v>
                </c:pt>
                <c:pt idx="477">
                  <c:v>54.5</c:v>
                </c:pt>
                <c:pt idx="478">
                  <c:v>55.4</c:v>
                </c:pt>
                <c:pt idx="479">
                  <c:v>55.6</c:v>
                </c:pt>
                <c:pt idx="480">
                  <c:v>56</c:v>
                </c:pt>
                <c:pt idx="481">
                  <c:v>54.7</c:v>
                </c:pt>
                <c:pt idx="482">
                  <c:v>54.1</c:v>
                </c:pt>
                <c:pt idx="483">
                  <c:v>51.5</c:v>
                </c:pt>
                <c:pt idx="484">
                  <c:v>52.2</c:v>
                </c:pt>
                <c:pt idx="485">
                  <c:v>49.3</c:v>
                </c:pt>
                <c:pt idx="486">
                  <c:v>47.3</c:v>
                </c:pt>
                <c:pt idx="487">
                  <c:v>45.9</c:v>
                </c:pt>
                <c:pt idx="488">
                  <c:v>45.1</c:v>
                </c:pt>
                <c:pt idx="489">
                  <c:v>46</c:v>
                </c:pt>
                <c:pt idx="490">
                  <c:v>46.8</c:v>
                </c:pt>
                <c:pt idx="491">
                  <c:v>46.8</c:v>
                </c:pt>
                <c:pt idx="492">
                  <c:v>47.4</c:v>
                </c:pt>
                <c:pt idx="493">
                  <c:v>47.2</c:v>
                </c:pt>
                <c:pt idx="494">
                  <c:v>49.1</c:v>
                </c:pt>
                <c:pt idx="495">
                  <c:v>49.9</c:v>
                </c:pt>
                <c:pt idx="496">
                  <c:v>50</c:v>
                </c:pt>
                <c:pt idx="497">
                  <c:v>49.5</c:v>
                </c:pt>
                <c:pt idx="498">
                  <c:v>49.2</c:v>
                </c:pt>
                <c:pt idx="499">
                  <c:v>46.6</c:v>
                </c:pt>
                <c:pt idx="500">
                  <c:v>46.1</c:v>
                </c:pt>
                <c:pt idx="501">
                  <c:v>44.5</c:v>
                </c:pt>
                <c:pt idx="502">
                  <c:v>43.2</c:v>
                </c:pt>
                <c:pt idx="503">
                  <c:v>41.3</c:v>
                </c:pt>
                <c:pt idx="504">
                  <c:v>40.799999999999997</c:v>
                </c:pt>
                <c:pt idx="505">
                  <c:v>39.200000000000003</c:v>
                </c:pt>
                <c:pt idx="506">
                  <c:v>39.4</c:v>
                </c:pt>
                <c:pt idx="507">
                  <c:v>40.700000000000003</c:v>
                </c:pt>
                <c:pt idx="508">
                  <c:v>42.8</c:v>
                </c:pt>
                <c:pt idx="509">
                  <c:v>44.5</c:v>
                </c:pt>
                <c:pt idx="510">
                  <c:v>50.3</c:v>
                </c:pt>
                <c:pt idx="511">
                  <c:v>50.6</c:v>
                </c:pt>
                <c:pt idx="512">
                  <c:v>52.9</c:v>
                </c:pt>
                <c:pt idx="513">
                  <c:v>54.9</c:v>
                </c:pt>
                <c:pt idx="514">
                  <c:v>53.1</c:v>
                </c:pt>
                <c:pt idx="515">
                  <c:v>49.5</c:v>
                </c:pt>
                <c:pt idx="516">
                  <c:v>46.8</c:v>
                </c:pt>
                <c:pt idx="517">
                  <c:v>47.3</c:v>
                </c:pt>
                <c:pt idx="518">
                  <c:v>52.7</c:v>
                </c:pt>
                <c:pt idx="519">
                  <c:v>54.6</c:v>
                </c:pt>
                <c:pt idx="520">
                  <c:v>52.6</c:v>
                </c:pt>
                <c:pt idx="521">
                  <c:v>55.7</c:v>
                </c:pt>
                <c:pt idx="522">
                  <c:v>53.6</c:v>
                </c:pt>
                <c:pt idx="523">
                  <c:v>53.9</c:v>
                </c:pt>
                <c:pt idx="524">
                  <c:v>53.4</c:v>
                </c:pt>
                <c:pt idx="525">
                  <c:v>49.7</c:v>
                </c:pt>
                <c:pt idx="526">
                  <c:v>50.3</c:v>
                </c:pt>
                <c:pt idx="527">
                  <c:v>53.6</c:v>
                </c:pt>
                <c:pt idx="528">
                  <c:v>54.2</c:v>
                </c:pt>
                <c:pt idx="529">
                  <c:v>55.8</c:v>
                </c:pt>
                <c:pt idx="530">
                  <c:v>55.2</c:v>
                </c:pt>
                <c:pt idx="531">
                  <c:v>53.5</c:v>
                </c:pt>
                <c:pt idx="532">
                  <c:v>50.2</c:v>
                </c:pt>
                <c:pt idx="533">
                  <c:v>51.2</c:v>
                </c:pt>
                <c:pt idx="534">
                  <c:v>49.6</c:v>
                </c:pt>
                <c:pt idx="535">
                  <c:v>50.2</c:v>
                </c:pt>
                <c:pt idx="536">
                  <c:v>50.7</c:v>
                </c:pt>
                <c:pt idx="537">
                  <c:v>50.8</c:v>
                </c:pt>
                <c:pt idx="538">
                  <c:v>53.4</c:v>
                </c:pt>
                <c:pt idx="539">
                  <c:v>53.8</c:v>
                </c:pt>
                <c:pt idx="540">
                  <c:v>55.6</c:v>
                </c:pt>
                <c:pt idx="541">
                  <c:v>56</c:v>
                </c:pt>
                <c:pt idx="542">
                  <c:v>56.5</c:v>
                </c:pt>
                <c:pt idx="543">
                  <c:v>56.9</c:v>
                </c:pt>
                <c:pt idx="544">
                  <c:v>57.4</c:v>
                </c:pt>
                <c:pt idx="545">
                  <c:v>58.2</c:v>
                </c:pt>
                <c:pt idx="546">
                  <c:v>58.8</c:v>
                </c:pt>
                <c:pt idx="547">
                  <c:v>58.5</c:v>
                </c:pt>
                <c:pt idx="548">
                  <c:v>58</c:v>
                </c:pt>
                <c:pt idx="549">
                  <c:v>59</c:v>
                </c:pt>
                <c:pt idx="550">
                  <c:v>59.4</c:v>
                </c:pt>
                <c:pt idx="551">
                  <c:v>59.2</c:v>
                </c:pt>
                <c:pt idx="552">
                  <c:v>56.1</c:v>
                </c:pt>
                <c:pt idx="553">
                  <c:v>57.4</c:v>
                </c:pt>
                <c:pt idx="554">
                  <c:v>55.1</c:v>
                </c:pt>
                <c:pt idx="555">
                  <c:v>52.1</c:v>
                </c:pt>
                <c:pt idx="556">
                  <c:v>51.5</c:v>
                </c:pt>
                <c:pt idx="557">
                  <c:v>46.7</c:v>
                </c:pt>
                <c:pt idx="558">
                  <c:v>45.9</c:v>
                </c:pt>
                <c:pt idx="559">
                  <c:v>50.7</c:v>
                </c:pt>
                <c:pt idx="560">
                  <c:v>47.1</c:v>
                </c:pt>
                <c:pt idx="561">
                  <c:v>48.1</c:v>
                </c:pt>
                <c:pt idx="562">
                  <c:v>46.7</c:v>
                </c:pt>
                <c:pt idx="563">
                  <c:v>45.9</c:v>
                </c:pt>
                <c:pt idx="564">
                  <c:v>46.2</c:v>
                </c:pt>
                <c:pt idx="565">
                  <c:v>45.5</c:v>
                </c:pt>
                <c:pt idx="566">
                  <c:v>45.9</c:v>
                </c:pt>
                <c:pt idx="567">
                  <c:v>46.9</c:v>
                </c:pt>
                <c:pt idx="568">
                  <c:v>49.3</c:v>
                </c:pt>
                <c:pt idx="569">
                  <c:v>49.1</c:v>
                </c:pt>
                <c:pt idx="570">
                  <c:v>53.6</c:v>
                </c:pt>
                <c:pt idx="571">
                  <c:v>49.7</c:v>
                </c:pt>
                <c:pt idx="572">
                  <c:v>51.6</c:v>
                </c:pt>
                <c:pt idx="573">
                  <c:v>51.1</c:v>
                </c:pt>
                <c:pt idx="574">
                  <c:v>50.5</c:v>
                </c:pt>
                <c:pt idx="575">
                  <c:v>53</c:v>
                </c:pt>
                <c:pt idx="576">
                  <c:v>55.2</c:v>
                </c:pt>
                <c:pt idx="577">
                  <c:v>53.8</c:v>
                </c:pt>
                <c:pt idx="578">
                  <c:v>53.1</c:v>
                </c:pt>
                <c:pt idx="579">
                  <c:v>53.8</c:v>
                </c:pt>
                <c:pt idx="580">
                  <c:v>53.7</c:v>
                </c:pt>
                <c:pt idx="581">
                  <c:v>56.1</c:v>
                </c:pt>
                <c:pt idx="582">
                  <c:v>54.9</c:v>
                </c:pt>
                <c:pt idx="583">
                  <c:v>57.7</c:v>
                </c:pt>
                <c:pt idx="584">
                  <c:v>56.3</c:v>
                </c:pt>
                <c:pt idx="585">
                  <c:v>53.9</c:v>
                </c:pt>
                <c:pt idx="586">
                  <c:v>56.4</c:v>
                </c:pt>
                <c:pt idx="587">
                  <c:v>55.7</c:v>
                </c:pt>
                <c:pt idx="588">
                  <c:v>54.5</c:v>
                </c:pt>
                <c:pt idx="589">
                  <c:v>53.8</c:v>
                </c:pt>
                <c:pt idx="590">
                  <c:v>52.9</c:v>
                </c:pt>
                <c:pt idx="591">
                  <c:v>52.9</c:v>
                </c:pt>
                <c:pt idx="592">
                  <c:v>52.2</c:v>
                </c:pt>
                <c:pt idx="593">
                  <c:v>50.9</c:v>
                </c:pt>
                <c:pt idx="594">
                  <c:v>48.9</c:v>
                </c:pt>
                <c:pt idx="595">
                  <c:v>49.2</c:v>
                </c:pt>
                <c:pt idx="596">
                  <c:v>49.3</c:v>
                </c:pt>
                <c:pt idx="597">
                  <c:v>48.7</c:v>
                </c:pt>
                <c:pt idx="598">
                  <c:v>48.7</c:v>
                </c:pt>
                <c:pt idx="599">
                  <c:v>48.2</c:v>
                </c:pt>
                <c:pt idx="600">
                  <c:v>46.8</c:v>
                </c:pt>
                <c:pt idx="601">
                  <c:v>50.6</c:v>
                </c:pt>
                <c:pt idx="602">
                  <c:v>51.7</c:v>
                </c:pt>
                <c:pt idx="603">
                  <c:v>52.4</c:v>
                </c:pt>
                <c:pt idx="604">
                  <c:v>52.3</c:v>
                </c:pt>
                <c:pt idx="605">
                  <c:v>54.3</c:v>
                </c:pt>
                <c:pt idx="606">
                  <c:v>55.8</c:v>
                </c:pt>
                <c:pt idx="607">
                  <c:v>53.6</c:v>
                </c:pt>
                <c:pt idx="608">
                  <c:v>54.8</c:v>
                </c:pt>
                <c:pt idx="609">
                  <c:v>57</c:v>
                </c:pt>
                <c:pt idx="610">
                  <c:v>57.2</c:v>
                </c:pt>
                <c:pt idx="611">
                  <c:v>58.1</c:v>
                </c:pt>
                <c:pt idx="612">
                  <c:v>57.8</c:v>
                </c:pt>
                <c:pt idx="613">
                  <c:v>56.7</c:v>
                </c:pt>
                <c:pt idx="614">
                  <c:v>55.8</c:v>
                </c:pt>
                <c:pt idx="615">
                  <c:v>54.9</c:v>
                </c:pt>
                <c:pt idx="616">
                  <c:v>54.7</c:v>
                </c:pt>
                <c:pt idx="617">
                  <c:v>53.2</c:v>
                </c:pt>
                <c:pt idx="618">
                  <c:v>51.4</c:v>
                </c:pt>
                <c:pt idx="619">
                  <c:v>52.5</c:v>
                </c:pt>
                <c:pt idx="620">
                  <c:v>49.9</c:v>
                </c:pt>
                <c:pt idx="621">
                  <c:v>49.7</c:v>
                </c:pt>
                <c:pt idx="622">
                  <c:v>48.7</c:v>
                </c:pt>
                <c:pt idx="623">
                  <c:v>48.5</c:v>
                </c:pt>
                <c:pt idx="624">
                  <c:v>43.9</c:v>
                </c:pt>
                <c:pt idx="625">
                  <c:v>42.3</c:v>
                </c:pt>
                <c:pt idx="626">
                  <c:v>42.1</c:v>
                </c:pt>
                <c:pt idx="627">
                  <c:v>43.1</c:v>
                </c:pt>
                <c:pt idx="628">
                  <c:v>42.7</c:v>
                </c:pt>
                <c:pt idx="629">
                  <c:v>41.3</c:v>
                </c:pt>
                <c:pt idx="630">
                  <c:v>43.2</c:v>
                </c:pt>
                <c:pt idx="631">
                  <c:v>43.5</c:v>
                </c:pt>
                <c:pt idx="632">
                  <c:v>46.3</c:v>
                </c:pt>
                <c:pt idx="633">
                  <c:v>46.2</c:v>
                </c:pt>
                <c:pt idx="634">
                  <c:v>40.799999999999997</c:v>
                </c:pt>
                <c:pt idx="635">
                  <c:v>44.1</c:v>
                </c:pt>
                <c:pt idx="636">
                  <c:v>45.3</c:v>
                </c:pt>
                <c:pt idx="637">
                  <c:v>47.5</c:v>
                </c:pt>
                <c:pt idx="638">
                  <c:v>50.7</c:v>
                </c:pt>
                <c:pt idx="639">
                  <c:v>52.4</c:v>
                </c:pt>
                <c:pt idx="640">
                  <c:v>52.4</c:v>
                </c:pt>
                <c:pt idx="641">
                  <c:v>53.1</c:v>
                </c:pt>
                <c:pt idx="642">
                  <c:v>53.6</c:v>
                </c:pt>
                <c:pt idx="643">
                  <c:v>50.2</c:v>
                </c:pt>
                <c:pt idx="644">
                  <c:v>50.3</c:v>
                </c:pt>
                <c:pt idx="645">
                  <c:v>50.5</c:v>
                </c:pt>
                <c:pt idx="646">
                  <c:v>49</c:v>
                </c:pt>
                <c:pt idx="647">
                  <c:v>48.5</c:v>
                </c:pt>
                <c:pt idx="648">
                  <c:v>51.6</c:v>
                </c:pt>
                <c:pt idx="649">
                  <c:v>51.3</c:v>
                </c:pt>
                <c:pt idx="650">
                  <c:v>48.8</c:v>
                </c:pt>
                <c:pt idx="651">
                  <c:v>46.3</c:v>
                </c:pt>
                <c:pt idx="652">
                  <c:v>46.1</c:v>
                </c:pt>
                <c:pt idx="653">
                  <c:v>49</c:v>
                </c:pt>
                <c:pt idx="654">
                  <c:v>49</c:v>
                </c:pt>
                <c:pt idx="655">
                  <c:v>51</c:v>
                </c:pt>
                <c:pt idx="656">
                  <c:v>53.2</c:v>
                </c:pt>
                <c:pt idx="657">
                  <c:v>52.4</c:v>
                </c:pt>
                <c:pt idx="658">
                  <c:v>55.2</c:v>
                </c:pt>
                <c:pt idx="659">
                  <c:v>58.4</c:v>
                </c:pt>
                <c:pt idx="660">
                  <c:v>60.1</c:v>
                </c:pt>
                <c:pt idx="661">
                  <c:v>60.8</c:v>
                </c:pt>
                <c:pt idx="662">
                  <c:v>59.9</c:v>
                </c:pt>
                <c:pt idx="663">
                  <c:v>60.6</c:v>
                </c:pt>
                <c:pt idx="664">
                  <c:v>60.6</c:v>
                </c:pt>
                <c:pt idx="665">
                  <c:v>61.4</c:v>
                </c:pt>
                <c:pt idx="666">
                  <c:v>60.5</c:v>
                </c:pt>
                <c:pt idx="667">
                  <c:v>59.9</c:v>
                </c:pt>
                <c:pt idx="668">
                  <c:v>58.5</c:v>
                </c:pt>
                <c:pt idx="669">
                  <c:v>57.4</c:v>
                </c:pt>
                <c:pt idx="670">
                  <c:v>56.3</c:v>
                </c:pt>
                <c:pt idx="671">
                  <c:v>56.2</c:v>
                </c:pt>
                <c:pt idx="672">
                  <c:v>57.2</c:v>
                </c:pt>
                <c:pt idx="673">
                  <c:v>56.8</c:v>
                </c:pt>
                <c:pt idx="674">
                  <c:v>55.5</c:v>
                </c:pt>
                <c:pt idx="675">
                  <c:v>55.2</c:v>
                </c:pt>
                <c:pt idx="676">
                  <c:v>52.2</c:v>
                </c:pt>
                <c:pt idx="677">
                  <c:v>50.8</c:v>
                </c:pt>
                <c:pt idx="678">
                  <c:v>52.4</c:v>
                </c:pt>
                <c:pt idx="679">
                  <c:v>52.8</c:v>
                </c:pt>
                <c:pt idx="680">
                  <c:v>52.4</c:v>
                </c:pt>
                <c:pt idx="681">
                  <c:v>56.8</c:v>
                </c:pt>
                <c:pt idx="682">
                  <c:v>57.2</c:v>
                </c:pt>
                <c:pt idx="683">
                  <c:v>56.7</c:v>
                </c:pt>
                <c:pt idx="684">
                  <c:v>55.1</c:v>
                </c:pt>
                <c:pt idx="685">
                  <c:v>55</c:v>
                </c:pt>
                <c:pt idx="686">
                  <c:v>55.8</c:v>
                </c:pt>
                <c:pt idx="687">
                  <c:v>54.3</c:v>
                </c:pt>
                <c:pt idx="688">
                  <c:v>55.2</c:v>
                </c:pt>
                <c:pt idx="689">
                  <c:v>53.7</c:v>
                </c:pt>
                <c:pt idx="690">
                  <c:v>52</c:v>
                </c:pt>
                <c:pt idx="691">
                  <c:v>53</c:v>
                </c:pt>
                <c:pt idx="692">
                  <c:v>53.7</c:v>
                </c:pt>
                <c:pt idx="693">
                  <c:v>52.2</c:v>
                </c:pt>
                <c:pt idx="694">
                  <c:v>51.4</c:v>
                </c:pt>
                <c:pt idx="695">
                  <c:v>50.3</c:v>
                </c:pt>
                <c:pt idx="696">
                  <c:v>51.4</c:v>
                </c:pt>
                <c:pt idx="697">
                  <c:v>49.5</c:v>
                </c:pt>
                <c:pt idx="698">
                  <c:v>51.9</c:v>
                </c:pt>
                <c:pt idx="699">
                  <c:v>50.7</c:v>
                </c:pt>
                <c:pt idx="700">
                  <c:v>52.6</c:v>
                </c:pt>
                <c:pt idx="701">
                  <c:v>52.5</c:v>
                </c:pt>
                <c:pt idx="702">
                  <c:v>52.6</c:v>
                </c:pt>
                <c:pt idx="703">
                  <c:v>52.4</c:v>
                </c:pt>
                <c:pt idx="704">
                  <c:v>50.9</c:v>
                </c:pt>
                <c:pt idx="705">
                  <c:v>51</c:v>
                </c:pt>
                <c:pt idx="706">
                  <c:v>51.1</c:v>
                </c:pt>
                <c:pt idx="707">
                  <c:v>50.5</c:v>
                </c:pt>
                <c:pt idx="708">
                  <c:v>49</c:v>
                </c:pt>
                <c:pt idx="709">
                  <c:v>50.3</c:v>
                </c:pt>
                <c:pt idx="710">
                  <c:v>47.6</c:v>
                </c:pt>
                <c:pt idx="711">
                  <c:v>48.3</c:v>
                </c:pt>
                <c:pt idx="712">
                  <c:v>48.8</c:v>
                </c:pt>
                <c:pt idx="713">
                  <c:v>48.8</c:v>
                </c:pt>
                <c:pt idx="714">
                  <c:v>49.8</c:v>
                </c:pt>
                <c:pt idx="715">
                  <c:v>50</c:v>
                </c:pt>
                <c:pt idx="716">
                  <c:v>49.2</c:v>
                </c:pt>
                <c:pt idx="717">
                  <c:v>44.8</c:v>
                </c:pt>
                <c:pt idx="718">
                  <c:v>38.9</c:v>
                </c:pt>
                <c:pt idx="719">
                  <c:v>36.5</c:v>
                </c:pt>
                <c:pt idx="720">
                  <c:v>33.1</c:v>
                </c:pt>
                <c:pt idx="721">
                  <c:v>34.9</c:v>
                </c:pt>
                <c:pt idx="722">
                  <c:v>35.5</c:v>
                </c:pt>
                <c:pt idx="723">
                  <c:v>36</c:v>
                </c:pt>
                <c:pt idx="724">
                  <c:v>39.5</c:v>
                </c:pt>
                <c:pt idx="725">
                  <c:v>41.7</c:v>
                </c:pt>
                <c:pt idx="726">
                  <c:v>45.8</c:v>
                </c:pt>
                <c:pt idx="727">
                  <c:v>49.9</c:v>
                </c:pt>
                <c:pt idx="728">
                  <c:v>53.5</c:v>
                </c:pt>
                <c:pt idx="729">
                  <c:v>54.4</c:v>
                </c:pt>
                <c:pt idx="730">
                  <c:v>56</c:v>
                </c:pt>
                <c:pt idx="731">
                  <c:v>54.4</c:v>
                </c:pt>
                <c:pt idx="732">
                  <c:v>55.3</c:v>
                </c:pt>
                <c:pt idx="733">
                  <c:v>57.2</c:v>
                </c:pt>
                <c:pt idx="734">
                  <c:v>55.8</c:v>
                </c:pt>
                <c:pt idx="735">
                  <c:v>58.8</c:v>
                </c:pt>
                <c:pt idx="736">
                  <c:v>58.1</c:v>
                </c:pt>
                <c:pt idx="737">
                  <c:v>58.3</c:v>
                </c:pt>
                <c:pt idx="738">
                  <c:v>56.4</c:v>
                </c:pt>
                <c:pt idx="739">
                  <c:v>56.4</c:v>
                </c:pt>
                <c:pt idx="740">
                  <c:v>58</c:v>
                </c:pt>
                <c:pt idx="741">
                  <c:v>56.3</c:v>
                </c:pt>
                <c:pt idx="742">
                  <c:v>57.7</c:v>
                </c:pt>
                <c:pt idx="743">
                  <c:v>57.6</c:v>
                </c:pt>
                <c:pt idx="744">
                  <c:v>57.5</c:v>
                </c:pt>
                <c:pt idx="745">
                  <c:v>59</c:v>
                </c:pt>
                <c:pt idx="746">
                  <c:v>59.3</c:v>
                </c:pt>
                <c:pt idx="747">
                  <c:v>59.1</c:v>
                </c:pt>
                <c:pt idx="748">
                  <c:v>58.9</c:v>
                </c:pt>
                <c:pt idx="749">
                  <c:v>53.7</c:v>
                </c:pt>
                <c:pt idx="750">
                  <c:v>56.6</c:v>
                </c:pt>
                <c:pt idx="751">
                  <c:v>52.9</c:v>
                </c:pt>
                <c:pt idx="752">
                  <c:v>53</c:v>
                </c:pt>
                <c:pt idx="753">
                  <c:v>52.8</c:v>
                </c:pt>
                <c:pt idx="754">
                  <c:v>51.8</c:v>
                </c:pt>
                <c:pt idx="755">
                  <c:v>52.1</c:v>
                </c:pt>
                <c:pt idx="756">
                  <c:v>53.1</c:v>
                </c:pt>
                <c:pt idx="757">
                  <c:v>52.8</c:v>
                </c:pt>
                <c:pt idx="758">
                  <c:v>52.4</c:v>
                </c:pt>
                <c:pt idx="759">
                  <c:v>53</c:v>
                </c:pt>
                <c:pt idx="760">
                  <c:v>53.7</c:v>
                </c:pt>
                <c:pt idx="761">
                  <c:v>53.2</c:v>
                </c:pt>
                <c:pt idx="762">
                  <c:v>51</c:v>
                </c:pt>
                <c:pt idx="763">
                  <c:v>50.6</c:v>
                </c:pt>
                <c:pt idx="764">
                  <c:v>51.1</c:v>
                </c:pt>
                <c:pt idx="765">
                  <c:v>52.2</c:v>
                </c:pt>
                <c:pt idx="766">
                  <c:v>51.2</c:v>
                </c:pt>
                <c:pt idx="767">
                  <c:v>49.5</c:v>
                </c:pt>
                <c:pt idx="768">
                  <c:v>50.4</c:v>
                </c:pt>
                <c:pt idx="769">
                  <c:v>52.3</c:v>
                </c:pt>
                <c:pt idx="770">
                  <c:v>53.1</c:v>
                </c:pt>
                <c:pt idx="771">
                  <c:v>51.5</c:v>
                </c:pt>
                <c:pt idx="772">
                  <c:v>50</c:v>
                </c:pt>
                <c:pt idx="773">
                  <c:v>50</c:v>
                </c:pt>
                <c:pt idx="774">
                  <c:v>52.5</c:v>
                </c:pt>
                <c:pt idx="775">
                  <c:v>54.9</c:v>
                </c:pt>
                <c:pt idx="776">
                  <c:v>56.3</c:v>
                </c:pt>
                <c:pt idx="777">
                  <c:v>56</c:v>
                </c:pt>
                <c:pt idx="778">
                  <c:v>56.6</c:v>
                </c:pt>
                <c:pt idx="779">
                  <c:v>57</c:v>
                </c:pt>
                <c:pt idx="780">
                  <c:v>56.5</c:v>
                </c:pt>
                <c:pt idx="781">
                  <c:v>51.3</c:v>
                </c:pt>
                <c:pt idx="782">
                  <c:v>54.3</c:v>
                </c:pt>
                <c:pt idx="783">
                  <c:v>54.4</c:v>
                </c:pt>
                <c:pt idx="784">
                  <c:v>55.3</c:v>
                </c:pt>
                <c:pt idx="785">
                  <c:v>55.6</c:v>
                </c:pt>
                <c:pt idx="786">
                  <c:v>55.7</c:v>
                </c:pt>
                <c:pt idx="787">
                  <c:v>56.4</c:v>
                </c:pt>
                <c:pt idx="788">
                  <c:v>58.1</c:v>
                </c:pt>
                <c:pt idx="789">
                  <c:v>56.1</c:v>
                </c:pt>
                <c:pt idx="790">
                  <c:v>57.9</c:v>
                </c:pt>
                <c:pt idx="791">
                  <c:v>57.6</c:v>
                </c:pt>
                <c:pt idx="792">
                  <c:v>55.1</c:v>
                </c:pt>
                <c:pt idx="793">
                  <c:v>53.5</c:v>
                </c:pt>
                <c:pt idx="794">
                  <c:v>52.9</c:v>
                </c:pt>
                <c:pt idx="795">
                  <c:v>51.5</c:v>
                </c:pt>
                <c:pt idx="796">
                  <c:v>51.5</c:v>
                </c:pt>
                <c:pt idx="797">
                  <c:v>52.8</c:v>
                </c:pt>
                <c:pt idx="798">
                  <c:v>53.5</c:v>
                </c:pt>
                <c:pt idx="799">
                  <c:v>52.7</c:v>
                </c:pt>
                <c:pt idx="800">
                  <c:v>51.1</c:v>
                </c:pt>
                <c:pt idx="801">
                  <c:v>50.2</c:v>
                </c:pt>
                <c:pt idx="802">
                  <c:v>49.4</c:v>
                </c:pt>
                <c:pt idx="803">
                  <c:v>48.4</c:v>
                </c:pt>
                <c:pt idx="804">
                  <c:v>48</c:v>
                </c:pt>
                <c:pt idx="805">
                  <c:v>48.2</c:v>
                </c:pt>
                <c:pt idx="806">
                  <c:v>49.7</c:v>
                </c:pt>
                <c:pt idx="807">
                  <c:v>51.7</c:v>
                </c:pt>
                <c:pt idx="808">
                  <c:v>50.7</c:v>
                </c:pt>
                <c:pt idx="809">
                  <c:v>51</c:v>
                </c:pt>
                <c:pt idx="810">
                  <c:v>52.8</c:v>
                </c:pt>
                <c:pt idx="811">
                  <c:v>52.3</c:v>
                </c:pt>
                <c:pt idx="812">
                  <c:v>49.4</c:v>
                </c:pt>
                <c:pt idx="813">
                  <c:v>51.7</c:v>
                </c:pt>
                <c:pt idx="814">
                  <c:v>52</c:v>
                </c:pt>
                <c:pt idx="815">
                  <c:v>53.5</c:v>
                </c:pt>
                <c:pt idx="816">
                  <c:v>54.5</c:v>
                </c:pt>
                <c:pt idx="817">
                  <c:v>56</c:v>
                </c:pt>
                <c:pt idx="818">
                  <c:v>57.6</c:v>
                </c:pt>
                <c:pt idx="819">
                  <c:v>56.6</c:v>
                </c:pt>
                <c:pt idx="820">
                  <c:v>55.3</c:v>
                </c:pt>
                <c:pt idx="821">
                  <c:v>55.5</c:v>
                </c:pt>
                <c:pt idx="822">
                  <c:v>56.7</c:v>
                </c:pt>
                <c:pt idx="823">
                  <c:v>56.5</c:v>
                </c:pt>
                <c:pt idx="824">
                  <c:v>59.3</c:v>
                </c:pt>
                <c:pt idx="825">
                  <c:v>60.2</c:v>
                </c:pt>
                <c:pt idx="826">
                  <c:v>58.5</c:v>
                </c:pt>
                <c:pt idx="827">
                  <c:v>58.2</c:v>
                </c:pt>
                <c:pt idx="828">
                  <c:v>59.3</c:v>
                </c:pt>
                <c:pt idx="829">
                  <c:v>59.1</c:v>
                </c:pt>
                <c:pt idx="830">
                  <c:v>60.7</c:v>
                </c:pt>
                <c:pt idx="831">
                  <c:v>59.3</c:v>
                </c:pt>
                <c:pt idx="832">
                  <c:v>57.9</c:v>
                </c:pt>
              </c:numCache>
            </c:numRef>
          </c:val>
          <c:smooth val="0"/>
          <c:extLst>
            <c:ext xmlns:c16="http://schemas.microsoft.com/office/drawing/2014/chart" uri="{C3380CC4-5D6E-409C-BE32-E72D297353CC}">
              <c16:uniqueId val="{00000002-9E8F-874B-9F00-5D6208D3A2ED}"/>
            </c:ext>
          </c:extLst>
        </c:ser>
        <c:ser>
          <c:idx val="1"/>
          <c:order val="2"/>
          <c:tx>
            <c:strRef>
              <c:f>'PMI Analysis'!$AA$1</c:f>
              <c:strCache>
                <c:ptCount val="1"/>
                <c:pt idx="0">
                  <c:v>PMI INDEX</c:v>
                </c:pt>
              </c:strCache>
            </c:strRef>
          </c:tx>
          <c:spPr>
            <a:ln w="9525" cap="rnd">
              <a:solidFill>
                <a:srgbClr val="009193"/>
              </a:solidFill>
              <a:round/>
            </a:ln>
            <a:effectLst/>
          </c:spPr>
          <c:marker>
            <c:symbol val="none"/>
          </c:marker>
          <c:trendline>
            <c:spPr>
              <a:ln w="19050" cap="rnd">
                <a:solidFill>
                  <a:srgbClr val="009193"/>
                </a:solidFill>
                <a:prstDash val="solid"/>
              </a:ln>
              <a:effectLst/>
            </c:spPr>
            <c:trendlineType val="movingAvg"/>
            <c:period val="6"/>
            <c:dispRSqr val="0"/>
            <c:dispEq val="0"/>
          </c:trendline>
          <c:cat>
            <c:numRef>
              <c:f>'PMI Analysis'!$W$2:$W$833</c:f>
              <c:numCache>
                <c:formatCode>m/d/yy</c:formatCode>
                <c:ptCount val="832"/>
                <c:pt idx="0">
                  <c:v>18264</c:v>
                </c:pt>
                <c:pt idx="1">
                  <c:v>18295</c:v>
                </c:pt>
                <c:pt idx="2">
                  <c:v>18323</c:v>
                </c:pt>
                <c:pt idx="3">
                  <c:v>18354</c:v>
                </c:pt>
                <c:pt idx="4">
                  <c:v>18384</c:v>
                </c:pt>
                <c:pt idx="5">
                  <c:v>18415</c:v>
                </c:pt>
                <c:pt idx="6">
                  <c:v>18445</c:v>
                </c:pt>
                <c:pt idx="7">
                  <c:v>18476</c:v>
                </c:pt>
                <c:pt idx="8">
                  <c:v>18507</c:v>
                </c:pt>
                <c:pt idx="9">
                  <c:v>18537</c:v>
                </c:pt>
                <c:pt idx="10">
                  <c:v>18568</c:v>
                </c:pt>
                <c:pt idx="11">
                  <c:v>18598</c:v>
                </c:pt>
                <c:pt idx="12">
                  <c:v>18629</c:v>
                </c:pt>
                <c:pt idx="13">
                  <c:v>18660</c:v>
                </c:pt>
                <c:pt idx="14">
                  <c:v>18688</c:v>
                </c:pt>
                <c:pt idx="15">
                  <c:v>18719</c:v>
                </c:pt>
                <c:pt idx="16">
                  <c:v>18749</c:v>
                </c:pt>
                <c:pt idx="17">
                  <c:v>18780</c:v>
                </c:pt>
                <c:pt idx="18">
                  <c:v>18810</c:v>
                </c:pt>
                <c:pt idx="19">
                  <c:v>18841</c:v>
                </c:pt>
                <c:pt idx="20">
                  <c:v>18872</c:v>
                </c:pt>
                <c:pt idx="21">
                  <c:v>18902</c:v>
                </c:pt>
                <c:pt idx="22">
                  <c:v>18933</c:v>
                </c:pt>
                <c:pt idx="23">
                  <c:v>18963</c:v>
                </c:pt>
                <c:pt idx="24">
                  <c:v>18994</c:v>
                </c:pt>
                <c:pt idx="25">
                  <c:v>19025</c:v>
                </c:pt>
                <c:pt idx="26">
                  <c:v>19054</c:v>
                </c:pt>
                <c:pt idx="27">
                  <c:v>19085</c:v>
                </c:pt>
                <c:pt idx="28">
                  <c:v>19115</c:v>
                </c:pt>
                <c:pt idx="29">
                  <c:v>19146</c:v>
                </c:pt>
                <c:pt idx="30">
                  <c:v>19176</c:v>
                </c:pt>
                <c:pt idx="31">
                  <c:v>19207</c:v>
                </c:pt>
                <c:pt idx="32">
                  <c:v>19238</c:v>
                </c:pt>
                <c:pt idx="33">
                  <c:v>19268</c:v>
                </c:pt>
                <c:pt idx="34">
                  <c:v>19299</c:v>
                </c:pt>
                <c:pt idx="35">
                  <c:v>19329</c:v>
                </c:pt>
                <c:pt idx="36">
                  <c:v>19360</c:v>
                </c:pt>
                <c:pt idx="37">
                  <c:v>19391</c:v>
                </c:pt>
                <c:pt idx="38">
                  <c:v>19419</c:v>
                </c:pt>
                <c:pt idx="39">
                  <c:v>19450</c:v>
                </c:pt>
                <c:pt idx="40">
                  <c:v>19480</c:v>
                </c:pt>
                <c:pt idx="41">
                  <c:v>19511</c:v>
                </c:pt>
                <c:pt idx="42">
                  <c:v>19541</c:v>
                </c:pt>
                <c:pt idx="43">
                  <c:v>19572</c:v>
                </c:pt>
                <c:pt idx="44">
                  <c:v>19603</c:v>
                </c:pt>
                <c:pt idx="45">
                  <c:v>19633</c:v>
                </c:pt>
                <c:pt idx="46">
                  <c:v>19664</c:v>
                </c:pt>
                <c:pt idx="47">
                  <c:v>19694</c:v>
                </c:pt>
                <c:pt idx="48">
                  <c:v>19725</c:v>
                </c:pt>
                <c:pt idx="49">
                  <c:v>19756</c:v>
                </c:pt>
                <c:pt idx="50">
                  <c:v>19784</c:v>
                </c:pt>
                <c:pt idx="51">
                  <c:v>19815</c:v>
                </c:pt>
                <c:pt idx="52">
                  <c:v>19845</c:v>
                </c:pt>
                <c:pt idx="53">
                  <c:v>19876</c:v>
                </c:pt>
                <c:pt idx="54">
                  <c:v>19906</c:v>
                </c:pt>
                <c:pt idx="55">
                  <c:v>19937</c:v>
                </c:pt>
                <c:pt idx="56">
                  <c:v>19968</c:v>
                </c:pt>
                <c:pt idx="57">
                  <c:v>19998</c:v>
                </c:pt>
                <c:pt idx="58">
                  <c:v>20029</c:v>
                </c:pt>
                <c:pt idx="59">
                  <c:v>20059</c:v>
                </c:pt>
                <c:pt idx="60">
                  <c:v>20090</c:v>
                </c:pt>
                <c:pt idx="61">
                  <c:v>20121</c:v>
                </c:pt>
                <c:pt idx="62">
                  <c:v>20149</c:v>
                </c:pt>
                <c:pt idx="63">
                  <c:v>20180</c:v>
                </c:pt>
                <c:pt idx="64">
                  <c:v>20210</c:v>
                </c:pt>
                <c:pt idx="65">
                  <c:v>20241</c:v>
                </c:pt>
                <c:pt idx="66">
                  <c:v>20271</c:v>
                </c:pt>
                <c:pt idx="67">
                  <c:v>20302</c:v>
                </c:pt>
                <c:pt idx="68">
                  <c:v>20333</c:v>
                </c:pt>
                <c:pt idx="69">
                  <c:v>20363</c:v>
                </c:pt>
                <c:pt idx="70">
                  <c:v>20394</c:v>
                </c:pt>
                <c:pt idx="71">
                  <c:v>20424</c:v>
                </c:pt>
                <c:pt idx="72">
                  <c:v>20455</c:v>
                </c:pt>
                <c:pt idx="73">
                  <c:v>20486</c:v>
                </c:pt>
                <c:pt idx="74">
                  <c:v>20515</c:v>
                </c:pt>
                <c:pt idx="75">
                  <c:v>20546</c:v>
                </c:pt>
                <c:pt idx="76">
                  <c:v>20576</c:v>
                </c:pt>
                <c:pt idx="77">
                  <c:v>20607</c:v>
                </c:pt>
                <c:pt idx="78">
                  <c:v>20637</c:v>
                </c:pt>
                <c:pt idx="79">
                  <c:v>20668</c:v>
                </c:pt>
                <c:pt idx="80">
                  <c:v>20699</c:v>
                </c:pt>
                <c:pt idx="81">
                  <c:v>20729</c:v>
                </c:pt>
                <c:pt idx="82">
                  <c:v>20760</c:v>
                </c:pt>
                <c:pt idx="83">
                  <c:v>20790</c:v>
                </c:pt>
                <c:pt idx="84">
                  <c:v>20821</c:v>
                </c:pt>
                <c:pt idx="85">
                  <c:v>20852</c:v>
                </c:pt>
                <c:pt idx="86">
                  <c:v>20880</c:v>
                </c:pt>
                <c:pt idx="87">
                  <c:v>20911</c:v>
                </c:pt>
                <c:pt idx="88">
                  <c:v>20941</c:v>
                </c:pt>
                <c:pt idx="89">
                  <c:v>20972</c:v>
                </c:pt>
                <c:pt idx="90">
                  <c:v>21002</c:v>
                </c:pt>
                <c:pt idx="91">
                  <c:v>21033</c:v>
                </c:pt>
                <c:pt idx="92">
                  <c:v>21064</c:v>
                </c:pt>
                <c:pt idx="93">
                  <c:v>21094</c:v>
                </c:pt>
                <c:pt idx="94">
                  <c:v>21125</c:v>
                </c:pt>
                <c:pt idx="95">
                  <c:v>21155</c:v>
                </c:pt>
                <c:pt idx="96">
                  <c:v>21186</c:v>
                </c:pt>
                <c:pt idx="97">
                  <c:v>21217</c:v>
                </c:pt>
                <c:pt idx="98">
                  <c:v>21245</c:v>
                </c:pt>
                <c:pt idx="99">
                  <c:v>21276</c:v>
                </c:pt>
                <c:pt idx="100">
                  <c:v>21306</c:v>
                </c:pt>
                <c:pt idx="101">
                  <c:v>21337</c:v>
                </c:pt>
                <c:pt idx="102">
                  <c:v>21367</c:v>
                </c:pt>
                <c:pt idx="103">
                  <c:v>21398</c:v>
                </c:pt>
                <c:pt idx="104">
                  <c:v>21429</c:v>
                </c:pt>
                <c:pt idx="105">
                  <c:v>21459</c:v>
                </c:pt>
                <c:pt idx="106">
                  <c:v>21490</c:v>
                </c:pt>
                <c:pt idx="107">
                  <c:v>21520</c:v>
                </c:pt>
                <c:pt idx="108">
                  <c:v>21551</c:v>
                </c:pt>
                <c:pt idx="109">
                  <c:v>21582</c:v>
                </c:pt>
                <c:pt idx="110">
                  <c:v>21610</c:v>
                </c:pt>
                <c:pt idx="111">
                  <c:v>21641</c:v>
                </c:pt>
                <c:pt idx="112">
                  <c:v>21671</c:v>
                </c:pt>
                <c:pt idx="113">
                  <c:v>21702</c:v>
                </c:pt>
                <c:pt idx="114">
                  <c:v>21732</c:v>
                </c:pt>
                <c:pt idx="115">
                  <c:v>21763</c:v>
                </c:pt>
                <c:pt idx="116">
                  <c:v>21794</c:v>
                </c:pt>
                <c:pt idx="117">
                  <c:v>21824</c:v>
                </c:pt>
                <c:pt idx="118">
                  <c:v>21855</c:v>
                </c:pt>
                <c:pt idx="119">
                  <c:v>21885</c:v>
                </c:pt>
                <c:pt idx="120">
                  <c:v>21916</c:v>
                </c:pt>
                <c:pt idx="121">
                  <c:v>21947</c:v>
                </c:pt>
                <c:pt idx="122">
                  <c:v>21976</c:v>
                </c:pt>
                <c:pt idx="123">
                  <c:v>22007</c:v>
                </c:pt>
                <c:pt idx="124">
                  <c:v>22037</c:v>
                </c:pt>
                <c:pt idx="125">
                  <c:v>22068</c:v>
                </c:pt>
                <c:pt idx="126">
                  <c:v>22098</c:v>
                </c:pt>
                <c:pt idx="127">
                  <c:v>22129</c:v>
                </c:pt>
                <c:pt idx="128">
                  <c:v>22160</c:v>
                </c:pt>
                <c:pt idx="129">
                  <c:v>22190</c:v>
                </c:pt>
                <c:pt idx="130">
                  <c:v>22221</c:v>
                </c:pt>
                <c:pt idx="131">
                  <c:v>22251</c:v>
                </c:pt>
                <c:pt idx="132">
                  <c:v>22282</c:v>
                </c:pt>
                <c:pt idx="133">
                  <c:v>22313</c:v>
                </c:pt>
                <c:pt idx="134">
                  <c:v>22341</c:v>
                </c:pt>
                <c:pt idx="135">
                  <c:v>22372</c:v>
                </c:pt>
                <c:pt idx="136">
                  <c:v>22402</c:v>
                </c:pt>
                <c:pt idx="137">
                  <c:v>22433</c:v>
                </c:pt>
                <c:pt idx="138">
                  <c:v>22463</c:v>
                </c:pt>
                <c:pt idx="139">
                  <c:v>22494</c:v>
                </c:pt>
                <c:pt idx="140">
                  <c:v>22525</c:v>
                </c:pt>
                <c:pt idx="141">
                  <c:v>22555</c:v>
                </c:pt>
                <c:pt idx="142">
                  <c:v>22586</c:v>
                </c:pt>
                <c:pt idx="143">
                  <c:v>22616</c:v>
                </c:pt>
                <c:pt idx="144">
                  <c:v>22647</c:v>
                </c:pt>
                <c:pt idx="145">
                  <c:v>22678</c:v>
                </c:pt>
                <c:pt idx="146">
                  <c:v>22706</c:v>
                </c:pt>
                <c:pt idx="147">
                  <c:v>22737</c:v>
                </c:pt>
                <c:pt idx="148">
                  <c:v>22767</c:v>
                </c:pt>
                <c:pt idx="149">
                  <c:v>22798</c:v>
                </c:pt>
                <c:pt idx="150">
                  <c:v>22828</c:v>
                </c:pt>
                <c:pt idx="151">
                  <c:v>22859</c:v>
                </c:pt>
                <c:pt idx="152">
                  <c:v>22890</c:v>
                </c:pt>
                <c:pt idx="153">
                  <c:v>22920</c:v>
                </c:pt>
                <c:pt idx="154">
                  <c:v>22951</c:v>
                </c:pt>
                <c:pt idx="155">
                  <c:v>22981</c:v>
                </c:pt>
                <c:pt idx="156">
                  <c:v>23012</c:v>
                </c:pt>
                <c:pt idx="157">
                  <c:v>23043</c:v>
                </c:pt>
                <c:pt idx="158">
                  <c:v>23071</c:v>
                </c:pt>
                <c:pt idx="159">
                  <c:v>23102</c:v>
                </c:pt>
                <c:pt idx="160">
                  <c:v>23132</c:v>
                </c:pt>
                <c:pt idx="161">
                  <c:v>23163</c:v>
                </c:pt>
                <c:pt idx="162">
                  <c:v>23193</c:v>
                </c:pt>
                <c:pt idx="163">
                  <c:v>23224</c:v>
                </c:pt>
                <c:pt idx="164">
                  <c:v>23255</c:v>
                </c:pt>
                <c:pt idx="165">
                  <c:v>23285</c:v>
                </c:pt>
                <c:pt idx="166">
                  <c:v>23316</c:v>
                </c:pt>
                <c:pt idx="167">
                  <c:v>23346</c:v>
                </c:pt>
                <c:pt idx="168">
                  <c:v>23377</c:v>
                </c:pt>
                <c:pt idx="169">
                  <c:v>23408</c:v>
                </c:pt>
                <c:pt idx="170">
                  <c:v>23437</c:v>
                </c:pt>
                <c:pt idx="171">
                  <c:v>23468</c:v>
                </c:pt>
                <c:pt idx="172">
                  <c:v>23498</c:v>
                </c:pt>
                <c:pt idx="173">
                  <c:v>23529</c:v>
                </c:pt>
                <c:pt idx="174">
                  <c:v>23559</c:v>
                </c:pt>
                <c:pt idx="175">
                  <c:v>23590</c:v>
                </c:pt>
                <c:pt idx="176">
                  <c:v>23621</c:v>
                </c:pt>
                <c:pt idx="177">
                  <c:v>23651</c:v>
                </c:pt>
                <c:pt idx="178">
                  <c:v>23682</c:v>
                </c:pt>
                <c:pt idx="179">
                  <c:v>23712</c:v>
                </c:pt>
                <c:pt idx="180">
                  <c:v>23743</c:v>
                </c:pt>
                <c:pt idx="181">
                  <c:v>23774</c:v>
                </c:pt>
                <c:pt idx="182">
                  <c:v>23802</c:v>
                </c:pt>
                <c:pt idx="183">
                  <c:v>23833</c:v>
                </c:pt>
                <c:pt idx="184">
                  <c:v>23863</c:v>
                </c:pt>
                <c:pt idx="185">
                  <c:v>23894</c:v>
                </c:pt>
                <c:pt idx="186">
                  <c:v>23924</c:v>
                </c:pt>
                <c:pt idx="187">
                  <c:v>23955</c:v>
                </c:pt>
                <c:pt idx="188">
                  <c:v>23986</c:v>
                </c:pt>
                <c:pt idx="189">
                  <c:v>24016</c:v>
                </c:pt>
                <c:pt idx="190">
                  <c:v>24047</c:v>
                </c:pt>
                <c:pt idx="191">
                  <c:v>24077</c:v>
                </c:pt>
                <c:pt idx="192">
                  <c:v>24108</c:v>
                </c:pt>
                <c:pt idx="193">
                  <c:v>24139</c:v>
                </c:pt>
                <c:pt idx="194">
                  <c:v>24167</c:v>
                </c:pt>
                <c:pt idx="195">
                  <c:v>24198</c:v>
                </c:pt>
                <c:pt idx="196">
                  <c:v>24228</c:v>
                </c:pt>
                <c:pt idx="197">
                  <c:v>24259</c:v>
                </c:pt>
                <c:pt idx="198">
                  <c:v>24289</c:v>
                </c:pt>
                <c:pt idx="199">
                  <c:v>24320</c:v>
                </c:pt>
                <c:pt idx="200">
                  <c:v>24351</c:v>
                </c:pt>
                <c:pt idx="201">
                  <c:v>24381</c:v>
                </c:pt>
                <c:pt idx="202">
                  <c:v>24412</c:v>
                </c:pt>
                <c:pt idx="203">
                  <c:v>24442</c:v>
                </c:pt>
                <c:pt idx="204">
                  <c:v>24473</c:v>
                </c:pt>
                <c:pt idx="205">
                  <c:v>24504</c:v>
                </c:pt>
                <c:pt idx="206">
                  <c:v>24532</c:v>
                </c:pt>
                <c:pt idx="207">
                  <c:v>24563</c:v>
                </c:pt>
                <c:pt idx="208">
                  <c:v>24593</c:v>
                </c:pt>
                <c:pt idx="209">
                  <c:v>24624</c:v>
                </c:pt>
                <c:pt idx="210">
                  <c:v>24654</c:v>
                </c:pt>
                <c:pt idx="211">
                  <c:v>24685</c:v>
                </c:pt>
                <c:pt idx="212">
                  <c:v>24716</c:v>
                </c:pt>
                <c:pt idx="213">
                  <c:v>24746</c:v>
                </c:pt>
                <c:pt idx="214">
                  <c:v>24777</c:v>
                </c:pt>
                <c:pt idx="215">
                  <c:v>24807</c:v>
                </c:pt>
                <c:pt idx="216">
                  <c:v>24838</c:v>
                </c:pt>
                <c:pt idx="217">
                  <c:v>24869</c:v>
                </c:pt>
                <c:pt idx="218">
                  <c:v>24898</c:v>
                </c:pt>
                <c:pt idx="219">
                  <c:v>24929</c:v>
                </c:pt>
                <c:pt idx="220">
                  <c:v>24959</c:v>
                </c:pt>
                <c:pt idx="221">
                  <c:v>24990</c:v>
                </c:pt>
                <c:pt idx="222">
                  <c:v>25020</c:v>
                </c:pt>
                <c:pt idx="223">
                  <c:v>25051</c:v>
                </c:pt>
                <c:pt idx="224">
                  <c:v>25082</c:v>
                </c:pt>
                <c:pt idx="225">
                  <c:v>25112</c:v>
                </c:pt>
                <c:pt idx="226">
                  <c:v>25143</c:v>
                </c:pt>
                <c:pt idx="227">
                  <c:v>25173</c:v>
                </c:pt>
                <c:pt idx="228">
                  <c:v>25204</c:v>
                </c:pt>
                <c:pt idx="229">
                  <c:v>25235</c:v>
                </c:pt>
                <c:pt idx="230">
                  <c:v>25263</c:v>
                </c:pt>
                <c:pt idx="231">
                  <c:v>25294</c:v>
                </c:pt>
                <c:pt idx="232">
                  <c:v>25324</c:v>
                </c:pt>
                <c:pt idx="233">
                  <c:v>25355</c:v>
                </c:pt>
                <c:pt idx="234">
                  <c:v>25385</c:v>
                </c:pt>
                <c:pt idx="235">
                  <c:v>25416</c:v>
                </c:pt>
                <c:pt idx="236">
                  <c:v>25447</c:v>
                </c:pt>
                <c:pt idx="237">
                  <c:v>25477</c:v>
                </c:pt>
                <c:pt idx="238">
                  <c:v>25508</c:v>
                </c:pt>
                <c:pt idx="239">
                  <c:v>25538</c:v>
                </c:pt>
                <c:pt idx="240">
                  <c:v>25569</c:v>
                </c:pt>
                <c:pt idx="241">
                  <c:v>25600</c:v>
                </c:pt>
                <c:pt idx="242">
                  <c:v>25628</c:v>
                </c:pt>
                <c:pt idx="243">
                  <c:v>25659</c:v>
                </c:pt>
                <c:pt idx="244">
                  <c:v>25689</c:v>
                </c:pt>
                <c:pt idx="245">
                  <c:v>25720</c:v>
                </c:pt>
                <c:pt idx="246">
                  <c:v>25750</c:v>
                </c:pt>
                <c:pt idx="247">
                  <c:v>25781</c:v>
                </c:pt>
                <c:pt idx="248">
                  <c:v>25812</c:v>
                </c:pt>
                <c:pt idx="249">
                  <c:v>25842</c:v>
                </c:pt>
                <c:pt idx="250">
                  <c:v>25873</c:v>
                </c:pt>
                <c:pt idx="251">
                  <c:v>25903</c:v>
                </c:pt>
                <c:pt idx="252">
                  <c:v>25934</c:v>
                </c:pt>
                <c:pt idx="253">
                  <c:v>25965</c:v>
                </c:pt>
                <c:pt idx="254">
                  <c:v>25993</c:v>
                </c:pt>
                <c:pt idx="255">
                  <c:v>26024</c:v>
                </c:pt>
                <c:pt idx="256">
                  <c:v>26054</c:v>
                </c:pt>
                <c:pt idx="257">
                  <c:v>26085</c:v>
                </c:pt>
                <c:pt idx="258">
                  <c:v>26115</c:v>
                </c:pt>
                <c:pt idx="259">
                  <c:v>26146</c:v>
                </c:pt>
                <c:pt idx="260">
                  <c:v>26177</c:v>
                </c:pt>
                <c:pt idx="261">
                  <c:v>26207</c:v>
                </c:pt>
                <c:pt idx="262">
                  <c:v>26238</c:v>
                </c:pt>
                <c:pt idx="263">
                  <c:v>26268</c:v>
                </c:pt>
                <c:pt idx="264">
                  <c:v>26299</c:v>
                </c:pt>
                <c:pt idx="265">
                  <c:v>26330</c:v>
                </c:pt>
                <c:pt idx="266">
                  <c:v>26359</c:v>
                </c:pt>
                <c:pt idx="267">
                  <c:v>26390</c:v>
                </c:pt>
                <c:pt idx="268">
                  <c:v>26420</c:v>
                </c:pt>
                <c:pt idx="269">
                  <c:v>26451</c:v>
                </c:pt>
                <c:pt idx="270">
                  <c:v>26481</c:v>
                </c:pt>
                <c:pt idx="271">
                  <c:v>26512</c:v>
                </c:pt>
                <c:pt idx="272">
                  <c:v>26543</c:v>
                </c:pt>
                <c:pt idx="273">
                  <c:v>26573</c:v>
                </c:pt>
                <c:pt idx="274">
                  <c:v>26604</c:v>
                </c:pt>
                <c:pt idx="275">
                  <c:v>26634</c:v>
                </c:pt>
                <c:pt idx="276">
                  <c:v>26665</c:v>
                </c:pt>
                <c:pt idx="277">
                  <c:v>26696</c:v>
                </c:pt>
                <c:pt idx="278">
                  <c:v>26724</c:v>
                </c:pt>
                <c:pt idx="279">
                  <c:v>26755</c:v>
                </c:pt>
                <c:pt idx="280">
                  <c:v>26785</c:v>
                </c:pt>
                <c:pt idx="281">
                  <c:v>26816</c:v>
                </c:pt>
                <c:pt idx="282">
                  <c:v>26846</c:v>
                </c:pt>
                <c:pt idx="283">
                  <c:v>26877</c:v>
                </c:pt>
                <c:pt idx="284">
                  <c:v>26908</c:v>
                </c:pt>
                <c:pt idx="285">
                  <c:v>26938</c:v>
                </c:pt>
                <c:pt idx="286">
                  <c:v>26969</c:v>
                </c:pt>
                <c:pt idx="287">
                  <c:v>26999</c:v>
                </c:pt>
                <c:pt idx="288">
                  <c:v>27030</c:v>
                </c:pt>
                <c:pt idx="289">
                  <c:v>27061</c:v>
                </c:pt>
                <c:pt idx="290">
                  <c:v>27089</c:v>
                </c:pt>
                <c:pt idx="291">
                  <c:v>27120</c:v>
                </c:pt>
                <c:pt idx="292">
                  <c:v>27150</c:v>
                </c:pt>
                <c:pt idx="293">
                  <c:v>27181</c:v>
                </c:pt>
                <c:pt idx="294">
                  <c:v>27211</c:v>
                </c:pt>
                <c:pt idx="295">
                  <c:v>27242</c:v>
                </c:pt>
                <c:pt idx="296">
                  <c:v>27273</c:v>
                </c:pt>
                <c:pt idx="297">
                  <c:v>27303</c:v>
                </c:pt>
                <c:pt idx="298">
                  <c:v>27334</c:v>
                </c:pt>
                <c:pt idx="299">
                  <c:v>27364</c:v>
                </c:pt>
                <c:pt idx="300">
                  <c:v>27395</c:v>
                </c:pt>
                <c:pt idx="301">
                  <c:v>27426</c:v>
                </c:pt>
                <c:pt idx="302">
                  <c:v>27454</c:v>
                </c:pt>
                <c:pt idx="303">
                  <c:v>27485</c:v>
                </c:pt>
                <c:pt idx="304">
                  <c:v>27515</c:v>
                </c:pt>
                <c:pt idx="305">
                  <c:v>27546</c:v>
                </c:pt>
                <c:pt idx="306">
                  <c:v>27576</c:v>
                </c:pt>
                <c:pt idx="307">
                  <c:v>27607</c:v>
                </c:pt>
                <c:pt idx="308">
                  <c:v>27638</c:v>
                </c:pt>
                <c:pt idx="309">
                  <c:v>27668</c:v>
                </c:pt>
                <c:pt idx="310">
                  <c:v>27699</c:v>
                </c:pt>
                <c:pt idx="311">
                  <c:v>27729</c:v>
                </c:pt>
                <c:pt idx="312">
                  <c:v>27760</c:v>
                </c:pt>
                <c:pt idx="313">
                  <c:v>27791</c:v>
                </c:pt>
                <c:pt idx="314">
                  <c:v>27820</c:v>
                </c:pt>
                <c:pt idx="315">
                  <c:v>27851</c:v>
                </c:pt>
                <c:pt idx="316">
                  <c:v>27881</c:v>
                </c:pt>
                <c:pt idx="317">
                  <c:v>27912</c:v>
                </c:pt>
                <c:pt idx="318">
                  <c:v>27942</c:v>
                </c:pt>
                <c:pt idx="319">
                  <c:v>27973</c:v>
                </c:pt>
                <c:pt idx="320">
                  <c:v>28004</c:v>
                </c:pt>
                <c:pt idx="321">
                  <c:v>28034</c:v>
                </c:pt>
                <c:pt idx="322">
                  <c:v>28065</c:v>
                </c:pt>
                <c:pt idx="323">
                  <c:v>28095</c:v>
                </c:pt>
                <c:pt idx="324">
                  <c:v>28126</c:v>
                </c:pt>
                <c:pt idx="325">
                  <c:v>28157</c:v>
                </c:pt>
                <c:pt idx="326">
                  <c:v>28185</c:v>
                </c:pt>
                <c:pt idx="327">
                  <c:v>28216</c:v>
                </c:pt>
                <c:pt idx="328">
                  <c:v>28246</c:v>
                </c:pt>
                <c:pt idx="329">
                  <c:v>28277</c:v>
                </c:pt>
                <c:pt idx="330">
                  <c:v>28307</c:v>
                </c:pt>
                <c:pt idx="331">
                  <c:v>28338</c:v>
                </c:pt>
                <c:pt idx="332">
                  <c:v>28369</c:v>
                </c:pt>
                <c:pt idx="333">
                  <c:v>28399</c:v>
                </c:pt>
                <c:pt idx="334">
                  <c:v>28430</c:v>
                </c:pt>
                <c:pt idx="335">
                  <c:v>28460</c:v>
                </c:pt>
                <c:pt idx="336">
                  <c:v>28491</c:v>
                </c:pt>
                <c:pt idx="337">
                  <c:v>28522</c:v>
                </c:pt>
                <c:pt idx="338">
                  <c:v>28550</c:v>
                </c:pt>
                <c:pt idx="339">
                  <c:v>28581</c:v>
                </c:pt>
                <c:pt idx="340">
                  <c:v>28611</c:v>
                </c:pt>
                <c:pt idx="341">
                  <c:v>28642</c:v>
                </c:pt>
                <c:pt idx="342">
                  <c:v>28672</c:v>
                </c:pt>
                <c:pt idx="343">
                  <c:v>28703</c:v>
                </c:pt>
                <c:pt idx="344">
                  <c:v>28734</c:v>
                </c:pt>
                <c:pt idx="345">
                  <c:v>28764</c:v>
                </c:pt>
                <c:pt idx="346">
                  <c:v>28795</c:v>
                </c:pt>
                <c:pt idx="347">
                  <c:v>28825</c:v>
                </c:pt>
                <c:pt idx="348">
                  <c:v>28856</c:v>
                </c:pt>
                <c:pt idx="349">
                  <c:v>28887</c:v>
                </c:pt>
                <c:pt idx="350">
                  <c:v>28915</c:v>
                </c:pt>
                <c:pt idx="351">
                  <c:v>28946</c:v>
                </c:pt>
                <c:pt idx="352">
                  <c:v>28976</c:v>
                </c:pt>
                <c:pt idx="353">
                  <c:v>29007</c:v>
                </c:pt>
                <c:pt idx="354">
                  <c:v>29037</c:v>
                </c:pt>
                <c:pt idx="355">
                  <c:v>29068</c:v>
                </c:pt>
                <c:pt idx="356">
                  <c:v>29099</c:v>
                </c:pt>
                <c:pt idx="357">
                  <c:v>29129</c:v>
                </c:pt>
                <c:pt idx="358">
                  <c:v>29160</c:v>
                </c:pt>
                <c:pt idx="359">
                  <c:v>29190</c:v>
                </c:pt>
                <c:pt idx="360">
                  <c:v>29221</c:v>
                </c:pt>
                <c:pt idx="361">
                  <c:v>29252</c:v>
                </c:pt>
                <c:pt idx="362">
                  <c:v>29281</c:v>
                </c:pt>
                <c:pt idx="363">
                  <c:v>29312</c:v>
                </c:pt>
                <c:pt idx="364">
                  <c:v>29342</c:v>
                </c:pt>
                <c:pt idx="365">
                  <c:v>29373</c:v>
                </c:pt>
                <c:pt idx="366">
                  <c:v>29403</c:v>
                </c:pt>
                <c:pt idx="367">
                  <c:v>29434</c:v>
                </c:pt>
                <c:pt idx="368">
                  <c:v>29465</c:v>
                </c:pt>
                <c:pt idx="369">
                  <c:v>29495</c:v>
                </c:pt>
                <c:pt idx="370">
                  <c:v>29526</c:v>
                </c:pt>
                <c:pt idx="371">
                  <c:v>29556</c:v>
                </c:pt>
                <c:pt idx="372">
                  <c:v>29587</c:v>
                </c:pt>
                <c:pt idx="373">
                  <c:v>29618</c:v>
                </c:pt>
                <c:pt idx="374">
                  <c:v>29646</c:v>
                </c:pt>
                <c:pt idx="375">
                  <c:v>29677</c:v>
                </c:pt>
                <c:pt idx="376">
                  <c:v>29707</c:v>
                </c:pt>
                <c:pt idx="377">
                  <c:v>29738</c:v>
                </c:pt>
                <c:pt idx="378">
                  <c:v>29768</c:v>
                </c:pt>
                <c:pt idx="379">
                  <c:v>29799</c:v>
                </c:pt>
                <c:pt idx="380">
                  <c:v>29830</c:v>
                </c:pt>
                <c:pt idx="381">
                  <c:v>29860</c:v>
                </c:pt>
                <c:pt idx="382">
                  <c:v>29891</c:v>
                </c:pt>
                <c:pt idx="383">
                  <c:v>29921</c:v>
                </c:pt>
                <c:pt idx="384">
                  <c:v>29952</c:v>
                </c:pt>
                <c:pt idx="385">
                  <c:v>29983</c:v>
                </c:pt>
                <c:pt idx="386">
                  <c:v>30011</c:v>
                </c:pt>
                <c:pt idx="387">
                  <c:v>30042</c:v>
                </c:pt>
                <c:pt idx="388">
                  <c:v>30072</c:v>
                </c:pt>
                <c:pt idx="389">
                  <c:v>30103</c:v>
                </c:pt>
                <c:pt idx="390">
                  <c:v>30133</c:v>
                </c:pt>
                <c:pt idx="391">
                  <c:v>30164</c:v>
                </c:pt>
                <c:pt idx="392">
                  <c:v>30195</c:v>
                </c:pt>
                <c:pt idx="393">
                  <c:v>30225</c:v>
                </c:pt>
                <c:pt idx="394">
                  <c:v>30256</c:v>
                </c:pt>
                <c:pt idx="395">
                  <c:v>30286</c:v>
                </c:pt>
                <c:pt idx="396">
                  <c:v>30317</c:v>
                </c:pt>
                <c:pt idx="397">
                  <c:v>30348</c:v>
                </c:pt>
                <c:pt idx="398">
                  <c:v>30376</c:v>
                </c:pt>
                <c:pt idx="399">
                  <c:v>30407</c:v>
                </c:pt>
                <c:pt idx="400">
                  <c:v>30437</c:v>
                </c:pt>
                <c:pt idx="401">
                  <c:v>30468</c:v>
                </c:pt>
                <c:pt idx="402">
                  <c:v>30498</c:v>
                </c:pt>
                <c:pt idx="403">
                  <c:v>30529</c:v>
                </c:pt>
                <c:pt idx="404">
                  <c:v>30560</c:v>
                </c:pt>
                <c:pt idx="405">
                  <c:v>30590</c:v>
                </c:pt>
                <c:pt idx="406">
                  <c:v>30621</c:v>
                </c:pt>
                <c:pt idx="407">
                  <c:v>30651</c:v>
                </c:pt>
                <c:pt idx="408">
                  <c:v>30682</c:v>
                </c:pt>
                <c:pt idx="409">
                  <c:v>30713</c:v>
                </c:pt>
                <c:pt idx="410">
                  <c:v>30742</c:v>
                </c:pt>
                <c:pt idx="411">
                  <c:v>30773</c:v>
                </c:pt>
                <c:pt idx="412">
                  <c:v>30803</c:v>
                </c:pt>
                <c:pt idx="413">
                  <c:v>30834</c:v>
                </c:pt>
                <c:pt idx="414">
                  <c:v>30864</c:v>
                </c:pt>
                <c:pt idx="415">
                  <c:v>30895</c:v>
                </c:pt>
                <c:pt idx="416">
                  <c:v>30926</c:v>
                </c:pt>
                <c:pt idx="417">
                  <c:v>30956</c:v>
                </c:pt>
                <c:pt idx="418">
                  <c:v>30987</c:v>
                </c:pt>
                <c:pt idx="419">
                  <c:v>31017</c:v>
                </c:pt>
                <c:pt idx="420">
                  <c:v>31048</c:v>
                </c:pt>
                <c:pt idx="421">
                  <c:v>31079</c:v>
                </c:pt>
                <c:pt idx="422">
                  <c:v>31107</c:v>
                </c:pt>
                <c:pt idx="423">
                  <c:v>31138</c:v>
                </c:pt>
                <c:pt idx="424">
                  <c:v>31168</c:v>
                </c:pt>
                <c:pt idx="425">
                  <c:v>31199</c:v>
                </c:pt>
                <c:pt idx="426">
                  <c:v>31229</c:v>
                </c:pt>
                <c:pt idx="427">
                  <c:v>31260</c:v>
                </c:pt>
                <c:pt idx="428">
                  <c:v>31291</c:v>
                </c:pt>
                <c:pt idx="429">
                  <c:v>31321</c:v>
                </c:pt>
                <c:pt idx="430">
                  <c:v>31352</c:v>
                </c:pt>
                <c:pt idx="431">
                  <c:v>31382</c:v>
                </c:pt>
                <c:pt idx="432">
                  <c:v>31413</c:v>
                </c:pt>
                <c:pt idx="433">
                  <c:v>31444</c:v>
                </c:pt>
                <c:pt idx="434">
                  <c:v>31472</c:v>
                </c:pt>
                <c:pt idx="435">
                  <c:v>31503</c:v>
                </c:pt>
                <c:pt idx="436">
                  <c:v>31533</c:v>
                </c:pt>
                <c:pt idx="437">
                  <c:v>31564</c:v>
                </c:pt>
                <c:pt idx="438">
                  <c:v>31594</c:v>
                </c:pt>
                <c:pt idx="439">
                  <c:v>31625</c:v>
                </c:pt>
                <c:pt idx="440">
                  <c:v>31656</c:v>
                </c:pt>
                <c:pt idx="441">
                  <c:v>31686</c:v>
                </c:pt>
                <c:pt idx="442">
                  <c:v>31717</c:v>
                </c:pt>
                <c:pt idx="443">
                  <c:v>31747</c:v>
                </c:pt>
                <c:pt idx="444">
                  <c:v>31778</c:v>
                </c:pt>
                <c:pt idx="445">
                  <c:v>31809</c:v>
                </c:pt>
                <c:pt idx="446">
                  <c:v>31837</c:v>
                </c:pt>
                <c:pt idx="447">
                  <c:v>31868</c:v>
                </c:pt>
                <c:pt idx="448">
                  <c:v>31898</c:v>
                </c:pt>
                <c:pt idx="449">
                  <c:v>31929</c:v>
                </c:pt>
                <c:pt idx="450">
                  <c:v>31959</c:v>
                </c:pt>
                <c:pt idx="451">
                  <c:v>31990</c:v>
                </c:pt>
                <c:pt idx="452">
                  <c:v>32021</c:v>
                </c:pt>
                <c:pt idx="453">
                  <c:v>32051</c:v>
                </c:pt>
                <c:pt idx="454">
                  <c:v>32082</c:v>
                </c:pt>
                <c:pt idx="455">
                  <c:v>32112</c:v>
                </c:pt>
                <c:pt idx="456">
                  <c:v>32143</c:v>
                </c:pt>
                <c:pt idx="457">
                  <c:v>32174</c:v>
                </c:pt>
                <c:pt idx="458">
                  <c:v>32203</c:v>
                </c:pt>
                <c:pt idx="459">
                  <c:v>32234</c:v>
                </c:pt>
                <c:pt idx="460">
                  <c:v>32264</c:v>
                </c:pt>
                <c:pt idx="461">
                  <c:v>32295</c:v>
                </c:pt>
                <c:pt idx="462">
                  <c:v>32325</c:v>
                </c:pt>
                <c:pt idx="463">
                  <c:v>32356</c:v>
                </c:pt>
                <c:pt idx="464">
                  <c:v>32387</c:v>
                </c:pt>
                <c:pt idx="465">
                  <c:v>32417</c:v>
                </c:pt>
                <c:pt idx="466">
                  <c:v>32448</c:v>
                </c:pt>
                <c:pt idx="467">
                  <c:v>32478</c:v>
                </c:pt>
                <c:pt idx="468">
                  <c:v>32509</c:v>
                </c:pt>
                <c:pt idx="469">
                  <c:v>32540</c:v>
                </c:pt>
                <c:pt idx="470">
                  <c:v>32568</c:v>
                </c:pt>
                <c:pt idx="471">
                  <c:v>32599</c:v>
                </c:pt>
                <c:pt idx="472">
                  <c:v>32629</c:v>
                </c:pt>
                <c:pt idx="473">
                  <c:v>32660</c:v>
                </c:pt>
                <c:pt idx="474">
                  <c:v>32690</c:v>
                </c:pt>
                <c:pt idx="475">
                  <c:v>32721</c:v>
                </c:pt>
                <c:pt idx="476">
                  <c:v>32752</c:v>
                </c:pt>
                <c:pt idx="477">
                  <c:v>32782</c:v>
                </c:pt>
                <c:pt idx="478">
                  <c:v>32813</c:v>
                </c:pt>
                <c:pt idx="479">
                  <c:v>32843</c:v>
                </c:pt>
                <c:pt idx="480">
                  <c:v>32874</c:v>
                </c:pt>
                <c:pt idx="481">
                  <c:v>32905</c:v>
                </c:pt>
                <c:pt idx="482">
                  <c:v>32933</c:v>
                </c:pt>
                <c:pt idx="483">
                  <c:v>32964</c:v>
                </c:pt>
                <c:pt idx="484">
                  <c:v>32994</c:v>
                </c:pt>
                <c:pt idx="485">
                  <c:v>33025</c:v>
                </c:pt>
                <c:pt idx="486">
                  <c:v>33055</c:v>
                </c:pt>
                <c:pt idx="487">
                  <c:v>33086</c:v>
                </c:pt>
                <c:pt idx="488">
                  <c:v>33117</c:v>
                </c:pt>
                <c:pt idx="489">
                  <c:v>33147</c:v>
                </c:pt>
                <c:pt idx="490">
                  <c:v>33178</c:v>
                </c:pt>
                <c:pt idx="491">
                  <c:v>33208</c:v>
                </c:pt>
                <c:pt idx="492">
                  <c:v>33239</c:v>
                </c:pt>
                <c:pt idx="493">
                  <c:v>33270</c:v>
                </c:pt>
                <c:pt idx="494">
                  <c:v>33298</c:v>
                </c:pt>
                <c:pt idx="495">
                  <c:v>33329</c:v>
                </c:pt>
                <c:pt idx="496">
                  <c:v>33359</c:v>
                </c:pt>
                <c:pt idx="497">
                  <c:v>33390</c:v>
                </c:pt>
                <c:pt idx="498">
                  <c:v>33420</c:v>
                </c:pt>
                <c:pt idx="499">
                  <c:v>33451</c:v>
                </c:pt>
                <c:pt idx="500">
                  <c:v>33482</c:v>
                </c:pt>
                <c:pt idx="501">
                  <c:v>33512</c:v>
                </c:pt>
                <c:pt idx="502">
                  <c:v>33543</c:v>
                </c:pt>
                <c:pt idx="503">
                  <c:v>33573</c:v>
                </c:pt>
                <c:pt idx="504">
                  <c:v>33604</c:v>
                </c:pt>
                <c:pt idx="505">
                  <c:v>33635</c:v>
                </c:pt>
                <c:pt idx="506">
                  <c:v>33664</c:v>
                </c:pt>
                <c:pt idx="507">
                  <c:v>33695</c:v>
                </c:pt>
                <c:pt idx="508">
                  <c:v>33725</c:v>
                </c:pt>
                <c:pt idx="509">
                  <c:v>33756</c:v>
                </c:pt>
                <c:pt idx="510">
                  <c:v>33786</c:v>
                </c:pt>
                <c:pt idx="511">
                  <c:v>33817</c:v>
                </c:pt>
                <c:pt idx="512">
                  <c:v>33848</c:v>
                </c:pt>
                <c:pt idx="513">
                  <c:v>33878</c:v>
                </c:pt>
                <c:pt idx="514">
                  <c:v>33909</c:v>
                </c:pt>
                <c:pt idx="515">
                  <c:v>33939</c:v>
                </c:pt>
                <c:pt idx="516">
                  <c:v>33970</c:v>
                </c:pt>
                <c:pt idx="517">
                  <c:v>34001</c:v>
                </c:pt>
                <c:pt idx="518">
                  <c:v>34029</c:v>
                </c:pt>
                <c:pt idx="519">
                  <c:v>34060</c:v>
                </c:pt>
                <c:pt idx="520">
                  <c:v>34090</c:v>
                </c:pt>
                <c:pt idx="521">
                  <c:v>34121</c:v>
                </c:pt>
                <c:pt idx="522">
                  <c:v>34151</c:v>
                </c:pt>
                <c:pt idx="523">
                  <c:v>34182</c:v>
                </c:pt>
                <c:pt idx="524">
                  <c:v>34213</c:v>
                </c:pt>
                <c:pt idx="525">
                  <c:v>34243</c:v>
                </c:pt>
                <c:pt idx="526">
                  <c:v>34274</c:v>
                </c:pt>
                <c:pt idx="527">
                  <c:v>34304</c:v>
                </c:pt>
                <c:pt idx="528">
                  <c:v>34335</c:v>
                </c:pt>
                <c:pt idx="529">
                  <c:v>34366</c:v>
                </c:pt>
                <c:pt idx="530">
                  <c:v>34394</c:v>
                </c:pt>
                <c:pt idx="531">
                  <c:v>34425</c:v>
                </c:pt>
                <c:pt idx="532">
                  <c:v>34455</c:v>
                </c:pt>
                <c:pt idx="533">
                  <c:v>34486</c:v>
                </c:pt>
                <c:pt idx="534">
                  <c:v>34516</c:v>
                </c:pt>
                <c:pt idx="535">
                  <c:v>34547</c:v>
                </c:pt>
                <c:pt idx="536">
                  <c:v>34578</c:v>
                </c:pt>
                <c:pt idx="537">
                  <c:v>34608</c:v>
                </c:pt>
                <c:pt idx="538">
                  <c:v>34639</c:v>
                </c:pt>
                <c:pt idx="539">
                  <c:v>34669</c:v>
                </c:pt>
                <c:pt idx="540">
                  <c:v>34700</c:v>
                </c:pt>
                <c:pt idx="541">
                  <c:v>34731</c:v>
                </c:pt>
                <c:pt idx="542">
                  <c:v>34759</c:v>
                </c:pt>
                <c:pt idx="543">
                  <c:v>34790</c:v>
                </c:pt>
                <c:pt idx="544">
                  <c:v>34820</c:v>
                </c:pt>
                <c:pt idx="545">
                  <c:v>34851</c:v>
                </c:pt>
                <c:pt idx="546">
                  <c:v>34881</c:v>
                </c:pt>
                <c:pt idx="547">
                  <c:v>34912</c:v>
                </c:pt>
                <c:pt idx="548">
                  <c:v>34943</c:v>
                </c:pt>
                <c:pt idx="549">
                  <c:v>34973</c:v>
                </c:pt>
                <c:pt idx="550">
                  <c:v>35004</c:v>
                </c:pt>
                <c:pt idx="551">
                  <c:v>35034</c:v>
                </c:pt>
                <c:pt idx="552">
                  <c:v>35065</c:v>
                </c:pt>
                <c:pt idx="553">
                  <c:v>35096</c:v>
                </c:pt>
                <c:pt idx="554">
                  <c:v>35125</c:v>
                </c:pt>
                <c:pt idx="555">
                  <c:v>35156</c:v>
                </c:pt>
                <c:pt idx="556">
                  <c:v>35186</c:v>
                </c:pt>
                <c:pt idx="557">
                  <c:v>35217</c:v>
                </c:pt>
                <c:pt idx="558">
                  <c:v>35247</c:v>
                </c:pt>
                <c:pt idx="559">
                  <c:v>35278</c:v>
                </c:pt>
                <c:pt idx="560">
                  <c:v>35309</c:v>
                </c:pt>
                <c:pt idx="561">
                  <c:v>35339</c:v>
                </c:pt>
                <c:pt idx="562">
                  <c:v>35370</c:v>
                </c:pt>
                <c:pt idx="563">
                  <c:v>35400</c:v>
                </c:pt>
                <c:pt idx="564">
                  <c:v>35431</c:v>
                </c:pt>
                <c:pt idx="565">
                  <c:v>35462</c:v>
                </c:pt>
                <c:pt idx="566">
                  <c:v>35490</c:v>
                </c:pt>
                <c:pt idx="567">
                  <c:v>35521</c:v>
                </c:pt>
                <c:pt idx="568">
                  <c:v>35551</c:v>
                </c:pt>
                <c:pt idx="569">
                  <c:v>35582</c:v>
                </c:pt>
                <c:pt idx="570">
                  <c:v>35612</c:v>
                </c:pt>
                <c:pt idx="571">
                  <c:v>35643</c:v>
                </c:pt>
                <c:pt idx="572">
                  <c:v>35674</c:v>
                </c:pt>
                <c:pt idx="573">
                  <c:v>35704</c:v>
                </c:pt>
                <c:pt idx="574">
                  <c:v>35735</c:v>
                </c:pt>
                <c:pt idx="575">
                  <c:v>35765</c:v>
                </c:pt>
                <c:pt idx="576">
                  <c:v>35796</c:v>
                </c:pt>
                <c:pt idx="577">
                  <c:v>35827</c:v>
                </c:pt>
                <c:pt idx="578">
                  <c:v>35855</c:v>
                </c:pt>
                <c:pt idx="579">
                  <c:v>35886</c:v>
                </c:pt>
                <c:pt idx="580">
                  <c:v>35916</c:v>
                </c:pt>
                <c:pt idx="581">
                  <c:v>35947</c:v>
                </c:pt>
                <c:pt idx="582">
                  <c:v>35977</c:v>
                </c:pt>
                <c:pt idx="583">
                  <c:v>36008</c:v>
                </c:pt>
                <c:pt idx="584">
                  <c:v>36039</c:v>
                </c:pt>
                <c:pt idx="585">
                  <c:v>36069</c:v>
                </c:pt>
                <c:pt idx="586">
                  <c:v>36100</c:v>
                </c:pt>
                <c:pt idx="587">
                  <c:v>36130</c:v>
                </c:pt>
                <c:pt idx="588">
                  <c:v>36161</c:v>
                </c:pt>
                <c:pt idx="589">
                  <c:v>36192</c:v>
                </c:pt>
                <c:pt idx="590">
                  <c:v>36220</c:v>
                </c:pt>
                <c:pt idx="591">
                  <c:v>36251</c:v>
                </c:pt>
                <c:pt idx="592">
                  <c:v>36281</c:v>
                </c:pt>
                <c:pt idx="593">
                  <c:v>36312</c:v>
                </c:pt>
                <c:pt idx="594">
                  <c:v>36342</c:v>
                </c:pt>
                <c:pt idx="595">
                  <c:v>36373</c:v>
                </c:pt>
                <c:pt idx="596">
                  <c:v>36404</c:v>
                </c:pt>
                <c:pt idx="597">
                  <c:v>36434</c:v>
                </c:pt>
                <c:pt idx="598">
                  <c:v>36465</c:v>
                </c:pt>
                <c:pt idx="599">
                  <c:v>36495</c:v>
                </c:pt>
                <c:pt idx="600">
                  <c:v>36526</c:v>
                </c:pt>
                <c:pt idx="601">
                  <c:v>36557</c:v>
                </c:pt>
                <c:pt idx="602">
                  <c:v>36586</c:v>
                </c:pt>
                <c:pt idx="603">
                  <c:v>36617</c:v>
                </c:pt>
                <c:pt idx="604">
                  <c:v>36647</c:v>
                </c:pt>
                <c:pt idx="605">
                  <c:v>36678</c:v>
                </c:pt>
                <c:pt idx="606">
                  <c:v>36708</c:v>
                </c:pt>
                <c:pt idx="607">
                  <c:v>36739</c:v>
                </c:pt>
                <c:pt idx="608">
                  <c:v>36770</c:v>
                </c:pt>
                <c:pt idx="609">
                  <c:v>36800</c:v>
                </c:pt>
                <c:pt idx="610">
                  <c:v>36831</c:v>
                </c:pt>
                <c:pt idx="611">
                  <c:v>36861</c:v>
                </c:pt>
                <c:pt idx="612">
                  <c:v>36892</c:v>
                </c:pt>
                <c:pt idx="613">
                  <c:v>36923</c:v>
                </c:pt>
                <c:pt idx="614">
                  <c:v>36951</c:v>
                </c:pt>
                <c:pt idx="615">
                  <c:v>36982</c:v>
                </c:pt>
                <c:pt idx="616">
                  <c:v>37012</c:v>
                </c:pt>
                <c:pt idx="617">
                  <c:v>37043</c:v>
                </c:pt>
                <c:pt idx="618">
                  <c:v>37073</c:v>
                </c:pt>
                <c:pt idx="619">
                  <c:v>37104</c:v>
                </c:pt>
                <c:pt idx="620">
                  <c:v>37135</c:v>
                </c:pt>
                <c:pt idx="621">
                  <c:v>37165</c:v>
                </c:pt>
                <c:pt idx="622">
                  <c:v>37196</c:v>
                </c:pt>
                <c:pt idx="623">
                  <c:v>37226</c:v>
                </c:pt>
                <c:pt idx="624">
                  <c:v>37257</c:v>
                </c:pt>
                <c:pt idx="625">
                  <c:v>37288</c:v>
                </c:pt>
                <c:pt idx="626">
                  <c:v>37316</c:v>
                </c:pt>
                <c:pt idx="627">
                  <c:v>37347</c:v>
                </c:pt>
                <c:pt idx="628">
                  <c:v>37377</c:v>
                </c:pt>
                <c:pt idx="629">
                  <c:v>37408</c:v>
                </c:pt>
                <c:pt idx="630">
                  <c:v>37438</c:v>
                </c:pt>
                <c:pt idx="631">
                  <c:v>37469</c:v>
                </c:pt>
                <c:pt idx="632">
                  <c:v>37500</c:v>
                </c:pt>
                <c:pt idx="633">
                  <c:v>37530</c:v>
                </c:pt>
                <c:pt idx="634">
                  <c:v>37561</c:v>
                </c:pt>
                <c:pt idx="635">
                  <c:v>37591</c:v>
                </c:pt>
                <c:pt idx="636">
                  <c:v>37622</c:v>
                </c:pt>
                <c:pt idx="637">
                  <c:v>37653</c:v>
                </c:pt>
                <c:pt idx="638">
                  <c:v>37681</c:v>
                </c:pt>
                <c:pt idx="639">
                  <c:v>37712</c:v>
                </c:pt>
                <c:pt idx="640">
                  <c:v>37742</c:v>
                </c:pt>
                <c:pt idx="641">
                  <c:v>37773</c:v>
                </c:pt>
                <c:pt idx="642">
                  <c:v>37803</c:v>
                </c:pt>
                <c:pt idx="643">
                  <c:v>37834</c:v>
                </c:pt>
                <c:pt idx="644">
                  <c:v>37865</c:v>
                </c:pt>
                <c:pt idx="645">
                  <c:v>37895</c:v>
                </c:pt>
                <c:pt idx="646">
                  <c:v>37926</c:v>
                </c:pt>
                <c:pt idx="647">
                  <c:v>37956</c:v>
                </c:pt>
                <c:pt idx="648">
                  <c:v>37987</c:v>
                </c:pt>
                <c:pt idx="649">
                  <c:v>38018</c:v>
                </c:pt>
                <c:pt idx="650">
                  <c:v>38047</c:v>
                </c:pt>
                <c:pt idx="651">
                  <c:v>38078</c:v>
                </c:pt>
                <c:pt idx="652">
                  <c:v>38108</c:v>
                </c:pt>
                <c:pt idx="653">
                  <c:v>38139</c:v>
                </c:pt>
                <c:pt idx="654">
                  <c:v>38169</c:v>
                </c:pt>
                <c:pt idx="655">
                  <c:v>38200</c:v>
                </c:pt>
                <c:pt idx="656">
                  <c:v>38231</c:v>
                </c:pt>
                <c:pt idx="657">
                  <c:v>38261</c:v>
                </c:pt>
                <c:pt idx="658">
                  <c:v>38292</c:v>
                </c:pt>
                <c:pt idx="659">
                  <c:v>38322</c:v>
                </c:pt>
                <c:pt idx="660">
                  <c:v>38353</c:v>
                </c:pt>
                <c:pt idx="661">
                  <c:v>38384</c:v>
                </c:pt>
                <c:pt idx="662">
                  <c:v>38412</c:v>
                </c:pt>
                <c:pt idx="663">
                  <c:v>38443</c:v>
                </c:pt>
                <c:pt idx="664">
                  <c:v>38473</c:v>
                </c:pt>
                <c:pt idx="665">
                  <c:v>38504</c:v>
                </c:pt>
                <c:pt idx="666">
                  <c:v>38534</c:v>
                </c:pt>
                <c:pt idx="667">
                  <c:v>38565</c:v>
                </c:pt>
                <c:pt idx="668">
                  <c:v>38596</c:v>
                </c:pt>
                <c:pt idx="669">
                  <c:v>38626</c:v>
                </c:pt>
                <c:pt idx="670">
                  <c:v>38657</c:v>
                </c:pt>
                <c:pt idx="671">
                  <c:v>38687</c:v>
                </c:pt>
                <c:pt idx="672">
                  <c:v>38718</c:v>
                </c:pt>
                <c:pt idx="673">
                  <c:v>38749</c:v>
                </c:pt>
                <c:pt idx="674">
                  <c:v>38777</c:v>
                </c:pt>
                <c:pt idx="675">
                  <c:v>38808</c:v>
                </c:pt>
                <c:pt idx="676">
                  <c:v>38838</c:v>
                </c:pt>
                <c:pt idx="677">
                  <c:v>38869</c:v>
                </c:pt>
                <c:pt idx="678">
                  <c:v>38899</c:v>
                </c:pt>
                <c:pt idx="679">
                  <c:v>38930</c:v>
                </c:pt>
                <c:pt idx="680">
                  <c:v>38961</c:v>
                </c:pt>
                <c:pt idx="681">
                  <c:v>38991</c:v>
                </c:pt>
                <c:pt idx="682">
                  <c:v>39022</c:v>
                </c:pt>
                <c:pt idx="683">
                  <c:v>39052</c:v>
                </c:pt>
                <c:pt idx="684">
                  <c:v>39083</c:v>
                </c:pt>
                <c:pt idx="685">
                  <c:v>39114</c:v>
                </c:pt>
                <c:pt idx="686">
                  <c:v>39142</c:v>
                </c:pt>
                <c:pt idx="687">
                  <c:v>39173</c:v>
                </c:pt>
                <c:pt idx="688">
                  <c:v>39203</c:v>
                </c:pt>
                <c:pt idx="689">
                  <c:v>39234</c:v>
                </c:pt>
                <c:pt idx="690">
                  <c:v>39264</c:v>
                </c:pt>
                <c:pt idx="691">
                  <c:v>39295</c:v>
                </c:pt>
                <c:pt idx="692">
                  <c:v>39326</c:v>
                </c:pt>
                <c:pt idx="693">
                  <c:v>39356</c:v>
                </c:pt>
                <c:pt idx="694">
                  <c:v>39387</c:v>
                </c:pt>
                <c:pt idx="695">
                  <c:v>39417</c:v>
                </c:pt>
                <c:pt idx="696">
                  <c:v>39448</c:v>
                </c:pt>
                <c:pt idx="697">
                  <c:v>39479</c:v>
                </c:pt>
                <c:pt idx="698">
                  <c:v>39508</c:v>
                </c:pt>
                <c:pt idx="699">
                  <c:v>39539</c:v>
                </c:pt>
                <c:pt idx="700">
                  <c:v>39569</c:v>
                </c:pt>
                <c:pt idx="701">
                  <c:v>39600</c:v>
                </c:pt>
                <c:pt idx="702">
                  <c:v>39630</c:v>
                </c:pt>
                <c:pt idx="703">
                  <c:v>39661</c:v>
                </c:pt>
                <c:pt idx="704">
                  <c:v>39692</c:v>
                </c:pt>
                <c:pt idx="705">
                  <c:v>39722</c:v>
                </c:pt>
                <c:pt idx="706">
                  <c:v>39753</c:v>
                </c:pt>
                <c:pt idx="707">
                  <c:v>39783</c:v>
                </c:pt>
                <c:pt idx="708">
                  <c:v>39814</c:v>
                </c:pt>
                <c:pt idx="709">
                  <c:v>39845</c:v>
                </c:pt>
                <c:pt idx="710">
                  <c:v>39873</c:v>
                </c:pt>
                <c:pt idx="711">
                  <c:v>39904</c:v>
                </c:pt>
                <c:pt idx="712">
                  <c:v>39934</c:v>
                </c:pt>
                <c:pt idx="713">
                  <c:v>39965</c:v>
                </c:pt>
                <c:pt idx="714">
                  <c:v>39995</c:v>
                </c:pt>
                <c:pt idx="715">
                  <c:v>40026</c:v>
                </c:pt>
                <c:pt idx="716">
                  <c:v>40057</c:v>
                </c:pt>
                <c:pt idx="717">
                  <c:v>40087</c:v>
                </c:pt>
                <c:pt idx="718">
                  <c:v>40118</c:v>
                </c:pt>
                <c:pt idx="719">
                  <c:v>40148</c:v>
                </c:pt>
                <c:pt idx="720">
                  <c:v>40179</c:v>
                </c:pt>
                <c:pt idx="721">
                  <c:v>40210</c:v>
                </c:pt>
                <c:pt idx="722">
                  <c:v>40238</c:v>
                </c:pt>
                <c:pt idx="723">
                  <c:v>40269</c:v>
                </c:pt>
                <c:pt idx="724">
                  <c:v>40299</c:v>
                </c:pt>
                <c:pt idx="725">
                  <c:v>40330</c:v>
                </c:pt>
                <c:pt idx="726">
                  <c:v>40360</c:v>
                </c:pt>
                <c:pt idx="727">
                  <c:v>40391</c:v>
                </c:pt>
                <c:pt idx="728">
                  <c:v>40422</c:v>
                </c:pt>
                <c:pt idx="729">
                  <c:v>40452</c:v>
                </c:pt>
                <c:pt idx="730">
                  <c:v>40483</c:v>
                </c:pt>
                <c:pt idx="731">
                  <c:v>40513</c:v>
                </c:pt>
                <c:pt idx="732">
                  <c:v>40544</c:v>
                </c:pt>
                <c:pt idx="733">
                  <c:v>40575</c:v>
                </c:pt>
                <c:pt idx="734">
                  <c:v>40603</c:v>
                </c:pt>
                <c:pt idx="735">
                  <c:v>40634</c:v>
                </c:pt>
                <c:pt idx="736">
                  <c:v>40664</c:v>
                </c:pt>
                <c:pt idx="737">
                  <c:v>40695</c:v>
                </c:pt>
                <c:pt idx="738">
                  <c:v>40725</c:v>
                </c:pt>
                <c:pt idx="739">
                  <c:v>40756</c:v>
                </c:pt>
                <c:pt idx="740">
                  <c:v>40787</c:v>
                </c:pt>
                <c:pt idx="741">
                  <c:v>40817</c:v>
                </c:pt>
                <c:pt idx="742">
                  <c:v>40848</c:v>
                </c:pt>
                <c:pt idx="743">
                  <c:v>40878</c:v>
                </c:pt>
                <c:pt idx="744">
                  <c:v>40909</c:v>
                </c:pt>
                <c:pt idx="745">
                  <c:v>40940</c:v>
                </c:pt>
                <c:pt idx="746">
                  <c:v>40969</c:v>
                </c:pt>
                <c:pt idx="747">
                  <c:v>41000</c:v>
                </c:pt>
                <c:pt idx="748">
                  <c:v>41030</c:v>
                </c:pt>
                <c:pt idx="749">
                  <c:v>41061</c:v>
                </c:pt>
                <c:pt idx="750">
                  <c:v>41091</c:v>
                </c:pt>
                <c:pt idx="751">
                  <c:v>41122</c:v>
                </c:pt>
                <c:pt idx="752">
                  <c:v>41153</c:v>
                </c:pt>
                <c:pt idx="753">
                  <c:v>41183</c:v>
                </c:pt>
                <c:pt idx="754">
                  <c:v>41214</c:v>
                </c:pt>
                <c:pt idx="755">
                  <c:v>41244</c:v>
                </c:pt>
                <c:pt idx="756">
                  <c:v>41275</c:v>
                </c:pt>
                <c:pt idx="757">
                  <c:v>41306</c:v>
                </c:pt>
                <c:pt idx="758">
                  <c:v>41334</c:v>
                </c:pt>
                <c:pt idx="759">
                  <c:v>41365</c:v>
                </c:pt>
                <c:pt idx="760">
                  <c:v>41395</c:v>
                </c:pt>
                <c:pt idx="761">
                  <c:v>41426</c:v>
                </c:pt>
                <c:pt idx="762">
                  <c:v>41456</c:v>
                </c:pt>
                <c:pt idx="763">
                  <c:v>41487</c:v>
                </c:pt>
                <c:pt idx="764">
                  <c:v>41518</c:v>
                </c:pt>
                <c:pt idx="765">
                  <c:v>41548</c:v>
                </c:pt>
                <c:pt idx="766">
                  <c:v>41579</c:v>
                </c:pt>
                <c:pt idx="767">
                  <c:v>41609</c:v>
                </c:pt>
                <c:pt idx="768">
                  <c:v>41640</c:v>
                </c:pt>
                <c:pt idx="769">
                  <c:v>41671</c:v>
                </c:pt>
                <c:pt idx="770">
                  <c:v>41699</c:v>
                </c:pt>
                <c:pt idx="771">
                  <c:v>41730</c:v>
                </c:pt>
                <c:pt idx="772">
                  <c:v>41760</c:v>
                </c:pt>
                <c:pt idx="773">
                  <c:v>41791</c:v>
                </c:pt>
                <c:pt idx="774">
                  <c:v>41821</c:v>
                </c:pt>
                <c:pt idx="775">
                  <c:v>41852</c:v>
                </c:pt>
                <c:pt idx="776">
                  <c:v>41883</c:v>
                </c:pt>
                <c:pt idx="777">
                  <c:v>41913</c:v>
                </c:pt>
                <c:pt idx="778">
                  <c:v>41944</c:v>
                </c:pt>
                <c:pt idx="779">
                  <c:v>41974</c:v>
                </c:pt>
                <c:pt idx="780">
                  <c:v>42005</c:v>
                </c:pt>
                <c:pt idx="781">
                  <c:v>42036</c:v>
                </c:pt>
                <c:pt idx="782">
                  <c:v>42064</c:v>
                </c:pt>
                <c:pt idx="783">
                  <c:v>42095</c:v>
                </c:pt>
                <c:pt idx="784">
                  <c:v>42125</c:v>
                </c:pt>
                <c:pt idx="785">
                  <c:v>42156</c:v>
                </c:pt>
                <c:pt idx="786">
                  <c:v>42186</c:v>
                </c:pt>
                <c:pt idx="787">
                  <c:v>42217</c:v>
                </c:pt>
                <c:pt idx="788">
                  <c:v>42248</c:v>
                </c:pt>
                <c:pt idx="789">
                  <c:v>42278</c:v>
                </c:pt>
                <c:pt idx="790">
                  <c:v>42309</c:v>
                </c:pt>
                <c:pt idx="791">
                  <c:v>42339</c:v>
                </c:pt>
                <c:pt idx="792">
                  <c:v>42370</c:v>
                </c:pt>
                <c:pt idx="793">
                  <c:v>42401</c:v>
                </c:pt>
                <c:pt idx="794">
                  <c:v>42430</c:v>
                </c:pt>
                <c:pt idx="795">
                  <c:v>42461</c:v>
                </c:pt>
                <c:pt idx="796">
                  <c:v>42491</c:v>
                </c:pt>
                <c:pt idx="797">
                  <c:v>42522</c:v>
                </c:pt>
                <c:pt idx="798">
                  <c:v>42552</c:v>
                </c:pt>
                <c:pt idx="799">
                  <c:v>42583</c:v>
                </c:pt>
                <c:pt idx="800">
                  <c:v>42614</c:v>
                </c:pt>
                <c:pt idx="801">
                  <c:v>42644</c:v>
                </c:pt>
                <c:pt idx="802">
                  <c:v>42675</c:v>
                </c:pt>
                <c:pt idx="803">
                  <c:v>42705</c:v>
                </c:pt>
                <c:pt idx="804">
                  <c:v>42736</c:v>
                </c:pt>
                <c:pt idx="805">
                  <c:v>42767</c:v>
                </c:pt>
                <c:pt idx="806">
                  <c:v>42795</c:v>
                </c:pt>
                <c:pt idx="807">
                  <c:v>42826</c:v>
                </c:pt>
                <c:pt idx="808">
                  <c:v>42856</c:v>
                </c:pt>
                <c:pt idx="809">
                  <c:v>42887</c:v>
                </c:pt>
                <c:pt idx="810">
                  <c:v>42917</c:v>
                </c:pt>
                <c:pt idx="811">
                  <c:v>42948</c:v>
                </c:pt>
                <c:pt idx="812">
                  <c:v>42979</c:v>
                </c:pt>
                <c:pt idx="813">
                  <c:v>43009</c:v>
                </c:pt>
                <c:pt idx="814">
                  <c:v>43040</c:v>
                </c:pt>
                <c:pt idx="815">
                  <c:v>43070</c:v>
                </c:pt>
                <c:pt idx="816">
                  <c:v>43101</c:v>
                </c:pt>
                <c:pt idx="817">
                  <c:v>43132</c:v>
                </c:pt>
                <c:pt idx="818">
                  <c:v>43160</c:v>
                </c:pt>
                <c:pt idx="819">
                  <c:v>43191</c:v>
                </c:pt>
                <c:pt idx="820">
                  <c:v>43221</c:v>
                </c:pt>
                <c:pt idx="821">
                  <c:v>43252</c:v>
                </c:pt>
                <c:pt idx="822">
                  <c:v>43282</c:v>
                </c:pt>
                <c:pt idx="823">
                  <c:v>43313</c:v>
                </c:pt>
                <c:pt idx="824">
                  <c:v>43344</c:v>
                </c:pt>
                <c:pt idx="825">
                  <c:v>43374</c:v>
                </c:pt>
                <c:pt idx="826">
                  <c:v>43405</c:v>
                </c:pt>
                <c:pt idx="827">
                  <c:v>43435</c:v>
                </c:pt>
                <c:pt idx="828">
                  <c:v>43466</c:v>
                </c:pt>
                <c:pt idx="829">
                  <c:v>43497</c:v>
                </c:pt>
                <c:pt idx="830">
                  <c:v>43525</c:v>
                </c:pt>
                <c:pt idx="831">
                  <c:v>43556</c:v>
                </c:pt>
              </c:numCache>
            </c:numRef>
          </c:cat>
          <c:val>
            <c:numRef>
              <c:f>'PMI Analysis'!$AA$2:$AA$833</c:f>
              <c:numCache>
                <c:formatCode>General</c:formatCode>
                <c:ptCount val="832"/>
                <c:pt idx="1">
                  <c:v>59.1</c:v>
                </c:pt>
                <c:pt idx="2">
                  <c:v>60.5</c:v>
                </c:pt>
                <c:pt idx="3">
                  <c:v>62.1</c:v>
                </c:pt>
                <c:pt idx="4">
                  <c:v>68.099999999999994</c:v>
                </c:pt>
                <c:pt idx="5">
                  <c:v>74.7</c:v>
                </c:pt>
                <c:pt idx="6">
                  <c:v>76.599999999999994</c:v>
                </c:pt>
                <c:pt idx="7">
                  <c:v>77.5</c:v>
                </c:pt>
                <c:pt idx="8">
                  <c:v>75.8</c:v>
                </c:pt>
                <c:pt idx="9">
                  <c:v>68.099999999999994</c:v>
                </c:pt>
                <c:pt idx="10">
                  <c:v>59.2</c:v>
                </c:pt>
                <c:pt idx="11">
                  <c:v>63.1</c:v>
                </c:pt>
                <c:pt idx="12">
                  <c:v>67.099999999999994</c:v>
                </c:pt>
                <c:pt idx="13">
                  <c:v>67.8</c:v>
                </c:pt>
                <c:pt idx="14">
                  <c:v>69.3</c:v>
                </c:pt>
                <c:pt idx="15">
                  <c:v>65.5</c:v>
                </c:pt>
                <c:pt idx="16">
                  <c:v>53.5</c:v>
                </c:pt>
                <c:pt idx="17">
                  <c:v>50.7</c:v>
                </c:pt>
                <c:pt idx="18">
                  <c:v>45.5</c:v>
                </c:pt>
                <c:pt idx="19">
                  <c:v>42.1</c:v>
                </c:pt>
                <c:pt idx="20">
                  <c:v>43.6</c:v>
                </c:pt>
                <c:pt idx="21">
                  <c:v>48.1</c:v>
                </c:pt>
                <c:pt idx="22">
                  <c:v>49.6</c:v>
                </c:pt>
                <c:pt idx="23">
                  <c:v>47.2</c:v>
                </c:pt>
                <c:pt idx="24">
                  <c:v>46.5</c:v>
                </c:pt>
                <c:pt idx="25">
                  <c:v>44.7</c:v>
                </c:pt>
                <c:pt idx="26">
                  <c:v>41.8</c:v>
                </c:pt>
                <c:pt idx="27">
                  <c:v>40</c:v>
                </c:pt>
                <c:pt idx="28">
                  <c:v>36.700000000000003</c:v>
                </c:pt>
                <c:pt idx="29">
                  <c:v>39.5</c:v>
                </c:pt>
                <c:pt idx="30">
                  <c:v>43.3</c:v>
                </c:pt>
                <c:pt idx="31">
                  <c:v>48.3</c:v>
                </c:pt>
                <c:pt idx="32">
                  <c:v>60.4</c:v>
                </c:pt>
                <c:pt idx="33">
                  <c:v>56.1</c:v>
                </c:pt>
                <c:pt idx="34">
                  <c:v>56.2</c:v>
                </c:pt>
                <c:pt idx="35">
                  <c:v>56.8</c:v>
                </c:pt>
                <c:pt idx="36">
                  <c:v>55.8</c:v>
                </c:pt>
                <c:pt idx="37">
                  <c:v>59.4</c:v>
                </c:pt>
                <c:pt idx="38">
                  <c:v>55.4</c:v>
                </c:pt>
                <c:pt idx="39">
                  <c:v>50.5</c:v>
                </c:pt>
                <c:pt idx="40">
                  <c:v>51.1</c:v>
                </c:pt>
                <c:pt idx="41">
                  <c:v>48.9</c:v>
                </c:pt>
                <c:pt idx="42">
                  <c:v>48.5</c:v>
                </c:pt>
                <c:pt idx="43">
                  <c:v>46.3</c:v>
                </c:pt>
                <c:pt idx="44">
                  <c:v>43.5</c:v>
                </c:pt>
                <c:pt idx="45">
                  <c:v>40.200000000000003</c:v>
                </c:pt>
                <c:pt idx="46">
                  <c:v>37.4</c:v>
                </c:pt>
                <c:pt idx="47">
                  <c:v>36.9</c:v>
                </c:pt>
                <c:pt idx="48">
                  <c:v>35.6</c:v>
                </c:pt>
                <c:pt idx="49">
                  <c:v>37.4</c:v>
                </c:pt>
                <c:pt idx="50">
                  <c:v>40.700000000000003</c:v>
                </c:pt>
                <c:pt idx="51">
                  <c:v>44.7</c:v>
                </c:pt>
                <c:pt idx="52">
                  <c:v>47.7</c:v>
                </c:pt>
                <c:pt idx="53">
                  <c:v>50.1</c:v>
                </c:pt>
                <c:pt idx="54">
                  <c:v>52.1</c:v>
                </c:pt>
                <c:pt idx="55">
                  <c:v>51.7</c:v>
                </c:pt>
                <c:pt idx="56">
                  <c:v>54.4</c:v>
                </c:pt>
                <c:pt idx="57">
                  <c:v>53.5</c:v>
                </c:pt>
                <c:pt idx="58">
                  <c:v>58.2</c:v>
                </c:pt>
                <c:pt idx="59">
                  <c:v>58.8</c:v>
                </c:pt>
                <c:pt idx="60">
                  <c:v>63.8</c:v>
                </c:pt>
                <c:pt idx="61">
                  <c:v>63</c:v>
                </c:pt>
                <c:pt idx="62">
                  <c:v>67.8</c:v>
                </c:pt>
                <c:pt idx="63">
                  <c:v>67.5</c:v>
                </c:pt>
                <c:pt idx="64">
                  <c:v>68.7</c:v>
                </c:pt>
                <c:pt idx="65">
                  <c:v>69.5</c:v>
                </c:pt>
                <c:pt idx="66">
                  <c:v>63.3</c:v>
                </c:pt>
                <c:pt idx="67">
                  <c:v>66.2</c:v>
                </c:pt>
                <c:pt idx="68">
                  <c:v>64.8</c:v>
                </c:pt>
                <c:pt idx="69">
                  <c:v>62.4</c:v>
                </c:pt>
                <c:pt idx="70">
                  <c:v>63.7</c:v>
                </c:pt>
                <c:pt idx="71">
                  <c:v>62</c:v>
                </c:pt>
                <c:pt idx="72">
                  <c:v>65.599999999999994</c:v>
                </c:pt>
                <c:pt idx="73">
                  <c:v>60.2</c:v>
                </c:pt>
                <c:pt idx="74">
                  <c:v>58.2</c:v>
                </c:pt>
                <c:pt idx="75">
                  <c:v>57.2</c:v>
                </c:pt>
                <c:pt idx="76">
                  <c:v>55.9</c:v>
                </c:pt>
                <c:pt idx="77">
                  <c:v>51.2</c:v>
                </c:pt>
                <c:pt idx="78">
                  <c:v>47.7</c:v>
                </c:pt>
                <c:pt idx="79">
                  <c:v>44.2</c:v>
                </c:pt>
                <c:pt idx="80">
                  <c:v>51.5</c:v>
                </c:pt>
                <c:pt idx="81">
                  <c:v>55.5</c:v>
                </c:pt>
                <c:pt idx="82">
                  <c:v>52.7</c:v>
                </c:pt>
                <c:pt idx="83">
                  <c:v>55</c:v>
                </c:pt>
                <c:pt idx="84">
                  <c:v>52.7</c:v>
                </c:pt>
                <c:pt idx="85">
                  <c:v>53.6</c:v>
                </c:pt>
                <c:pt idx="86">
                  <c:v>51</c:v>
                </c:pt>
                <c:pt idx="87">
                  <c:v>47.5</c:v>
                </c:pt>
                <c:pt idx="88">
                  <c:v>43.1</c:v>
                </c:pt>
                <c:pt idx="89">
                  <c:v>43.4</c:v>
                </c:pt>
                <c:pt idx="90">
                  <c:v>45.9</c:v>
                </c:pt>
                <c:pt idx="91">
                  <c:v>45.7</c:v>
                </c:pt>
                <c:pt idx="92">
                  <c:v>45.3</c:v>
                </c:pt>
                <c:pt idx="93">
                  <c:v>45.8</c:v>
                </c:pt>
                <c:pt idx="94">
                  <c:v>41.1</c:v>
                </c:pt>
                <c:pt idx="95">
                  <c:v>40.4</c:v>
                </c:pt>
                <c:pt idx="96">
                  <c:v>36.799999999999997</c:v>
                </c:pt>
                <c:pt idx="97">
                  <c:v>33.4</c:v>
                </c:pt>
                <c:pt idx="98">
                  <c:v>37.200000000000003</c:v>
                </c:pt>
                <c:pt idx="99">
                  <c:v>39.799999999999997</c:v>
                </c:pt>
                <c:pt idx="100">
                  <c:v>39.1</c:v>
                </c:pt>
                <c:pt idx="101">
                  <c:v>46.6</c:v>
                </c:pt>
                <c:pt idx="102">
                  <c:v>51.4</c:v>
                </c:pt>
                <c:pt idx="103">
                  <c:v>54.7</c:v>
                </c:pt>
                <c:pt idx="104">
                  <c:v>57.3</c:v>
                </c:pt>
                <c:pt idx="105">
                  <c:v>59.8</c:v>
                </c:pt>
                <c:pt idx="106">
                  <c:v>62.3</c:v>
                </c:pt>
                <c:pt idx="107">
                  <c:v>62.7</c:v>
                </c:pt>
                <c:pt idx="108">
                  <c:v>60.5</c:v>
                </c:pt>
                <c:pt idx="109">
                  <c:v>64.400000000000006</c:v>
                </c:pt>
                <c:pt idx="110">
                  <c:v>66.900000000000006</c:v>
                </c:pt>
                <c:pt idx="111">
                  <c:v>67.099999999999994</c:v>
                </c:pt>
                <c:pt idx="112">
                  <c:v>66.900000000000006</c:v>
                </c:pt>
                <c:pt idx="113">
                  <c:v>68.2</c:v>
                </c:pt>
                <c:pt idx="114">
                  <c:v>64.400000000000006</c:v>
                </c:pt>
                <c:pt idx="115">
                  <c:v>61.5</c:v>
                </c:pt>
                <c:pt idx="116">
                  <c:v>55.1</c:v>
                </c:pt>
                <c:pt idx="117">
                  <c:v>48.3</c:v>
                </c:pt>
                <c:pt idx="118">
                  <c:v>49.7</c:v>
                </c:pt>
                <c:pt idx="119">
                  <c:v>50.6</c:v>
                </c:pt>
                <c:pt idx="120">
                  <c:v>58.2</c:v>
                </c:pt>
                <c:pt idx="121">
                  <c:v>61.5</c:v>
                </c:pt>
                <c:pt idx="122">
                  <c:v>52.3</c:v>
                </c:pt>
                <c:pt idx="123">
                  <c:v>47.8</c:v>
                </c:pt>
                <c:pt idx="124">
                  <c:v>45.3</c:v>
                </c:pt>
                <c:pt idx="125">
                  <c:v>42.6</c:v>
                </c:pt>
                <c:pt idx="126">
                  <c:v>44.4</c:v>
                </c:pt>
                <c:pt idx="127">
                  <c:v>43.7</c:v>
                </c:pt>
                <c:pt idx="128">
                  <c:v>47.6</c:v>
                </c:pt>
                <c:pt idx="129">
                  <c:v>45.4</c:v>
                </c:pt>
                <c:pt idx="130">
                  <c:v>46</c:v>
                </c:pt>
                <c:pt idx="131">
                  <c:v>44.3</c:v>
                </c:pt>
                <c:pt idx="132">
                  <c:v>44.3</c:v>
                </c:pt>
                <c:pt idx="133">
                  <c:v>43.9</c:v>
                </c:pt>
                <c:pt idx="134">
                  <c:v>43.6</c:v>
                </c:pt>
                <c:pt idx="135">
                  <c:v>49.1</c:v>
                </c:pt>
                <c:pt idx="136">
                  <c:v>57.6</c:v>
                </c:pt>
                <c:pt idx="137">
                  <c:v>58.9</c:v>
                </c:pt>
                <c:pt idx="138">
                  <c:v>58.1</c:v>
                </c:pt>
                <c:pt idx="139">
                  <c:v>58.2</c:v>
                </c:pt>
                <c:pt idx="140">
                  <c:v>60.7</c:v>
                </c:pt>
                <c:pt idx="141">
                  <c:v>63</c:v>
                </c:pt>
                <c:pt idx="142">
                  <c:v>62.2</c:v>
                </c:pt>
                <c:pt idx="143">
                  <c:v>59</c:v>
                </c:pt>
                <c:pt idx="144">
                  <c:v>64.2</c:v>
                </c:pt>
                <c:pt idx="145">
                  <c:v>60.9</c:v>
                </c:pt>
                <c:pt idx="146">
                  <c:v>61.1</c:v>
                </c:pt>
                <c:pt idx="147">
                  <c:v>60.6</c:v>
                </c:pt>
                <c:pt idx="148">
                  <c:v>55.1</c:v>
                </c:pt>
                <c:pt idx="149">
                  <c:v>52.2</c:v>
                </c:pt>
                <c:pt idx="150">
                  <c:v>50.8</c:v>
                </c:pt>
                <c:pt idx="151">
                  <c:v>51</c:v>
                </c:pt>
                <c:pt idx="152">
                  <c:v>49.5</c:v>
                </c:pt>
                <c:pt idx="153">
                  <c:v>50</c:v>
                </c:pt>
                <c:pt idx="154">
                  <c:v>51.2</c:v>
                </c:pt>
                <c:pt idx="155">
                  <c:v>53.8</c:v>
                </c:pt>
                <c:pt idx="156">
                  <c:v>57.2</c:v>
                </c:pt>
                <c:pt idx="157">
                  <c:v>55.2</c:v>
                </c:pt>
                <c:pt idx="158">
                  <c:v>55.1</c:v>
                </c:pt>
                <c:pt idx="159">
                  <c:v>54.7</c:v>
                </c:pt>
                <c:pt idx="160">
                  <c:v>57.6</c:v>
                </c:pt>
                <c:pt idx="161">
                  <c:v>59.8</c:v>
                </c:pt>
                <c:pt idx="162">
                  <c:v>58.2</c:v>
                </c:pt>
                <c:pt idx="163">
                  <c:v>55.5</c:v>
                </c:pt>
                <c:pt idx="164">
                  <c:v>55.1</c:v>
                </c:pt>
                <c:pt idx="165">
                  <c:v>56.9</c:v>
                </c:pt>
                <c:pt idx="166">
                  <c:v>57.7</c:v>
                </c:pt>
                <c:pt idx="167">
                  <c:v>57.5</c:v>
                </c:pt>
                <c:pt idx="168">
                  <c:v>54</c:v>
                </c:pt>
                <c:pt idx="169">
                  <c:v>57.1</c:v>
                </c:pt>
                <c:pt idx="170">
                  <c:v>57.9</c:v>
                </c:pt>
                <c:pt idx="171">
                  <c:v>60.2</c:v>
                </c:pt>
                <c:pt idx="172">
                  <c:v>59.2</c:v>
                </c:pt>
                <c:pt idx="173">
                  <c:v>58.7</c:v>
                </c:pt>
                <c:pt idx="174">
                  <c:v>60.1</c:v>
                </c:pt>
                <c:pt idx="175">
                  <c:v>62.9</c:v>
                </c:pt>
                <c:pt idx="176">
                  <c:v>63.3</c:v>
                </c:pt>
                <c:pt idx="177">
                  <c:v>63.3</c:v>
                </c:pt>
                <c:pt idx="178">
                  <c:v>60.7</c:v>
                </c:pt>
                <c:pt idx="179">
                  <c:v>61.8</c:v>
                </c:pt>
                <c:pt idx="180">
                  <c:v>62.4</c:v>
                </c:pt>
                <c:pt idx="181">
                  <c:v>61</c:v>
                </c:pt>
                <c:pt idx="182">
                  <c:v>62.1</c:v>
                </c:pt>
                <c:pt idx="183">
                  <c:v>64.900000000000006</c:v>
                </c:pt>
                <c:pt idx="184">
                  <c:v>62</c:v>
                </c:pt>
                <c:pt idx="185">
                  <c:v>61.3</c:v>
                </c:pt>
                <c:pt idx="186">
                  <c:v>58.7</c:v>
                </c:pt>
                <c:pt idx="187">
                  <c:v>58.1</c:v>
                </c:pt>
                <c:pt idx="188">
                  <c:v>58.1</c:v>
                </c:pt>
                <c:pt idx="189">
                  <c:v>61</c:v>
                </c:pt>
                <c:pt idx="190">
                  <c:v>58.6</c:v>
                </c:pt>
                <c:pt idx="191">
                  <c:v>59.4</c:v>
                </c:pt>
                <c:pt idx="192">
                  <c:v>62.8</c:v>
                </c:pt>
                <c:pt idx="193">
                  <c:v>65.8</c:v>
                </c:pt>
                <c:pt idx="194">
                  <c:v>65.5</c:v>
                </c:pt>
                <c:pt idx="195">
                  <c:v>65.7</c:v>
                </c:pt>
                <c:pt idx="196">
                  <c:v>64.2</c:v>
                </c:pt>
                <c:pt idx="197">
                  <c:v>57.7</c:v>
                </c:pt>
                <c:pt idx="198">
                  <c:v>59</c:v>
                </c:pt>
                <c:pt idx="199">
                  <c:v>60.3</c:v>
                </c:pt>
                <c:pt idx="200">
                  <c:v>58.5</c:v>
                </c:pt>
                <c:pt idx="201">
                  <c:v>58.7</c:v>
                </c:pt>
                <c:pt idx="202">
                  <c:v>57.2</c:v>
                </c:pt>
                <c:pt idx="203">
                  <c:v>53.7</c:v>
                </c:pt>
                <c:pt idx="204">
                  <c:v>52.4</c:v>
                </c:pt>
                <c:pt idx="205">
                  <c:v>49.1</c:v>
                </c:pt>
                <c:pt idx="206">
                  <c:v>47.6</c:v>
                </c:pt>
                <c:pt idx="207">
                  <c:v>45.3</c:v>
                </c:pt>
                <c:pt idx="208">
                  <c:v>42.8</c:v>
                </c:pt>
                <c:pt idx="209">
                  <c:v>44.5</c:v>
                </c:pt>
                <c:pt idx="210">
                  <c:v>46.8</c:v>
                </c:pt>
                <c:pt idx="211">
                  <c:v>49.5</c:v>
                </c:pt>
                <c:pt idx="212">
                  <c:v>52.2</c:v>
                </c:pt>
                <c:pt idx="213">
                  <c:v>54.9</c:v>
                </c:pt>
                <c:pt idx="214">
                  <c:v>54.1</c:v>
                </c:pt>
                <c:pt idx="215">
                  <c:v>54.2</c:v>
                </c:pt>
                <c:pt idx="216">
                  <c:v>55.6</c:v>
                </c:pt>
                <c:pt idx="217">
                  <c:v>56.6</c:v>
                </c:pt>
                <c:pt idx="218">
                  <c:v>55</c:v>
                </c:pt>
                <c:pt idx="219">
                  <c:v>53.8</c:v>
                </c:pt>
                <c:pt idx="220">
                  <c:v>58</c:v>
                </c:pt>
                <c:pt idx="221">
                  <c:v>55.3</c:v>
                </c:pt>
                <c:pt idx="222">
                  <c:v>53.5</c:v>
                </c:pt>
                <c:pt idx="223">
                  <c:v>54.1</c:v>
                </c:pt>
                <c:pt idx="224">
                  <c:v>52.7</c:v>
                </c:pt>
                <c:pt idx="225">
                  <c:v>51.8</c:v>
                </c:pt>
                <c:pt idx="226">
                  <c:v>55.8</c:v>
                </c:pt>
                <c:pt idx="227">
                  <c:v>58.1</c:v>
                </c:pt>
                <c:pt idx="228">
                  <c:v>56.1</c:v>
                </c:pt>
                <c:pt idx="229">
                  <c:v>54.9</c:v>
                </c:pt>
                <c:pt idx="230">
                  <c:v>57</c:v>
                </c:pt>
                <c:pt idx="231">
                  <c:v>57.1</c:v>
                </c:pt>
                <c:pt idx="232">
                  <c:v>55.2</c:v>
                </c:pt>
                <c:pt idx="233">
                  <c:v>56.7</c:v>
                </c:pt>
                <c:pt idx="234">
                  <c:v>55.5</c:v>
                </c:pt>
                <c:pt idx="235">
                  <c:v>53.1</c:v>
                </c:pt>
                <c:pt idx="236">
                  <c:v>54.8</c:v>
                </c:pt>
                <c:pt idx="237">
                  <c:v>54.1</c:v>
                </c:pt>
                <c:pt idx="238">
                  <c:v>54.6</c:v>
                </c:pt>
                <c:pt idx="239">
                  <c:v>53.2</c:v>
                </c:pt>
                <c:pt idx="240">
                  <c:v>52</c:v>
                </c:pt>
                <c:pt idx="241">
                  <c:v>48.7</c:v>
                </c:pt>
                <c:pt idx="242">
                  <c:v>47.4</c:v>
                </c:pt>
                <c:pt idx="243">
                  <c:v>46.9</c:v>
                </c:pt>
                <c:pt idx="244">
                  <c:v>45</c:v>
                </c:pt>
                <c:pt idx="245">
                  <c:v>47.2</c:v>
                </c:pt>
                <c:pt idx="246">
                  <c:v>51.1</c:v>
                </c:pt>
                <c:pt idx="247">
                  <c:v>49.5</c:v>
                </c:pt>
                <c:pt idx="248">
                  <c:v>47.3</c:v>
                </c:pt>
                <c:pt idx="249">
                  <c:v>44.1</c:v>
                </c:pt>
                <c:pt idx="250">
                  <c:v>42.4</c:v>
                </c:pt>
                <c:pt idx="251">
                  <c:v>39.700000000000003</c:v>
                </c:pt>
                <c:pt idx="252">
                  <c:v>45.4</c:v>
                </c:pt>
                <c:pt idx="253">
                  <c:v>47.9</c:v>
                </c:pt>
                <c:pt idx="254">
                  <c:v>54.8</c:v>
                </c:pt>
                <c:pt idx="255">
                  <c:v>51.2</c:v>
                </c:pt>
                <c:pt idx="256">
                  <c:v>54.5</c:v>
                </c:pt>
                <c:pt idx="257">
                  <c:v>54.2</c:v>
                </c:pt>
                <c:pt idx="258">
                  <c:v>53.8</c:v>
                </c:pt>
                <c:pt idx="259">
                  <c:v>54.4</c:v>
                </c:pt>
                <c:pt idx="260">
                  <c:v>53.6</c:v>
                </c:pt>
                <c:pt idx="261">
                  <c:v>55.1</c:v>
                </c:pt>
                <c:pt idx="262">
                  <c:v>55</c:v>
                </c:pt>
                <c:pt idx="263">
                  <c:v>52.3</c:v>
                </c:pt>
                <c:pt idx="264">
                  <c:v>57.6</c:v>
                </c:pt>
                <c:pt idx="265">
                  <c:v>59.6</c:v>
                </c:pt>
                <c:pt idx="266">
                  <c:v>60.6</c:v>
                </c:pt>
                <c:pt idx="267">
                  <c:v>59.8</c:v>
                </c:pt>
                <c:pt idx="268">
                  <c:v>59.3</c:v>
                </c:pt>
                <c:pt idx="269">
                  <c:v>61.4</c:v>
                </c:pt>
                <c:pt idx="270">
                  <c:v>58.6</c:v>
                </c:pt>
                <c:pt idx="271">
                  <c:v>60.1</c:v>
                </c:pt>
                <c:pt idx="272">
                  <c:v>61.7</c:v>
                </c:pt>
                <c:pt idx="273">
                  <c:v>65.099999999999994</c:v>
                </c:pt>
                <c:pt idx="274">
                  <c:v>67</c:v>
                </c:pt>
                <c:pt idx="275">
                  <c:v>69.900000000000006</c:v>
                </c:pt>
                <c:pt idx="276">
                  <c:v>70.5</c:v>
                </c:pt>
                <c:pt idx="277">
                  <c:v>72.099999999999994</c:v>
                </c:pt>
                <c:pt idx="278">
                  <c:v>69.599999999999994</c:v>
                </c:pt>
                <c:pt idx="279">
                  <c:v>69.599999999999994</c:v>
                </c:pt>
                <c:pt idx="280">
                  <c:v>67.7</c:v>
                </c:pt>
                <c:pt idx="281">
                  <c:v>64.8</c:v>
                </c:pt>
                <c:pt idx="282">
                  <c:v>65</c:v>
                </c:pt>
                <c:pt idx="283">
                  <c:v>57.8</c:v>
                </c:pt>
                <c:pt idx="284">
                  <c:v>62.7</c:v>
                </c:pt>
                <c:pt idx="285">
                  <c:v>63.5</c:v>
                </c:pt>
                <c:pt idx="286">
                  <c:v>66.2</c:v>
                </c:pt>
                <c:pt idx="287">
                  <c:v>68.099999999999994</c:v>
                </c:pt>
                <c:pt idx="288">
                  <c:v>63.6</c:v>
                </c:pt>
                <c:pt idx="289">
                  <c:v>62.1</c:v>
                </c:pt>
                <c:pt idx="290">
                  <c:v>58.6</c:v>
                </c:pt>
                <c:pt idx="291">
                  <c:v>61.8</c:v>
                </c:pt>
                <c:pt idx="292">
                  <c:v>59.9</c:v>
                </c:pt>
                <c:pt idx="293">
                  <c:v>55.7</c:v>
                </c:pt>
                <c:pt idx="294">
                  <c:v>54.7</c:v>
                </c:pt>
                <c:pt idx="295">
                  <c:v>54.8</c:v>
                </c:pt>
                <c:pt idx="296">
                  <c:v>52.9</c:v>
                </c:pt>
                <c:pt idx="297">
                  <c:v>46.2</c:v>
                </c:pt>
                <c:pt idx="298">
                  <c:v>42.7</c:v>
                </c:pt>
                <c:pt idx="299">
                  <c:v>37.9</c:v>
                </c:pt>
                <c:pt idx="300">
                  <c:v>30.9</c:v>
                </c:pt>
                <c:pt idx="301">
                  <c:v>30.7</c:v>
                </c:pt>
                <c:pt idx="302">
                  <c:v>34.4</c:v>
                </c:pt>
                <c:pt idx="303">
                  <c:v>31.6</c:v>
                </c:pt>
                <c:pt idx="304">
                  <c:v>37.5</c:v>
                </c:pt>
                <c:pt idx="305">
                  <c:v>41.2</c:v>
                </c:pt>
                <c:pt idx="306">
                  <c:v>45.1</c:v>
                </c:pt>
                <c:pt idx="307">
                  <c:v>47.2</c:v>
                </c:pt>
                <c:pt idx="308">
                  <c:v>51.4</c:v>
                </c:pt>
                <c:pt idx="309">
                  <c:v>54.4</c:v>
                </c:pt>
                <c:pt idx="310">
                  <c:v>55.5</c:v>
                </c:pt>
                <c:pt idx="311">
                  <c:v>54.5</c:v>
                </c:pt>
                <c:pt idx="312">
                  <c:v>54.9</c:v>
                </c:pt>
                <c:pt idx="313">
                  <c:v>58.8</c:v>
                </c:pt>
                <c:pt idx="314">
                  <c:v>61.5</c:v>
                </c:pt>
                <c:pt idx="315">
                  <c:v>58.4</c:v>
                </c:pt>
                <c:pt idx="316">
                  <c:v>60.6</c:v>
                </c:pt>
                <c:pt idx="317">
                  <c:v>58.8</c:v>
                </c:pt>
                <c:pt idx="318">
                  <c:v>58.2</c:v>
                </c:pt>
                <c:pt idx="319">
                  <c:v>55.9</c:v>
                </c:pt>
                <c:pt idx="320">
                  <c:v>54.5</c:v>
                </c:pt>
                <c:pt idx="321">
                  <c:v>53.6</c:v>
                </c:pt>
                <c:pt idx="322">
                  <c:v>53.5</c:v>
                </c:pt>
                <c:pt idx="323">
                  <c:v>51.7</c:v>
                </c:pt>
                <c:pt idx="324">
                  <c:v>56.6</c:v>
                </c:pt>
                <c:pt idx="325">
                  <c:v>54.8</c:v>
                </c:pt>
                <c:pt idx="326">
                  <c:v>55</c:v>
                </c:pt>
                <c:pt idx="327">
                  <c:v>58.4</c:v>
                </c:pt>
                <c:pt idx="328">
                  <c:v>56.9</c:v>
                </c:pt>
                <c:pt idx="329">
                  <c:v>59.7</c:v>
                </c:pt>
                <c:pt idx="330">
                  <c:v>56.8</c:v>
                </c:pt>
                <c:pt idx="331">
                  <c:v>57.7</c:v>
                </c:pt>
                <c:pt idx="332">
                  <c:v>54.9</c:v>
                </c:pt>
                <c:pt idx="333">
                  <c:v>53.9</c:v>
                </c:pt>
                <c:pt idx="334">
                  <c:v>55.4</c:v>
                </c:pt>
                <c:pt idx="335">
                  <c:v>56.1</c:v>
                </c:pt>
                <c:pt idx="336">
                  <c:v>59.8</c:v>
                </c:pt>
                <c:pt idx="337">
                  <c:v>57.4</c:v>
                </c:pt>
                <c:pt idx="338">
                  <c:v>55.9</c:v>
                </c:pt>
                <c:pt idx="339">
                  <c:v>55</c:v>
                </c:pt>
                <c:pt idx="340">
                  <c:v>57.7</c:v>
                </c:pt>
                <c:pt idx="341">
                  <c:v>60.2</c:v>
                </c:pt>
                <c:pt idx="342">
                  <c:v>60.5</c:v>
                </c:pt>
                <c:pt idx="343">
                  <c:v>62.2</c:v>
                </c:pt>
                <c:pt idx="344">
                  <c:v>60.3</c:v>
                </c:pt>
                <c:pt idx="345">
                  <c:v>60.5</c:v>
                </c:pt>
                <c:pt idx="346">
                  <c:v>60.1</c:v>
                </c:pt>
                <c:pt idx="347">
                  <c:v>61.3</c:v>
                </c:pt>
                <c:pt idx="348">
                  <c:v>59.4</c:v>
                </c:pt>
                <c:pt idx="349">
                  <c:v>58.5</c:v>
                </c:pt>
                <c:pt idx="350">
                  <c:v>58.2</c:v>
                </c:pt>
                <c:pt idx="351">
                  <c:v>57.7</c:v>
                </c:pt>
                <c:pt idx="352">
                  <c:v>56.2</c:v>
                </c:pt>
                <c:pt idx="353">
                  <c:v>54.4</c:v>
                </c:pt>
                <c:pt idx="354">
                  <c:v>52.7</c:v>
                </c:pt>
                <c:pt idx="355">
                  <c:v>51.3</c:v>
                </c:pt>
                <c:pt idx="356">
                  <c:v>49.5</c:v>
                </c:pt>
                <c:pt idx="357">
                  <c:v>49.6</c:v>
                </c:pt>
                <c:pt idx="358">
                  <c:v>49</c:v>
                </c:pt>
                <c:pt idx="359">
                  <c:v>48</c:v>
                </c:pt>
                <c:pt idx="360">
                  <c:v>44.8</c:v>
                </c:pt>
                <c:pt idx="361">
                  <c:v>46.2</c:v>
                </c:pt>
                <c:pt idx="362">
                  <c:v>50.2</c:v>
                </c:pt>
                <c:pt idx="363">
                  <c:v>43.6</c:v>
                </c:pt>
                <c:pt idx="364">
                  <c:v>37.4</c:v>
                </c:pt>
                <c:pt idx="365">
                  <c:v>29.4</c:v>
                </c:pt>
                <c:pt idx="366">
                  <c:v>30.3</c:v>
                </c:pt>
                <c:pt idx="367">
                  <c:v>35</c:v>
                </c:pt>
                <c:pt idx="368">
                  <c:v>45.5</c:v>
                </c:pt>
                <c:pt idx="369">
                  <c:v>50.1</c:v>
                </c:pt>
                <c:pt idx="370">
                  <c:v>55.5</c:v>
                </c:pt>
                <c:pt idx="371">
                  <c:v>58.2</c:v>
                </c:pt>
                <c:pt idx="372">
                  <c:v>53</c:v>
                </c:pt>
                <c:pt idx="373">
                  <c:v>49.2</c:v>
                </c:pt>
                <c:pt idx="374">
                  <c:v>48.8</c:v>
                </c:pt>
                <c:pt idx="375">
                  <c:v>49.6</c:v>
                </c:pt>
                <c:pt idx="376">
                  <c:v>51.6</c:v>
                </c:pt>
                <c:pt idx="377">
                  <c:v>53.5</c:v>
                </c:pt>
                <c:pt idx="378">
                  <c:v>50.7</c:v>
                </c:pt>
                <c:pt idx="379">
                  <c:v>46.7</c:v>
                </c:pt>
                <c:pt idx="380">
                  <c:v>48.3</c:v>
                </c:pt>
                <c:pt idx="381">
                  <c:v>42.5</c:v>
                </c:pt>
                <c:pt idx="382">
                  <c:v>40</c:v>
                </c:pt>
                <c:pt idx="383">
                  <c:v>36.1</c:v>
                </c:pt>
                <c:pt idx="384">
                  <c:v>37.799999999999997</c:v>
                </c:pt>
                <c:pt idx="385">
                  <c:v>38.200000000000003</c:v>
                </c:pt>
                <c:pt idx="386">
                  <c:v>38.299999999999997</c:v>
                </c:pt>
                <c:pt idx="387">
                  <c:v>36.799999999999997</c:v>
                </c:pt>
                <c:pt idx="388">
                  <c:v>37.799999999999997</c:v>
                </c:pt>
                <c:pt idx="389">
                  <c:v>35.5</c:v>
                </c:pt>
                <c:pt idx="390">
                  <c:v>38.299999999999997</c:v>
                </c:pt>
                <c:pt idx="391">
                  <c:v>38.4</c:v>
                </c:pt>
                <c:pt idx="392">
                  <c:v>38.299999999999997</c:v>
                </c:pt>
                <c:pt idx="393">
                  <c:v>38.799999999999997</c:v>
                </c:pt>
                <c:pt idx="394">
                  <c:v>39.4</c:v>
                </c:pt>
                <c:pt idx="395">
                  <c:v>39.200000000000003</c:v>
                </c:pt>
                <c:pt idx="396">
                  <c:v>42.8</c:v>
                </c:pt>
                <c:pt idx="397">
                  <c:v>46</c:v>
                </c:pt>
                <c:pt idx="398">
                  <c:v>54.4</c:v>
                </c:pt>
                <c:pt idx="399">
                  <c:v>53.9</c:v>
                </c:pt>
                <c:pt idx="400">
                  <c:v>54.2</c:v>
                </c:pt>
                <c:pt idx="401">
                  <c:v>56.1</c:v>
                </c:pt>
                <c:pt idx="402">
                  <c:v>57.5</c:v>
                </c:pt>
                <c:pt idx="403">
                  <c:v>63.6</c:v>
                </c:pt>
                <c:pt idx="404">
                  <c:v>63.1</c:v>
                </c:pt>
                <c:pt idx="405">
                  <c:v>62.5</c:v>
                </c:pt>
                <c:pt idx="406">
                  <c:v>64.400000000000006</c:v>
                </c:pt>
                <c:pt idx="407">
                  <c:v>66</c:v>
                </c:pt>
                <c:pt idx="408">
                  <c:v>69.900000000000006</c:v>
                </c:pt>
                <c:pt idx="409">
                  <c:v>60.5</c:v>
                </c:pt>
                <c:pt idx="410">
                  <c:v>61.3</c:v>
                </c:pt>
                <c:pt idx="411">
                  <c:v>58.9</c:v>
                </c:pt>
                <c:pt idx="412">
                  <c:v>61</c:v>
                </c:pt>
                <c:pt idx="413">
                  <c:v>58.6</c:v>
                </c:pt>
                <c:pt idx="414">
                  <c:v>58.1</c:v>
                </c:pt>
                <c:pt idx="415">
                  <c:v>56.1</c:v>
                </c:pt>
                <c:pt idx="416">
                  <c:v>53</c:v>
                </c:pt>
                <c:pt idx="417">
                  <c:v>50</c:v>
                </c:pt>
                <c:pt idx="418">
                  <c:v>50.8</c:v>
                </c:pt>
                <c:pt idx="419">
                  <c:v>50.3</c:v>
                </c:pt>
                <c:pt idx="420">
                  <c:v>50.6</c:v>
                </c:pt>
                <c:pt idx="421">
                  <c:v>50.3</c:v>
                </c:pt>
                <c:pt idx="422">
                  <c:v>49.9</c:v>
                </c:pt>
                <c:pt idx="423">
                  <c:v>47.8</c:v>
                </c:pt>
                <c:pt idx="424">
                  <c:v>48.2</c:v>
                </c:pt>
                <c:pt idx="425">
                  <c:v>47.1</c:v>
                </c:pt>
                <c:pt idx="426">
                  <c:v>47.8</c:v>
                </c:pt>
                <c:pt idx="427">
                  <c:v>47.9</c:v>
                </c:pt>
                <c:pt idx="428">
                  <c:v>47.7</c:v>
                </c:pt>
                <c:pt idx="429">
                  <c:v>49.9</c:v>
                </c:pt>
                <c:pt idx="430">
                  <c:v>50.9</c:v>
                </c:pt>
                <c:pt idx="431">
                  <c:v>52</c:v>
                </c:pt>
                <c:pt idx="432">
                  <c:v>50.7</c:v>
                </c:pt>
                <c:pt idx="433">
                  <c:v>51.2</c:v>
                </c:pt>
                <c:pt idx="434">
                  <c:v>51</c:v>
                </c:pt>
                <c:pt idx="435">
                  <c:v>51</c:v>
                </c:pt>
                <c:pt idx="436">
                  <c:v>49.7</c:v>
                </c:pt>
                <c:pt idx="437">
                  <c:v>53.4</c:v>
                </c:pt>
                <c:pt idx="438">
                  <c:v>50.5</c:v>
                </c:pt>
                <c:pt idx="439">
                  <c:v>48</c:v>
                </c:pt>
                <c:pt idx="440">
                  <c:v>52.6</c:v>
                </c:pt>
                <c:pt idx="441">
                  <c:v>52.4</c:v>
                </c:pt>
                <c:pt idx="442">
                  <c:v>51.2</c:v>
                </c:pt>
                <c:pt idx="443">
                  <c:v>51.2</c:v>
                </c:pt>
                <c:pt idx="444">
                  <c:v>50.5</c:v>
                </c:pt>
                <c:pt idx="445">
                  <c:v>54.9</c:v>
                </c:pt>
                <c:pt idx="446">
                  <c:v>52.6</c:v>
                </c:pt>
                <c:pt idx="447">
                  <c:v>55</c:v>
                </c:pt>
                <c:pt idx="448">
                  <c:v>55.5</c:v>
                </c:pt>
                <c:pt idx="449">
                  <c:v>57.2</c:v>
                </c:pt>
                <c:pt idx="450">
                  <c:v>57.4</c:v>
                </c:pt>
                <c:pt idx="451">
                  <c:v>57.5</c:v>
                </c:pt>
                <c:pt idx="452">
                  <c:v>59.3</c:v>
                </c:pt>
                <c:pt idx="453">
                  <c:v>60</c:v>
                </c:pt>
                <c:pt idx="454">
                  <c:v>60.7</c:v>
                </c:pt>
                <c:pt idx="455">
                  <c:v>58.8</c:v>
                </c:pt>
                <c:pt idx="456">
                  <c:v>61</c:v>
                </c:pt>
                <c:pt idx="457">
                  <c:v>57.5</c:v>
                </c:pt>
                <c:pt idx="458">
                  <c:v>56.2</c:v>
                </c:pt>
                <c:pt idx="459">
                  <c:v>54.6</c:v>
                </c:pt>
                <c:pt idx="460">
                  <c:v>55.8</c:v>
                </c:pt>
                <c:pt idx="461">
                  <c:v>55.5</c:v>
                </c:pt>
                <c:pt idx="462">
                  <c:v>59.3</c:v>
                </c:pt>
                <c:pt idx="463">
                  <c:v>58.2</c:v>
                </c:pt>
                <c:pt idx="464">
                  <c:v>56</c:v>
                </c:pt>
                <c:pt idx="465">
                  <c:v>54.5</c:v>
                </c:pt>
                <c:pt idx="466">
                  <c:v>55.4</c:v>
                </c:pt>
                <c:pt idx="467">
                  <c:v>55.6</c:v>
                </c:pt>
                <c:pt idx="468">
                  <c:v>56</c:v>
                </c:pt>
                <c:pt idx="469">
                  <c:v>54.7</c:v>
                </c:pt>
                <c:pt idx="470">
                  <c:v>54.1</c:v>
                </c:pt>
                <c:pt idx="471">
                  <c:v>51.5</c:v>
                </c:pt>
                <c:pt idx="472">
                  <c:v>52.2</c:v>
                </c:pt>
                <c:pt idx="473">
                  <c:v>49.3</c:v>
                </c:pt>
                <c:pt idx="474">
                  <c:v>47.3</c:v>
                </c:pt>
                <c:pt idx="475">
                  <c:v>45.9</c:v>
                </c:pt>
                <c:pt idx="476">
                  <c:v>45.1</c:v>
                </c:pt>
                <c:pt idx="477">
                  <c:v>46</c:v>
                </c:pt>
                <c:pt idx="478">
                  <c:v>46.8</c:v>
                </c:pt>
                <c:pt idx="479">
                  <c:v>46.8</c:v>
                </c:pt>
                <c:pt idx="480">
                  <c:v>47.4</c:v>
                </c:pt>
                <c:pt idx="481">
                  <c:v>47.2</c:v>
                </c:pt>
                <c:pt idx="482">
                  <c:v>49.1</c:v>
                </c:pt>
                <c:pt idx="483">
                  <c:v>49.9</c:v>
                </c:pt>
                <c:pt idx="484">
                  <c:v>50</c:v>
                </c:pt>
                <c:pt idx="485">
                  <c:v>49.5</c:v>
                </c:pt>
                <c:pt idx="486">
                  <c:v>49.2</c:v>
                </c:pt>
                <c:pt idx="487">
                  <c:v>46.6</c:v>
                </c:pt>
                <c:pt idx="488">
                  <c:v>46.1</c:v>
                </c:pt>
                <c:pt idx="489">
                  <c:v>44.5</c:v>
                </c:pt>
                <c:pt idx="490">
                  <c:v>43.2</c:v>
                </c:pt>
                <c:pt idx="491">
                  <c:v>41.3</c:v>
                </c:pt>
                <c:pt idx="492">
                  <c:v>40.799999999999997</c:v>
                </c:pt>
                <c:pt idx="493">
                  <c:v>39.200000000000003</c:v>
                </c:pt>
                <c:pt idx="494">
                  <c:v>39.4</c:v>
                </c:pt>
                <c:pt idx="495">
                  <c:v>40.700000000000003</c:v>
                </c:pt>
                <c:pt idx="496">
                  <c:v>42.8</c:v>
                </c:pt>
                <c:pt idx="497">
                  <c:v>44.5</c:v>
                </c:pt>
                <c:pt idx="498">
                  <c:v>50.3</c:v>
                </c:pt>
                <c:pt idx="499">
                  <c:v>50.6</c:v>
                </c:pt>
                <c:pt idx="500">
                  <c:v>52.9</c:v>
                </c:pt>
                <c:pt idx="501">
                  <c:v>54.9</c:v>
                </c:pt>
                <c:pt idx="502">
                  <c:v>53.1</c:v>
                </c:pt>
                <c:pt idx="503">
                  <c:v>49.5</c:v>
                </c:pt>
                <c:pt idx="504">
                  <c:v>46.8</c:v>
                </c:pt>
                <c:pt idx="505">
                  <c:v>47.3</c:v>
                </c:pt>
                <c:pt idx="506">
                  <c:v>52.7</c:v>
                </c:pt>
                <c:pt idx="507">
                  <c:v>54.6</c:v>
                </c:pt>
                <c:pt idx="508">
                  <c:v>52.6</c:v>
                </c:pt>
                <c:pt idx="509">
                  <c:v>55.7</c:v>
                </c:pt>
                <c:pt idx="510">
                  <c:v>53.6</c:v>
                </c:pt>
                <c:pt idx="511">
                  <c:v>53.9</c:v>
                </c:pt>
                <c:pt idx="512">
                  <c:v>53.4</c:v>
                </c:pt>
                <c:pt idx="513">
                  <c:v>49.7</c:v>
                </c:pt>
                <c:pt idx="514">
                  <c:v>50.3</c:v>
                </c:pt>
                <c:pt idx="515">
                  <c:v>53.6</c:v>
                </c:pt>
                <c:pt idx="516">
                  <c:v>54.2</c:v>
                </c:pt>
                <c:pt idx="517">
                  <c:v>55.8</c:v>
                </c:pt>
                <c:pt idx="518">
                  <c:v>55.2</c:v>
                </c:pt>
                <c:pt idx="519">
                  <c:v>53.5</c:v>
                </c:pt>
                <c:pt idx="520">
                  <c:v>50.2</c:v>
                </c:pt>
                <c:pt idx="521">
                  <c:v>51.2</c:v>
                </c:pt>
                <c:pt idx="522">
                  <c:v>49.6</c:v>
                </c:pt>
                <c:pt idx="523">
                  <c:v>50.2</c:v>
                </c:pt>
                <c:pt idx="524">
                  <c:v>50.7</c:v>
                </c:pt>
                <c:pt idx="525">
                  <c:v>50.8</c:v>
                </c:pt>
                <c:pt idx="526">
                  <c:v>53.4</c:v>
                </c:pt>
                <c:pt idx="527">
                  <c:v>53.8</c:v>
                </c:pt>
                <c:pt idx="528">
                  <c:v>55.6</c:v>
                </c:pt>
                <c:pt idx="529">
                  <c:v>56</c:v>
                </c:pt>
                <c:pt idx="530">
                  <c:v>56.5</c:v>
                </c:pt>
                <c:pt idx="531">
                  <c:v>56.9</c:v>
                </c:pt>
                <c:pt idx="532">
                  <c:v>57.4</c:v>
                </c:pt>
                <c:pt idx="533">
                  <c:v>58.2</c:v>
                </c:pt>
                <c:pt idx="534">
                  <c:v>58.8</c:v>
                </c:pt>
                <c:pt idx="535">
                  <c:v>58.5</c:v>
                </c:pt>
                <c:pt idx="536">
                  <c:v>58</c:v>
                </c:pt>
                <c:pt idx="537">
                  <c:v>59</c:v>
                </c:pt>
                <c:pt idx="538">
                  <c:v>59.4</c:v>
                </c:pt>
                <c:pt idx="539">
                  <c:v>59.2</c:v>
                </c:pt>
                <c:pt idx="540">
                  <c:v>56.1</c:v>
                </c:pt>
                <c:pt idx="541">
                  <c:v>57.4</c:v>
                </c:pt>
                <c:pt idx="542">
                  <c:v>55.1</c:v>
                </c:pt>
                <c:pt idx="543">
                  <c:v>52.1</c:v>
                </c:pt>
                <c:pt idx="544">
                  <c:v>51.5</c:v>
                </c:pt>
                <c:pt idx="545">
                  <c:v>46.7</c:v>
                </c:pt>
                <c:pt idx="546">
                  <c:v>45.9</c:v>
                </c:pt>
                <c:pt idx="547">
                  <c:v>50.7</c:v>
                </c:pt>
                <c:pt idx="548">
                  <c:v>47.1</c:v>
                </c:pt>
                <c:pt idx="549">
                  <c:v>48.1</c:v>
                </c:pt>
                <c:pt idx="550">
                  <c:v>46.7</c:v>
                </c:pt>
                <c:pt idx="551">
                  <c:v>45.9</c:v>
                </c:pt>
                <c:pt idx="552">
                  <c:v>46.2</c:v>
                </c:pt>
                <c:pt idx="553">
                  <c:v>45.5</c:v>
                </c:pt>
                <c:pt idx="554">
                  <c:v>45.9</c:v>
                </c:pt>
                <c:pt idx="555">
                  <c:v>46.9</c:v>
                </c:pt>
                <c:pt idx="556">
                  <c:v>49.3</c:v>
                </c:pt>
                <c:pt idx="557">
                  <c:v>49.1</c:v>
                </c:pt>
                <c:pt idx="558">
                  <c:v>53.6</c:v>
                </c:pt>
                <c:pt idx="559">
                  <c:v>49.7</c:v>
                </c:pt>
                <c:pt idx="560">
                  <c:v>51.6</c:v>
                </c:pt>
                <c:pt idx="561">
                  <c:v>51.1</c:v>
                </c:pt>
                <c:pt idx="562">
                  <c:v>50.5</c:v>
                </c:pt>
                <c:pt idx="563">
                  <c:v>53</c:v>
                </c:pt>
                <c:pt idx="564">
                  <c:v>55.2</c:v>
                </c:pt>
                <c:pt idx="565">
                  <c:v>53.8</c:v>
                </c:pt>
                <c:pt idx="566">
                  <c:v>53.1</c:v>
                </c:pt>
                <c:pt idx="567">
                  <c:v>53.8</c:v>
                </c:pt>
                <c:pt idx="568">
                  <c:v>53.7</c:v>
                </c:pt>
                <c:pt idx="569">
                  <c:v>56.1</c:v>
                </c:pt>
                <c:pt idx="570">
                  <c:v>54.9</c:v>
                </c:pt>
                <c:pt idx="571">
                  <c:v>57.7</c:v>
                </c:pt>
                <c:pt idx="572">
                  <c:v>56.3</c:v>
                </c:pt>
                <c:pt idx="573">
                  <c:v>53.9</c:v>
                </c:pt>
                <c:pt idx="574">
                  <c:v>56.4</c:v>
                </c:pt>
                <c:pt idx="575">
                  <c:v>55.7</c:v>
                </c:pt>
                <c:pt idx="576">
                  <c:v>54.5</c:v>
                </c:pt>
                <c:pt idx="577">
                  <c:v>53.8</c:v>
                </c:pt>
                <c:pt idx="578">
                  <c:v>52.9</c:v>
                </c:pt>
                <c:pt idx="579">
                  <c:v>52.9</c:v>
                </c:pt>
                <c:pt idx="580">
                  <c:v>52.2</c:v>
                </c:pt>
                <c:pt idx="581">
                  <c:v>50.9</c:v>
                </c:pt>
                <c:pt idx="582">
                  <c:v>48.9</c:v>
                </c:pt>
                <c:pt idx="583">
                  <c:v>49.2</c:v>
                </c:pt>
                <c:pt idx="584">
                  <c:v>49.3</c:v>
                </c:pt>
                <c:pt idx="585">
                  <c:v>48.7</c:v>
                </c:pt>
                <c:pt idx="586">
                  <c:v>48.7</c:v>
                </c:pt>
                <c:pt idx="587">
                  <c:v>48.2</c:v>
                </c:pt>
                <c:pt idx="588">
                  <c:v>46.8</c:v>
                </c:pt>
                <c:pt idx="589">
                  <c:v>50.6</c:v>
                </c:pt>
                <c:pt idx="590">
                  <c:v>51.7</c:v>
                </c:pt>
                <c:pt idx="591">
                  <c:v>52.4</c:v>
                </c:pt>
                <c:pt idx="592">
                  <c:v>52.3</c:v>
                </c:pt>
                <c:pt idx="593">
                  <c:v>54.3</c:v>
                </c:pt>
                <c:pt idx="594">
                  <c:v>55.8</c:v>
                </c:pt>
                <c:pt idx="595">
                  <c:v>53.6</c:v>
                </c:pt>
                <c:pt idx="596">
                  <c:v>54.8</c:v>
                </c:pt>
                <c:pt idx="597">
                  <c:v>57</c:v>
                </c:pt>
                <c:pt idx="598">
                  <c:v>57.2</c:v>
                </c:pt>
                <c:pt idx="599">
                  <c:v>58.1</c:v>
                </c:pt>
                <c:pt idx="600">
                  <c:v>57.8</c:v>
                </c:pt>
                <c:pt idx="601">
                  <c:v>56.7</c:v>
                </c:pt>
                <c:pt idx="602">
                  <c:v>55.8</c:v>
                </c:pt>
                <c:pt idx="603">
                  <c:v>54.9</c:v>
                </c:pt>
                <c:pt idx="604">
                  <c:v>54.7</c:v>
                </c:pt>
                <c:pt idx="605">
                  <c:v>53.2</c:v>
                </c:pt>
                <c:pt idx="606">
                  <c:v>51.4</c:v>
                </c:pt>
                <c:pt idx="607">
                  <c:v>52.5</c:v>
                </c:pt>
                <c:pt idx="608">
                  <c:v>49.9</c:v>
                </c:pt>
                <c:pt idx="609">
                  <c:v>49.7</c:v>
                </c:pt>
                <c:pt idx="610">
                  <c:v>48.7</c:v>
                </c:pt>
                <c:pt idx="611">
                  <c:v>48.5</c:v>
                </c:pt>
                <c:pt idx="612">
                  <c:v>43.9</c:v>
                </c:pt>
                <c:pt idx="613">
                  <c:v>42.3</c:v>
                </c:pt>
                <c:pt idx="614">
                  <c:v>42.1</c:v>
                </c:pt>
                <c:pt idx="615">
                  <c:v>43.1</c:v>
                </c:pt>
                <c:pt idx="616">
                  <c:v>42.7</c:v>
                </c:pt>
                <c:pt idx="617">
                  <c:v>41.3</c:v>
                </c:pt>
                <c:pt idx="618">
                  <c:v>43.2</c:v>
                </c:pt>
                <c:pt idx="619">
                  <c:v>43.5</c:v>
                </c:pt>
                <c:pt idx="620">
                  <c:v>46.3</c:v>
                </c:pt>
                <c:pt idx="621">
                  <c:v>46.2</c:v>
                </c:pt>
                <c:pt idx="622">
                  <c:v>40.799999999999997</c:v>
                </c:pt>
                <c:pt idx="623">
                  <c:v>44.1</c:v>
                </c:pt>
                <c:pt idx="624">
                  <c:v>45.3</c:v>
                </c:pt>
                <c:pt idx="625">
                  <c:v>47.5</c:v>
                </c:pt>
                <c:pt idx="626">
                  <c:v>50.7</c:v>
                </c:pt>
                <c:pt idx="627">
                  <c:v>52.4</c:v>
                </c:pt>
                <c:pt idx="628">
                  <c:v>52.4</c:v>
                </c:pt>
                <c:pt idx="629">
                  <c:v>53.1</c:v>
                </c:pt>
                <c:pt idx="630">
                  <c:v>53.6</c:v>
                </c:pt>
                <c:pt idx="631">
                  <c:v>50.2</c:v>
                </c:pt>
                <c:pt idx="632">
                  <c:v>50.3</c:v>
                </c:pt>
                <c:pt idx="633">
                  <c:v>50.5</c:v>
                </c:pt>
                <c:pt idx="634">
                  <c:v>49</c:v>
                </c:pt>
                <c:pt idx="635">
                  <c:v>48.5</c:v>
                </c:pt>
                <c:pt idx="636">
                  <c:v>51.6</c:v>
                </c:pt>
                <c:pt idx="637">
                  <c:v>51.3</c:v>
                </c:pt>
                <c:pt idx="638">
                  <c:v>48.8</c:v>
                </c:pt>
                <c:pt idx="639">
                  <c:v>46.3</c:v>
                </c:pt>
                <c:pt idx="640">
                  <c:v>46.1</c:v>
                </c:pt>
                <c:pt idx="641">
                  <c:v>49</c:v>
                </c:pt>
                <c:pt idx="642">
                  <c:v>49</c:v>
                </c:pt>
                <c:pt idx="643">
                  <c:v>51</c:v>
                </c:pt>
                <c:pt idx="644">
                  <c:v>53.2</c:v>
                </c:pt>
                <c:pt idx="645">
                  <c:v>52.4</c:v>
                </c:pt>
                <c:pt idx="646">
                  <c:v>55.2</c:v>
                </c:pt>
                <c:pt idx="647">
                  <c:v>58.4</c:v>
                </c:pt>
                <c:pt idx="648">
                  <c:v>60.1</c:v>
                </c:pt>
                <c:pt idx="649">
                  <c:v>60.8</c:v>
                </c:pt>
                <c:pt idx="650">
                  <c:v>59.9</c:v>
                </c:pt>
                <c:pt idx="651">
                  <c:v>60.6</c:v>
                </c:pt>
                <c:pt idx="652">
                  <c:v>60.6</c:v>
                </c:pt>
                <c:pt idx="653">
                  <c:v>61.4</c:v>
                </c:pt>
                <c:pt idx="654">
                  <c:v>60.5</c:v>
                </c:pt>
                <c:pt idx="655">
                  <c:v>59.9</c:v>
                </c:pt>
                <c:pt idx="656">
                  <c:v>58.5</c:v>
                </c:pt>
                <c:pt idx="657">
                  <c:v>57.4</c:v>
                </c:pt>
                <c:pt idx="658">
                  <c:v>56.3</c:v>
                </c:pt>
                <c:pt idx="659">
                  <c:v>56.2</c:v>
                </c:pt>
                <c:pt idx="660">
                  <c:v>57.2</c:v>
                </c:pt>
                <c:pt idx="661">
                  <c:v>56.8</c:v>
                </c:pt>
                <c:pt idx="662">
                  <c:v>55.5</c:v>
                </c:pt>
                <c:pt idx="663">
                  <c:v>55.2</c:v>
                </c:pt>
                <c:pt idx="664">
                  <c:v>52.2</c:v>
                </c:pt>
                <c:pt idx="665">
                  <c:v>50.8</c:v>
                </c:pt>
                <c:pt idx="666">
                  <c:v>52.4</c:v>
                </c:pt>
                <c:pt idx="667">
                  <c:v>52.8</c:v>
                </c:pt>
                <c:pt idx="668">
                  <c:v>52.4</c:v>
                </c:pt>
                <c:pt idx="669">
                  <c:v>56.8</c:v>
                </c:pt>
                <c:pt idx="670">
                  <c:v>57.2</c:v>
                </c:pt>
                <c:pt idx="671">
                  <c:v>56.7</c:v>
                </c:pt>
                <c:pt idx="672">
                  <c:v>55.1</c:v>
                </c:pt>
                <c:pt idx="673">
                  <c:v>55</c:v>
                </c:pt>
                <c:pt idx="674">
                  <c:v>55.8</c:v>
                </c:pt>
                <c:pt idx="675">
                  <c:v>54.3</c:v>
                </c:pt>
                <c:pt idx="676">
                  <c:v>55.2</c:v>
                </c:pt>
                <c:pt idx="677">
                  <c:v>53.7</c:v>
                </c:pt>
                <c:pt idx="678">
                  <c:v>52</c:v>
                </c:pt>
                <c:pt idx="679">
                  <c:v>53</c:v>
                </c:pt>
                <c:pt idx="680">
                  <c:v>53.7</c:v>
                </c:pt>
                <c:pt idx="681">
                  <c:v>52.2</c:v>
                </c:pt>
                <c:pt idx="682">
                  <c:v>51.4</c:v>
                </c:pt>
                <c:pt idx="683">
                  <c:v>50.3</c:v>
                </c:pt>
                <c:pt idx="684">
                  <c:v>51.4</c:v>
                </c:pt>
                <c:pt idx="685">
                  <c:v>49.5</c:v>
                </c:pt>
                <c:pt idx="686">
                  <c:v>51.9</c:v>
                </c:pt>
                <c:pt idx="687">
                  <c:v>50.7</c:v>
                </c:pt>
                <c:pt idx="688">
                  <c:v>52.6</c:v>
                </c:pt>
                <c:pt idx="689">
                  <c:v>52.5</c:v>
                </c:pt>
                <c:pt idx="690">
                  <c:v>52.6</c:v>
                </c:pt>
                <c:pt idx="691">
                  <c:v>52.4</c:v>
                </c:pt>
                <c:pt idx="692">
                  <c:v>50.9</c:v>
                </c:pt>
                <c:pt idx="693">
                  <c:v>51</c:v>
                </c:pt>
                <c:pt idx="694">
                  <c:v>51.1</c:v>
                </c:pt>
                <c:pt idx="695">
                  <c:v>50.5</c:v>
                </c:pt>
                <c:pt idx="696">
                  <c:v>49</c:v>
                </c:pt>
                <c:pt idx="697">
                  <c:v>50.3</c:v>
                </c:pt>
                <c:pt idx="698">
                  <c:v>47.6</c:v>
                </c:pt>
                <c:pt idx="699">
                  <c:v>48.3</c:v>
                </c:pt>
                <c:pt idx="700">
                  <c:v>48.8</c:v>
                </c:pt>
                <c:pt idx="701">
                  <c:v>48.8</c:v>
                </c:pt>
                <c:pt idx="702">
                  <c:v>49.8</c:v>
                </c:pt>
                <c:pt idx="703">
                  <c:v>50</c:v>
                </c:pt>
                <c:pt idx="704">
                  <c:v>49.2</c:v>
                </c:pt>
                <c:pt idx="705">
                  <c:v>44.8</c:v>
                </c:pt>
                <c:pt idx="706">
                  <c:v>38.9</c:v>
                </c:pt>
                <c:pt idx="707">
                  <c:v>36.5</c:v>
                </c:pt>
                <c:pt idx="708">
                  <c:v>33.1</c:v>
                </c:pt>
                <c:pt idx="709">
                  <c:v>34.9</c:v>
                </c:pt>
                <c:pt idx="710">
                  <c:v>35.5</c:v>
                </c:pt>
                <c:pt idx="711">
                  <c:v>36</c:v>
                </c:pt>
                <c:pt idx="712">
                  <c:v>39.5</c:v>
                </c:pt>
                <c:pt idx="713">
                  <c:v>41.7</c:v>
                </c:pt>
                <c:pt idx="714">
                  <c:v>45.8</c:v>
                </c:pt>
                <c:pt idx="715">
                  <c:v>49.9</c:v>
                </c:pt>
                <c:pt idx="716">
                  <c:v>53.5</c:v>
                </c:pt>
                <c:pt idx="717">
                  <c:v>54.4</c:v>
                </c:pt>
                <c:pt idx="718">
                  <c:v>56</c:v>
                </c:pt>
                <c:pt idx="719">
                  <c:v>54.4</c:v>
                </c:pt>
                <c:pt idx="720">
                  <c:v>55.3</c:v>
                </c:pt>
                <c:pt idx="721">
                  <c:v>57.2</c:v>
                </c:pt>
                <c:pt idx="722">
                  <c:v>55.8</c:v>
                </c:pt>
                <c:pt idx="723">
                  <c:v>58.8</c:v>
                </c:pt>
                <c:pt idx="724">
                  <c:v>58.1</c:v>
                </c:pt>
                <c:pt idx="725">
                  <c:v>58.3</c:v>
                </c:pt>
                <c:pt idx="726">
                  <c:v>56.4</c:v>
                </c:pt>
                <c:pt idx="727">
                  <c:v>56.4</c:v>
                </c:pt>
                <c:pt idx="728">
                  <c:v>58</c:v>
                </c:pt>
                <c:pt idx="729">
                  <c:v>56.3</c:v>
                </c:pt>
                <c:pt idx="730">
                  <c:v>57.7</c:v>
                </c:pt>
                <c:pt idx="731">
                  <c:v>57.6</c:v>
                </c:pt>
                <c:pt idx="732">
                  <c:v>57.5</c:v>
                </c:pt>
                <c:pt idx="733">
                  <c:v>59</c:v>
                </c:pt>
                <c:pt idx="734">
                  <c:v>59.3</c:v>
                </c:pt>
                <c:pt idx="735">
                  <c:v>59.1</c:v>
                </c:pt>
                <c:pt idx="736">
                  <c:v>58.9</c:v>
                </c:pt>
                <c:pt idx="737">
                  <c:v>53.7</c:v>
                </c:pt>
                <c:pt idx="738">
                  <c:v>56.6</c:v>
                </c:pt>
                <c:pt idx="739">
                  <c:v>52.9</c:v>
                </c:pt>
                <c:pt idx="740">
                  <c:v>53</c:v>
                </c:pt>
                <c:pt idx="741">
                  <c:v>52.8</c:v>
                </c:pt>
                <c:pt idx="742">
                  <c:v>51.8</c:v>
                </c:pt>
                <c:pt idx="743">
                  <c:v>52.1</c:v>
                </c:pt>
                <c:pt idx="744">
                  <c:v>53.1</c:v>
                </c:pt>
                <c:pt idx="745">
                  <c:v>52.8</c:v>
                </c:pt>
                <c:pt idx="746">
                  <c:v>52.4</c:v>
                </c:pt>
                <c:pt idx="747">
                  <c:v>53</c:v>
                </c:pt>
                <c:pt idx="748">
                  <c:v>53.7</c:v>
                </c:pt>
                <c:pt idx="749">
                  <c:v>53.2</c:v>
                </c:pt>
                <c:pt idx="750">
                  <c:v>51</c:v>
                </c:pt>
                <c:pt idx="751">
                  <c:v>50.6</c:v>
                </c:pt>
                <c:pt idx="752">
                  <c:v>51.1</c:v>
                </c:pt>
                <c:pt idx="753">
                  <c:v>52.2</c:v>
                </c:pt>
                <c:pt idx="754">
                  <c:v>51.2</c:v>
                </c:pt>
                <c:pt idx="755">
                  <c:v>49.5</c:v>
                </c:pt>
                <c:pt idx="756">
                  <c:v>50.4</c:v>
                </c:pt>
                <c:pt idx="757">
                  <c:v>52.3</c:v>
                </c:pt>
                <c:pt idx="758">
                  <c:v>53.1</c:v>
                </c:pt>
                <c:pt idx="759">
                  <c:v>51.5</c:v>
                </c:pt>
                <c:pt idx="760">
                  <c:v>50</c:v>
                </c:pt>
                <c:pt idx="761">
                  <c:v>50</c:v>
                </c:pt>
                <c:pt idx="762">
                  <c:v>52.5</c:v>
                </c:pt>
                <c:pt idx="763">
                  <c:v>54.9</c:v>
                </c:pt>
                <c:pt idx="764">
                  <c:v>56.3</c:v>
                </c:pt>
                <c:pt idx="765">
                  <c:v>56</c:v>
                </c:pt>
                <c:pt idx="766">
                  <c:v>56.6</c:v>
                </c:pt>
                <c:pt idx="767">
                  <c:v>57</c:v>
                </c:pt>
                <c:pt idx="768">
                  <c:v>56.5</c:v>
                </c:pt>
                <c:pt idx="769">
                  <c:v>51.3</c:v>
                </c:pt>
                <c:pt idx="770">
                  <c:v>54.3</c:v>
                </c:pt>
                <c:pt idx="771">
                  <c:v>54.4</c:v>
                </c:pt>
                <c:pt idx="772">
                  <c:v>55.3</c:v>
                </c:pt>
                <c:pt idx="773">
                  <c:v>55.6</c:v>
                </c:pt>
                <c:pt idx="774">
                  <c:v>55.7</c:v>
                </c:pt>
                <c:pt idx="775">
                  <c:v>56.4</c:v>
                </c:pt>
                <c:pt idx="776">
                  <c:v>58.1</c:v>
                </c:pt>
                <c:pt idx="777">
                  <c:v>56.1</c:v>
                </c:pt>
                <c:pt idx="778">
                  <c:v>57.9</c:v>
                </c:pt>
                <c:pt idx="779">
                  <c:v>57.6</c:v>
                </c:pt>
                <c:pt idx="780">
                  <c:v>55.1</c:v>
                </c:pt>
                <c:pt idx="781">
                  <c:v>53.5</c:v>
                </c:pt>
                <c:pt idx="782">
                  <c:v>52.9</c:v>
                </c:pt>
                <c:pt idx="783">
                  <c:v>51.5</c:v>
                </c:pt>
                <c:pt idx="784">
                  <c:v>51.5</c:v>
                </c:pt>
                <c:pt idx="785">
                  <c:v>52.8</c:v>
                </c:pt>
                <c:pt idx="786">
                  <c:v>53.5</c:v>
                </c:pt>
                <c:pt idx="787">
                  <c:v>52.7</c:v>
                </c:pt>
                <c:pt idx="788">
                  <c:v>51.1</c:v>
                </c:pt>
                <c:pt idx="789">
                  <c:v>50.2</c:v>
                </c:pt>
                <c:pt idx="790">
                  <c:v>49.4</c:v>
                </c:pt>
                <c:pt idx="791">
                  <c:v>48.4</c:v>
                </c:pt>
                <c:pt idx="792">
                  <c:v>48</c:v>
                </c:pt>
                <c:pt idx="793">
                  <c:v>48.2</c:v>
                </c:pt>
                <c:pt idx="794">
                  <c:v>49.7</c:v>
                </c:pt>
                <c:pt idx="795">
                  <c:v>51.7</c:v>
                </c:pt>
                <c:pt idx="796">
                  <c:v>50.7</c:v>
                </c:pt>
                <c:pt idx="797">
                  <c:v>51</c:v>
                </c:pt>
                <c:pt idx="798">
                  <c:v>52.8</c:v>
                </c:pt>
                <c:pt idx="799">
                  <c:v>52.3</c:v>
                </c:pt>
                <c:pt idx="800">
                  <c:v>49.4</c:v>
                </c:pt>
                <c:pt idx="801">
                  <c:v>51.7</c:v>
                </c:pt>
                <c:pt idx="802">
                  <c:v>52</c:v>
                </c:pt>
                <c:pt idx="803">
                  <c:v>53.5</c:v>
                </c:pt>
                <c:pt idx="804">
                  <c:v>54.5</c:v>
                </c:pt>
                <c:pt idx="805">
                  <c:v>56</c:v>
                </c:pt>
                <c:pt idx="806">
                  <c:v>57.6</c:v>
                </c:pt>
                <c:pt idx="807">
                  <c:v>56.6</c:v>
                </c:pt>
                <c:pt idx="808">
                  <c:v>55.3</c:v>
                </c:pt>
                <c:pt idx="809">
                  <c:v>55.5</c:v>
                </c:pt>
                <c:pt idx="810">
                  <c:v>56.7</c:v>
                </c:pt>
                <c:pt idx="811">
                  <c:v>56.5</c:v>
                </c:pt>
                <c:pt idx="812">
                  <c:v>59.3</c:v>
                </c:pt>
                <c:pt idx="813">
                  <c:v>60.2</c:v>
                </c:pt>
                <c:pt idx="814">
                  <c:v>58.5</c:v>
                </c:pt>
                <c:pt idx="815">
                  <c:v>58.2</c:v>
                </c:pt>
                <c:pt idx="816">
                  <c:v>59.3</c:v>
                </c:pt>
                <c:pt idx="817">
                  <c:v>59.1</c:v>
                </c:pt>
                <c:pt idx="818">
                  <c:v>60.7</c:v>
                </c:pt>
                <c:pt idx="819">
                  <c:v>59.3</c:v>
                </c:pt>
                <c:pt idx="820">
                  <c:v>57.9</c:v>
                </c:pt>
                <c:pt idx="821">
                  <c:v>58.7</c:v>
                </c:pt>
                <c:pt idx="822">
                  <c:v>60</c:v>
                </c:pt>
                <c:pt idx="823">
                  <c:v>58.4</c:v>
                </c:pt>
                <c:pt idx="824">
                  <c:v>60.8</c:v>
                </c:pt>
                <c:pt idx="825">
                  <c:v>59.5</c:v>
                </c:pt>
                <c:pt idx="826">
                  <c:v>57.5</c:v>
                </c:pt>
                <c:pt idx="827">
                  <c:v>58.8</c:v>
                </c:pt>
                <c:pt idx="828">
                  <c:v>54.3</c:v>
                </c:pt>
                <c:pt idx="829">
                  <c:v>56.6</c:v>
                </c:pt>
                <c:pt idx="830">
                  <c:v>54.2</c:v>
                </c:pt>
                <c:pt idx="831">
                  <c:v>55.3</c:v>
                </c:pt>
              </c:numCache>
            </c:numRef>
          </c:val>
          <c:smooth val="0"/>
          <c:extLst>
            <c:ext xmlns:c16="http://schemas.microsoft.com/office/drawing/2014/chart" uri="{C3380CC4-5D6E-409C-BE32-E72D297353CC}">
              <c16:uniqueId val="{00000004-9E8F-874B-9F00-5D6208D3A2ED}"/>
            </c:ext>
          </c:extLst>
        </c:ser>
        <c:dLbls>
          <c:showLegendKey val="0"/>
          <c:showVal val="0"/>
          <c:showCatName val="0"/>
          <c:showSerName val="0"/>
          <c:showPercent val="0"/>
          <c:showBubbleSize val="0"/>
        </c:dLbls>
        <c:marker val="1"/>
        <c:smooth val="0"/>
        <c:axId val="700889231"/>
        <c:axId val="825478719"/>
      </c:lineChart>
      <c:dateAx>
        <c:axId val="407391103"/>
        <c:scaling>
          <c:orientation val="minMax"/>
        </c:scaling>
        <c:delete val="0"/>
        <c:axPos val="b"/>
        <c:majorGridlines>
          <c:spPr>
            <a:ln w="9525" cap="flat" cmpd="sng" algn="ctr">
              <a:noFill/>
              <a:round/>
            </a:ln>
            <a:effectLst/>
          </c:spPr>
        </c:majorGridlines>
        <c:minorGridlines>
          <c:spPr>
            <a:ln w="9525" cap="flat" cmpd="sng" algn="ctr">
              <a:noFill/>
              <a:round/>
            </a:ln>
            <a:effectLst/>
          </c:spPr>
        </c:minorGridlines>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032143"/>
        <c:crosses val="autoZero"/>
        <c:auto val="1"/>
        <c:lblOffset val="100"/>
        <c:baseTimeUnit val="months"/>
      </c:dateAx>
      <c:valAx>
        <c:axId val="814032143"/>
        <c:scaling>
          <c:orientation val="minMax"/>
        </c:scaling>
        <c:delete val="0"/>
        <c:axPos val="l"/>
        <c:majorGridlines>
          <c:spPr>
            <a:ln w="317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391103"/>
        <c:crosses val="autoZero"/>
        <c:crossBetween val="between"/>
      </c:valAx>
      <c:valAx>
        <c:axId val="825478719"/>
        <c:scaling>
          <c:orientation val="minMax"/>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889231"/>
        <c:crosses val="max"/>
        <c:crossBetween val="between"/>
      </c:valAx>
      <c:dateAx>
        <c:axId val="700889231"/>
        <c:scaling>
          <c:orientation val="minMax"/>
        </c:scaling>
        <c:delete val="1"/>
        <c:axPos val="b"/>
        <c:numFmt formatCode="m/d/yy" sourceLinked="1"/>
        <c:majorTickMark val="out"/>
        <c:minorTickMark val="none"/>
        <c:tickLblPos val="nextTo"/>
        <c:crossAx val="825478719"/>
        <c:crosses val="autoZero"/>
        <c:auto val="1"/>
        <c:lblOffset val="100"/>
        <c:baseTimeUnit val="month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tx1">
        <a:lumMod val="85000"/>
        <a:lumOff val="1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400" b="1" i="0" u="none" strike="noStrike" baseline="0">
                <a:effectLst/>
              </a:rPr>
              <a:t>ISM Manufacturing [What happened last month]</a:t>
            </a:r>
            <a:r>
              <a:rPr lang="en-CA" sz="1400" b="0" i="0" u="none" strike="noStrike" baseline="0"/>
              <a:t> MANUFACTURING IN THE USA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4371926981796086E-2"/>
          <c:y val="0.17171296296296296"/>
          <c:w val="0.95148016305035821"/>
          <c:h val="0.51462634878973457"/>
        </c:manualLayout>
      </c:layout>
      <c:lineChart>
        <c:grouping val="standard"/>
        <c:varyColors val="0"/>
        <c:ser>
          <c:idx val="0"/>
          <c:order val="0"/>
          <c:tx>
            <c:strRef>
              <c:f>Sectors!$B$6</c:f>
              <c:strCache>
                <c:ptCount val="1"/>
                <c:pt idx="0">
                  <c:v>Machinery</c:v>
                </c:pt>
              </c:strCache>
            </c:strRef>
          </c:tx>
          <c:spPr>
            <a:ln w="3175" cap="rnd">
              <a:solidFill>
                <a:schemeClr val="accent1"/>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Sectors!$C$6:$R$6</c:f>
              <c:numCache>
                <c:formatCode>General</c:formatCode>
                <c:ptCount val="16"/>
                <c:pt idx="0">
                  <c:v>16</c:v>
                </c:pt>
                <c:pt idx="1">
                  <c:v>10</c:v>
                </c:pt>
                <c:pt idx="2">
                  <c:v>13</c:v>
                </c:pt>
                <c:pt idx="3">
                  <c:v>8</c:v>
                </c:pt>
                <c:pt idx="4">
                  <c:v>11</c:v>
                </c:pt>
                <c:pt idx="5">
                  <c:v>10</c:v>
                </c:pt>
                <c:pt idx="6">
                  <c:v>6</c:v>
                </c:pt>
                <c:pt idx="7">
                  <c:v>9</c:v>
                </c:pt>
                <c:pt idx="8">
                  <c:v>9</c:v>
                </c:pt>
                <c:pt idx="9">
                  <c:v>10</c:v>
                </c:pt>
                <c:pt idx="10">
                  <c:v>5</c:v>
                </c:pt>
                <c:pt idx="11">
                  <c:v>7</c:v>
                </c:pt>
                <c:pt idx="12">
                  <c:v>9</c:v>
                </c:pt>
                <c:pt idx="13">
                  <c:v>5</c:v>
                </c:pt>
                <c:pt idx="14">
                  <c:v>3</c:v>
                </c:pt>
                <c:pt idx="15">
                  <c:v>1</c:v>
                </c:pt>
              </c:numCache>
            </c:numRef>
          </c:val>
          <c:smooth val="0"/>
          <c:extLst>
            <c:ext xmlns:c16="http://schemas.microsoft.com/office/drawing/2014/chart" uri="{C3380CC4-5D6E-409C-BE32-E72D297353CC}">
              <c16:uniqueId val="{00000000-85BB-5B43-9830-AD9DD86E7DD4}"/>
            </c:ext>
          </c:extLst>
        </c:ser>
        <c:ser>
          <c:idx val="1"/>
          <c:order val="1"/>
          <c:tx>
            <c:strRef>
              <c:f>Sectors!$B$7</c:f>
              <c:strCache>
                <c:ptCount val="1"/>
                <c:pt idx="0">
                  <c:v>Computer &amp; Electronic Products</c:v>
                </c:pt>
              </c:strCache>
            </c:strRef>
          </c:tx>
          <c:spPr>
            <a:ln w="3175" cap="rnd">
              <a:solidFill>
                <a:schemeClr val="accent2"/>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Sectors!$C$7:$R$7</c:f>
              <c:numCache>
                <c:formatCode>General</c:formatCode>
                <c:ptCount val="16"/>
                <c:pt idx="0">
                  <c:v>15</c:v>
                </c:pt>
                <c:pt idx="1">
                  <c:v>6</c:v>
                </c:pt>
                <c:pt idx="2">
                  <c:v>12</c:v>
                </c:pt>
                <c:pt idx="3">
                  <c:v>15</c:v>
                </c:pt>
                <c:pt idx="4">
                  <c:v>7</c:v>
                </c:pt>
                <c:pt idx="5">
                  <c:v>7</c:v>
                </c:pt>
                <c:pt idx="6">
                  <c:v>10</c:v>
                </c:pt>
                <c:pt idx="7">
                  <c:v>14</c:v>
                </c:pt>
                <c:pt idx="8">
                  <c:v>16</c:v>
                </c:pt>
                <c:pt idx="9">
                  <c:v>12</c:v>
                </c:pt>
                <c:pt idx="10">
                  <c:v>8</c:v>
                </c:pt>
                <c:pt idx="11">
                  <c:v>13</c:v>
                </c:pt>
                <c:pt idx="12">
                  <c:v>7</c:v>
                </c:pt>
                <c:pt idx="13">
                  <c:v>13</c:v>
                </c:pt>
                <c:pt idx="14">
                  <c:v>14</c:v>
                </c:pt>
                <c:pt idx="15">
                  <c:v>12</c:v>
                </c:pt>
              </c:numCache>
            </c:numRef>
          </c:val>
          <c:smooth val="0"/>
          <c:extLst>
            <c:ext xmlns:c16="http://schemas.microsoft.com/office/drawing/2014/chart" uri="{C3380CC4-5D6E-409C-BE32-E72D297353CC}">
              <c16:uniqueId val="{00000001-85BB-5B43-9830-AD9DD86E7DD4}"/>
            </c:ext>
          </c:extLst>
        </c:ser>
        <c:ser>
          <c:idx val="2"/>
          <c:order val="2"/>
          <c:tx>
            <c:strRef>
              <c:f>Sectors!$B$8</c:f>
              <c:strCache>
                <c:ptCount val="1"/>
                <c:pt idx="0">
                  <c:v>Paper Products</c:v>
                </c:pt>
              </c:strCache>
            </c:strRef>
          </c:tx>
          <c:spPr>
            <a:ln w="3175" cap="rnd">
              <a:solidFill>
                <a:schemeClr val="accent3"/>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Sectors!$C$8:$R$8</c:f>
              <c:numCache>
                <c:formatCode>General</c:formatCode>
                <c:ptCount val="16"/>
                <c:pt idx="0">
                  <c:v>14</c:v>
                </c:pt>
                <c:pt idx="1">
                  <c:v>5</c:v>
                </c:pt>
                <c:pt idx="2">
                  <c:v>3</c:v>
                </c:pt>
                <c:pt idx="3">
                  <c:v>14</c:v>
                </c:pt>
                <c:pt idx="4">
                  <c:v>12</c:v>
                </c:pt>
                <c:pt idx="5">
                  <c:v>2</c:v>
                </c:pt>
                <c:pt idx="6">
                  <c:v>8</c:v>
                </c:pt>
                <c:pt idx="7">
                  <c:v>12</c:v>
                </c:pt>
                <c:pt idx="8">
                  <c:v>13</c:v>
                </c:pt>
                <c:pt idx="9">
                  <c:v>8</c:v>
                </c:pt>
                <c:pt idx="10">
                  <c:v>1</c:v>
                </c:pt>
                <c:pt idx="11">
                  <c:v>11</c:v>
                </c:pt>
                <c:pt idx="12">
                  <c:v>-2</c:v>
                </c:pt>
                <c:pt idx="13">
                  <c:v>0</c:v>
                </c:pt>
                <c:pt idx="14">
                  <c:v>11</c:v>
                </c:pt>
                <c:pt idx="15">
                  <c:v>-1</c:v>
                </c:pt>
              </c:numCache>
            </c:numRef>
          </c:val>
          <c:smooth val="0"/>
          <c:extLst>
            <c:ext xmlns:c16="http://schemas.microsoft.com/office/drawing/2014/chart" uri="{C3380CC4-5D6E-409C-BE32-E72D297353CC}">
              <c16:uniqueId val="{00000002-85BB-5B43-9830-AD9DD86E7DD4}"/>
            </c:ext>
          </c:extLst>
        </c:ser>
        <c:ser>
          <c:idx val="3"/>
          <c:order val="3"/>
          <c:tx>
            <c:strRef>
              <c:f>Sectors!$B$9</c:f>
              <c:strCache>
                <c:ptCount val="1"/>
                <c:pt idx="0">
                  <c:v>Apparel, Leather &amp; Allied Products</c:v>
                </c:pt>
              </c:strCache>
            </c:strRef>
          </c:tx>
          <c:spPr>
            <a:ln w="3175" cap="rnd">
              <a:solidFill>
                <a:schemeClr val="accent4"/>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Sectors!$C$9:$R$9</c:f>
              <c:numCache>
                <c:formatCode>General</c:formatCode>
                <c:ptCount val="16"/>
                <c:pt idx="0">
                  <c:v>13</c:v>
                </c:pt>
                <c:pt idx="1">
                  <c:v>8</c:v>
                </c:pt>
                <c:pt idx="2">
                  <c:v>-2</c:v>
                </c:pt>
                <c:pt idx="3">
                  <c:v>-1</c:v>
                </c:pt>
                <c:pt idx="4">
                  <c:v>1</c:v>
                </c:pt>
                <c:pt idx="5">
                  <c:v>0</c:v>
                </c:pt>
                <c:pt idx="6">
                  <c:v>0</c:v>
                </c:pt>
                <c:pt idx="7">
                  <c:v>15</c:v>
                </c:pt>
                <c:pt idx="8">
                  <c:v>15</c:v>
                </c:pt>
                <c:pt idx="9">
                  <c:v>9</c:v>
                </c:pt>
                <c:pt idx="10">
                  <c:v>11</c:v>
                </c:pt>
                <c:pt idx="11">
                  <c:v>3</c:v>
                </c:pt>
                <c:pt idx="12">
                  <c:v>10</c:v>
                </c:pt>
                <c:pt idx="13">
                  <c:v>0</c:v>
                </c:pt>
                <c:pt idx="14">
                  <c:v>0</c:v>
                </c:pt>
                <c:pt idx="15">
                  <c:v>-2</c:v>
                </c:pt>
              </c:numCache>
            </c:numRef>
          </c:val>
          <c:smooth val="0"/>
          <c:extLst>
            <c:ext xmlns:c16="http://schemas.microsoft.com/office/drawing/2014/chart" uri="{C3380CC4-5D6E-409C-BE32-E72D297353CC}">
              <c16:uniqueId val="{00000003-85BB-5B43-9830-AD9DD86E7DD4}"/>
            </c:ext>
          </c:extLst>
        </c:ser>
        <c:ser>
          <c:idx val="4"/>
          <c:order val="4"/>
          <c:tx>
            <c:strRef>
              <c:f>Sectors!$B$10</c:f>
              <c:strCache>
                <c:ptCount val="1"/>
                <c:pt idx="0">
                  <c:v>Printing &amp; Related Support Activities</c:v>
                </c:pt>
              </c:strCache>
            </c:strRef>
          </c:tx>
          <c:spPr>
            <a:ln w="3175" cap="rnd">
              <a:solidFill>
                <a:schemeClr val="accent5"/>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Sectors!$C$10:$R$10</c:f>
              <c:numCache>
                <c:formatCode>General</c:formatCode>
                <c:ptCount val="16"/>
                <c:pt idx="0">
                  <c:v>12</c:v>
                </c:pt>
                <c:pt idx="1">
                  <c:v>-4</c:v>
                </c:pt>
                <c:pt idx="2">
                  <c:v>15</c:v>
                </c:pt>
                <c:pt idx="3">
                  <c:v>13</c:v>
                </c:pt>
                <c:pt idx="4">
                  <c:v>3</c:v>
                </c:pt>
                <c:pt idx="5">
                  <c:v>13</c:v>
                </c:pt>
                <c:pt idx="6">
                  <c:v>13</c:v>
                </c:pt>
                <c:pt idx="7">
                  <c:v>11</c:v>
                </c:pt>
                <c:pt idx="8">
                  <c:v>1</c:v>
                </c:pt>
                <c:pt idx="9">
                  <c:v>0</c:v>
                </c:pt>
                <c:pt idx="10">
                  <c:v>3</c:v>
                </c:pt>
                <c:pt idx="11">
                  <c:v>-3</c:v>
                </c:pt>
                <c:pt idx="12">
                  <c:v>-6</c:v>
                </c:pt>
                <c:pt idx="13">
                  <c:v>9</c:v>
                </c:pt>
                <c:pt idx="14">
                  <c:v>16</c:v>
                </c:pt>
                <c:pt idx="15">
                  <c:v>16</c:v>
                </c:pt>
              </c:numCache>
            </c:numRef>
          </c:val>
          <c:smooth val="0"/>
          <c:extLst>
            <c:ext xmlns:c16="http://schemas.microsoft.com/office/drawing/2014/chart" uri="{C3380CC4-5D6E-409C-BE32-E72D297353CC}">
              <c16:uniqueId val="{00000004-85BB-5B43-9830-AD9DD86E7DD4}"/>
            </c:ext>
          </c:extLst>
        </c:ser>
        <c:ser>
          <c:idx val="5"/>
          <c:order val="5"/>
          <c:tx>
            <c:strRef>
              <c:f>Sectors!$B$11</c:f>
              <c:strCache>
                <c:ptCount val="1"/>
                <c:pt idx="0">
                  <c:v>Primary Metals</c:v>
                </c:pt>
              </c:strCache>
            </c:strRef>
          </c:tx>
          <c:spPr>
            <a:ln w="3175" cap="rnd">
              <a:solidFill>
                <a:schemeClr val="accent6"/>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Sectors!$C$11:$R$11</c:f>
              <c:numCache>
                <c:formatCode>General</c:formatCode>
                <c:ptCount val="16"/>
                <c:pt idx="0">
                  <c:v>11</c:v>
                </c:pt>
                <c:pt idx="1">
                  <c:v>11</c:v>
                </c:pt>
                <c:pt idx="2">
                  <c:v>14</c:v>
                </c:pt>
                <c:pt idx="3">
                  <c:v>1</c:v>
                </c:pt>
                <c:pt idx="4">
                  <c:v>10</c:v>
                </c:pt>
                <c:pt idx="5">
                  <c:v>1</c:v>
                </c:pt>
                <c:pt idx="6">
                  <c:v>5</c:v>
                </c:pt>
                <c:pt idx="7">
                  <c:v>-1</c:v>
                </c:pt>
                <c:pt idx="8">
                  <c:v>-1</c:v>
                </c:pt>
                <c:pt idx="9">
                  <c:v>-1</c:v>
                </c:pt>
                <c:pt idx="10">
                  <c:v>-3</c:v>
                </c:pt>
                <c:pt idx="11">
                  <c:v>-1</c:v>
                </c:pt>
                <c:pt idx="12">
                  <c:v>1</c:v>
                </c:pt>
                <c:pt idx="13">
                  <c:v>8</c:v>
                </c:pt>
                <c:pt idx="14">
                  <c:v>9</c:v>
                </c:pt>
                <c:pt idx="15">
                  <c:v>2</c:v>
                </c:pt>
              </c:numCache>
            </c:numRef>
          </c:val>
          <c:smooth val="0"/>
          <c:extLst>
            <c:ext xmlns:c16="http://schemas.microsoft.com/office/drawing/2014/chart" uri="{C3380CC4-5D6E-409C-BE32-E72D297353CC}">
              <c16:uniqueId val="{00000005-85BB-5B43-9830-AD9DD86E7DD4}"/>
            </c:ext>
          </c:extLst>
        </c:ser>
        <c:ser>
          <c:idx val="6"/>
          <c:order val="6"/>
          <c:tx>
            <c:strRef>
              <c:f>Sectors!$B$12</c:f>
              <c:strCache>
                <c:ptCount val="1"/>
                <c:pt idx="0">
                  <c:v>Nonmetallic Mineral Products</c:v>
                </c:pt>
              </c:strCache>
            </c:strRef>
          </c:tx>
          <c:spPr>
            <a:ln w="3175" cap="rnd">
              <a:solidFill>
                <a:schemeClr val="accent1">
                  <a:lumMod val="6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Sectors!$C$12:$R$12</c:f>
              <c:numCache>
                <c:formatCode>General</c:formatCode>
                <c:ptCount val="16"/>
                <c:pt idx="0">
                  <c:v>10</c:v>
                </c:pt>
                <c:pt idx="1">
                  <c:v>-1</c:v>
                </c:pt>
                <c:pt idx="2">
                  <c:v>10</c:v>
                </c:pt>
                <c:pt idx="3">
                  <c:v>12</c:v>
                </c:pt>
                <c:pt idx="4">
                  <c:v>9</c:v>
                </c:pt>
                <c:pt idx="5">
                  <c:v>15</c:v>
                </c:pt>
                <c:pt idx="6">
                  <c:v>15</c:v>
                </c:pt>
                <c:pt idx="7">
                  <c:v>10</c:v>
                </c:pt>
                <c:pt idx="8">
                  <c:v>8</c:v>
                </c:pt>
                <c:pt idx="9">
                  <c:v>1</c:v>
                </c:pt>
                <c:pt idx="10">
                  <c:v>-2</c:v>
                </c:pt>
                <c:pt idx="11">
                  <c:v>-2</c:v>
                </c:pt>
                <c:pt idx="12">
                  <c:v>-4</c:v>
                </c:pt>
                <c:pt idx="13">
                  <c:v>-1</c:v>
                </c:pt>
                <c:pt idx="14">
                  <c:v>-1</c:v>
                </c:pt>
                <c:pt idx="15">
                  <c:v>6</c:v>
                </c:pt>
              </c:numCache>
            </c:numRef>
          </c:val>
          <c:smooth val="0"/>
          <c:extLst>
            <c:ext xmlns:c16="http://schemas.microsoft.com/office/drawing/2014/chart" uri="{C3380CC4-5D6E-409C-BE32-E72D297353CC}">
              <c16:uniqueId val="{00000006-85BB-5B43-9830-AD9DD86E7DD4}"/>
            </c:ext>
          </c:extLst>
        </c:ser>
        <c:ser>
          <c:idx val="7"/>
          <c:order val="7"/>
          <c:tx>
            <c:strRef>
              <c:f>Sectors!$B$13</c:f>
              <c:strCache>
                <c:ptCount val="1"/>
                <c:pt idx="0">
                  <c:v>Petroleum &amp; Coal Products</c:v>
                </c:pt>
              </c:strCache>
            </c:strRef>
          </c:tx>
          <c:spPr>
            <a:ln w="3175" cap="rnd">
              <a:solidFill>
                <a:schemeClr val="accent2">
                  <a:lumMod val="6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Sectors!$C$13:$R$13</c:f>
              <c:numCache>
                <c:formatCode>General</c:formatCode>
                <c:ptCount val="16"/>
                <c:pt idx="0">
                  <c:v>9</c:v>
                </c:pt>
                <c:pt idx="1">
                  <c:v>4</c:v>
                </c:pt>
                <c:pt idx="2">
                  <c:v>11</c:v>
                </c:pt>
                <c:pt idx="3">
                  <c:v>10</c:v>
                </c:pt>
                <c:pt idx="4">
                  <c:v>6</c:v>
                </c:pt>
                <c:pt idx="5">
                  <c:v>6</c:v>
                </c:pt>
                <c:pt idx="6">
                  <c:v>2</c:v>
                </c:pt>
                <c:pt idx="7">
                  <c:v>13</c:v>
                </c:pt>
                <c:pt idx="8">
                  <c:v>5</c:v>
                </c:pt>
                <c:pt idx="9">
                  <c:v>5</c:v>
                </c:pt>
                <c:pt idx="10">
                  <c:v>0</c:v>
                </c:pt>
                <c:pt idx="11">
                  <c:v>1</c:v>
                </c:pt>
                <c:pt idx="12">
                  <c:v>-3</c:v>
                </c:pt>
                <c:pt idx="13">
                  <c:v>3</c:v>
                </c:pt>
                <c:pt idx="14">
                  <c:v>5</c:v>
                </c:pt>
                <c:pt idx="15">
                  <c:v>13</c:v>
                </c:pt>
              </c:numCache>
            </c:numRef>
          </c:val>
          <c:smooth val="0"/>
          <c:extLst>
            <c:ext xmlns:c16="http://schemas.microsoft.com/office/drawing/2014/chart" uri="{C3380CC4-5D6E-409C-BE32-E72D297353CC}">
              <c16:uniqueId val="{00000007-85BB-5B43-9830-AD9DD86E7DD4}"/>
            </c:ext>
          </c:extLst>
        </c:ser>
        <c:ser>
          <c:idx val="8"/>
          <c:order val="8"/>
          <c:tx>
            <c:strRef>
              <c:f>Sectors!$B$14</c:f>
              <c:strCache>
                <c:ptCount val="1"/>
                <c:pt idx="0">
                  <c:v>Plastics &amp; Rubber Products</c:v>
                </c:pt>
              </c:strCache>
            </c:strRef>
          </c:tx>
          <c:spPr>
            <a:ln w="3175" cap="rnd">
              <a:solidFill>
                <a:schemeClr val="accent3">
                  <a:lumMod val="6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Sectors!$C$14:$R$14</c:f>
              <c:numCache>
                <c:formatCode>General</c:formatCode>
                <c:ptCount val="16"/>
                <c:pt idx="0">
                  <c:v>8</c:v>
                </c:pt>
                <c:pt idx="1">
                  <c:v>12</c:v>
                </c:pt>
                <c:pt idx="2">
                  <c:v>9</c:v>
                </c:pt>
                <c:pt idx="3">
                  <c:v>16</c:v>
                </c:pt>
                <c:pt idx="4">
                  <c:v>4</c:v>
                </c:pt>
                <c:pt idx="5">
                  <c:v>5</c:v>
                </c:pt>
                <c:pt idx="6">
                  <c:v>1</c:v>
                </c:pt>
                <c:pt idx="7">
                  <c:v>8</c:v>
                </c:pt>
                <c:pt idx="8">
                  <c:v>4</c:v>
                </c:pt>
                <c:pt idx="9">
                  <c:v>13</c:v>
                </c:pt>
                <c:pt idx="10">
                  <c:v>10</c:v>
                </c:pt>
                <c:pt idx="11">
                  <c:v>12</c:v>
                </c:pt>
                <c:pt idx="12">
                  <c:v>-1</c:v>
                </c:pt>
                <c:pt idx="13">
                  <c:v>12</c:v>
                </c:pt>
                <c:pt idx="14">
                  <c:v>1</c:v>
                </c:pt>
                <c:pt idx="15">
                  <c:v>8</c:v>
                </c:pt>
              </c:numCache>
            </c:numRef>
          </c:val>
          <c:smooth val="0"/>
          <c:extLst>
            <c:ext xmlns:c16="http://schemas.microsoft.com/office/drawing/2014/chart" uri="{C3380CC4-5D6E-409C-BE32-E72D297353CC}">
              <c16:uniqueId val="{00000008-85BB-5B43-9830-AD9DD86E7DD4}"/>
            </c:ext>
          </c:extLst>
        </c:ser>
        <c:ser>
          <c:idx val="9"/>
          <c:order val="9"/>
          <c:tx>
            <c:strRef>
              <c:f>Sectors!$B$15</c:f>
              <c:strCache>
                <c:ptCount val="1"/>
                <c:pt idx="0">
                  <c:v>Miscellaneous Manufacturing</c:v>
                </c:pt>
              </c:strCache>
            </c:strRef>
          </c:tx>
          <c:spPr>
            <a:ln w="3175" cap="rnd">
              <a:solidFill>
                <a:schemeClr val="accent4">
                  <a:lumMod val="6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Sectors!$C$15:$R$15</c:f>
              <c:numCache>
                <c:formatCode>General</c:formatCode>
                <c:ptCount val="16"/>
                <c:pt idx="0">
                  <c:v>7</c:v>
                </c:pt>
                <c:pt idx="1">
                  <c:v>2</c:v>
                </c:pt>
                <c:pt idx="2">
                  <c:v>4</c:v>
                </c:pt>
                <c:pt idx="3">
                  <c:v>3</c:v>
                </c:pt>
                <c:pt idx="4">
                  <c:v>2</c:v>
                </c:pt>
                <c:pt idx="5">
                  <c:v>4</c:v>
                </c:pt>
                <c:pt idx="6">
                  <c:v>4</c:v>
                </c:pt>
                <c:pt idx="7">
                  <c:v>7</c:v>
                </c:pt>
                <c:pt idx="8">
                  <c:v>12</c:v>
                </c:pt>
                <c:pt idx="9">
                  <c:v>14</c:v>
                </c:pt>
                <c:pt idx="10">
                  <c:v>6</c:v>
                </c:pt>
                <c:pt idx="11">
                  <c:v>8</c:v>
                </c:pt>
                <c:pt idx="12">
                  <c:v>3</c:v>
                </c:pt>
                <c:pt idx="13">
                  <c:v>11</c:v>
                </c:pt>
                <c:pt idx="14">
                  <c:v>6</c:v>
                </c:pt>
                <c:pt idx="15">
                  <c:v>4</c:v>
                </c:pt>
              </c:numCache>
            </c:numRef>
          </c:val>
          <c:smooth val="0"/>
          <c:extLst>
            <c:ext xmlns:c16="http://schemas.microsoft.com/office/drawing/2014/chart" uri="{C3380CC4-5D6E-409C-BE32-E72D297353CC}">
              <c16:uniqueId val="{00000009-85BB-5B43-9830-AD9DD86E7DD4}"/>
            </c:ext>
          </c:extLst>
        </c:ser>
        <c:ser>
          <c:idx val="10"/>
          <c:order val="10"/>
          <c:tx>
            <c:strRef>
              <c:f>Sectors!$B$16</c:f>
              <c:strCache>
                <c:ptCount val="1"/>
                <c:pt idx="0">
                  <c:v>Food, Beverage &amp; Tobacco Products</c:v>
                </c:pt>
              </c:strCache>
            </c:strRef>
          </c:tx>
          <c:spPr>
            <a:ln w="3175" cap="rnd">
              <a:solidFill>
                <a:schemeClr val="accent5">
                  <a:lumMod val="6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Sectors!$C$16:$R$16</c:f>
              <c:numCache>
                <c:formatCode>General</c:formatCode>
                <c:ptCount val="16"/>
                <c:pt idx="0">
                  <c:v>6</c:v>
                </c:pt>
                <c:pt idx="1">
                  <c:v>1</c:v>
                </c:pt>
                <c:pt idx="2">
                  <c:v>1</c:v>
                </c:pt>
                <c:pt idx="3">
                  <c:v>2</c:v>
                </c:pt>
                <c:pt idx="4">
                  <c:v>5</c:v>
                </c:pt>
                <c:pt idx="5">
                  <c:v>8</c:v>
                </c:pt>
                <c:pt idx="6">
                  <c:v>9</c:v>
                </c:pt>
                <c:pt idx="7">
                  <c:v>5</c:v>
                </c:pt>
                <c:pt idx="8">
                  <c:v>6</c:v>
                </c:pt>
                <c:pt idx="9">
                  <c:v>11</c:v>
                </c:pt>
                <c:pt idx="10">
                  <c:v>9</c:v>
                </c:pt>
                <c:pt idx="11">
                  <c:v>4</c:v>
                </c:pt>
                <c:pt idx="12">
                  <c:v>4</c:v>
                </c:pt>
                <c:pt idx="13">
                  <c:v>2</c:v>
                </c:pt>
                <c:pt idx="14">
                  <c:v>7</c:v>
                </c:pt>
                <c:pt idx="15">
                  <c:v>14</c:v>
                </c:pt>
              </c:numCache>
            </c:numRef>
          </c:val>
          <c:smooth val="0"/>
          <c:extLst>
            <c:ext xmlns:c16="http://schemas.microsoft.com/office/drawing/2014/chart" uri="{C3380CC4-5D6E-409C-BE32-E72D297353CC}">
              <c16:uniqueId val="{0000000A-85BB-5B43-9830-AD9DD86E7DD4}"/>
            </c:ext>
          </c:extLst>
        </c:ser>
        <c:ser>
          <c:idx val="11"/>
          <c:order val="11"/>
          <c:tx>
            <c:strRef>
              <c:f>Sectors!$B$17</c:f>
              <c:strCache>
                <c:ptCount val="1"/>
                <c:pt idx="0">
                  <c:v>Furniture &amp; Related Products</c:v>
                </c:pt>
              </c:strCache>
            </c:strRef>
          </c:tx>
          <c:spPr>
            <a:ln w="3175" cap="rnd">
              <a:solidFill>
                <a:schemeClr val="accent6">
                  <a:lumMod val="6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Sectors!$C$17:$R$17</c:f>
              <c:numCache>
                <c:formatCode>General</c:formatCode>
                <c:ptCount val="16"/>
                <c:pt idx="0">
                  <c:v>5</c:v>
                </c:pt>
                <c:pt idx="1">
                  <c:v>-2</c:v>
                </c:pt>
                <c:pt idx="2">
                  <c:v>-1</c:v>
                </c:pt>
                <c:pt idx="3">
                  <c:v>4</c:v>
                </c:pt>
                <c:pt idx="4">
                  <c:v>13</c:v>
                </c:pt>
                <c:pt idx="5">
                  <c:v>11</c:v>
                </c:pt>
                <c:pt idx="6">
                  <c:v>-6</c:v>
                </c:pt>
                <c:pt idx="7">
                  <c:v>4</c:v>
                </c:pt>
                <c:pt idx="8">
                  <c:v>10</c:v>
                </c:pt>
                <c:pt idx="9">
                  <c:v>3</c:v>
                </c:pt>
                <c:pt idx="10">
                  <c:v>7</c:v>
                </c:pt>
                <c:pt idx="11">
                  <c:v>2</c:v>
                </c:pt>
                <c:pt idx="12">
                  <c:v>0</c:v>
                </c:pt>
                <c:pt idx="13">
                  <c:v>10</c:v>
                </c:pt>
                <c:pt idx="14">
                  <c:v>2</c:v>
                </c:pt>
                <c:pt idx="15">
                  <c:v>10</c:v>
                </c:pt>
              </c:numCache>
            </c:numRef>
          </c:val>
          <c:smooth val="0"/>
          <c:extLst>
            <c:ext xmlns:c16="http://schemas.microsoft.com/office/drawing/2014/chart" uri="{C3380CC4-5D6E-409C-BE32-E72D297353CC}">
              <c16:uniqueId val="{0000000B-85BB-5B43-9830-AD9DD86E7DD4}"/>
            </c:ext>
          </c:extLst>
        </c:ser>
        <c:ser>
          <c:idx val="12"/>
          <c:order val="12"/>
          <c:tx>
            <c:strRef>
              <c:f>Sectors!$B$18</c:f>
              <c:strCache>
                <c:ptCount val="1"/>
                <c:pt idx="0">
                  <c:v>Transportation Equipment</c:v>
                </c:pt>
              </c:strCache>
            </c:strRef>
          </c:tx>
          <c:spPr>
            <a:ln w="3175" cap="rnd">
              <a:solidFill>
                <a:schemeClr val="accent1">
                  <a:lumMod val="80000"/>
                  <a:lumOff val="2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Sectors!$C$18:$R$18</c:f>
              <c:numCache>
                <c:formatCode>General</c:formatCode>
                <c:ptCount val="16"/>
                <c:pt idx="0">
                  <c:v>4</c:v>
                </c:pt>
                <c:pt idx="1">
                  <c:v>9</c:v>
                </c:pt>
                <c:pt idx="2">
                  <c:v>6</c:v>
                </c:pt>
                <c:pt idx="3">
                  <c:v>11</c:v>
                </c:pt>
                <c:pt idx="4">
                  <c:v>14</c:v>
                </c:pt>
                <c:pt idx="5">
                  <c:v>3</c:v>
                </c:pt>
                <c:pt idx="6">
                  <c:v>7</c:v>
                </c:pt>
                <c:pt idx="7">
                  <c:v>1</c:v>
                </c:pt>
                <c:pt idx="8">
                  <c:v>7</c:v>
                </c:pt>
                <c:pt idx="9">
                  <c:v>4</c:v>
                </c:pt>
                <c:pt idx="10">
                  <c:v>4</c:v>
                </c:pt>
                <c:pt idx="11">
                  <c:v>6</c:v>
                </c:pt>
                <c:pt idx="12">
                  <c:v>8</c:v>
                </c:pt>
                <c:pt idx="13">
                  <c:v>6</c:v>
                </c:pt>
                <c:pt idx="14">
                  <c:v>4</c:v>
                </c:pt>
                <c:pt idx="15">
                  <c:v>5</c:v>
                </c:pt>
              </c:numCache>
            </c:numRef>
          </c:val>
          <c:smooth val="0"/>
          <c:extLst>
            <c:ext xmlns:c16="http://schemas.microsoft.com/office/drawing/2014/chart" uri="{C3380CC4-5D6E-409C-BE32-E72D297353CC}">
              <c16:uniqueId val="{0000000C-85BB-5B43-9830-AD9DD86E7DD4}"/>
            </c:ext>
          </c:extLst>
        </c:ser>
        <c:ser>
          <c:idx val="13"/>
          <c:order val="13"/>
          <c:tx>
            <c:strRef>
              <c:f>Sectors!$B$19</c:f>
              <c:strCache>
                <c:ptCount val="1"/>
                <c:pt idx="0">
                  <c:v>Chemical Products</c:v>
                </c:pt>
              </c:strCache>
            </c:strRef>
          </c:tx>
          <c:spPr>
            <a:ln w="3175" cap="rnd">
              <a:solidFill>
                <a:schemeClr val="accent2">
                  <a:lumMod val="80000"/>
                  <a:lumOff val="2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Sectors!$C$19:$R$19</c:f>
              <c:numCache>
                <c:formatCode>General</c:formatCode>
                <c:ptCount val="16"/>
                <c:pt idx="0">
                  <c:v>3</c:v>
                </c:pt>
                <c:pt idx="1">
                  <c:v>7</c:v>
                </c:pt>
                <c:pt idx="2">
                  <c:v>7</c:v>
                </c:pt>
                <c:pt idx="3">
                  <c:v>7</c:v>
                </c:pt>
                <c:pt idx="4">
                  <c:v>8</c:v>
                </c:pt>
                <c:pt idx="5">
                  <c:v>9</c:v>
                </c:pt>
                <c:pt idx="6">
                  <c:v>3</c:v>
                </c:pt>
                <c:pt idx="7">
                  <c:v>3</c:v>
                </c:pt>
                <c:pt idx="8">
                  <c:v>2</c:v>
                </c:pt>
                <c:pt idx="9">
                  <c:v>6</c:v>
                </c:pt>
                <c:pt idx="10">
                  <c:v>2</c:v>
                </c:pt>
                <c:pt idx="11">
                  <c:v>5</c:v>
                </c:pt>
                <c:pt idx="12">
                  <c:v>5</c:v>
                </c:pt>
                <c:pt idx="13">
                  <c:v>7</c:v>
                </c:pt>
                <c:pt idx="14">
                  <c:v>8</c:v>
                </c:pt>
                <c:pt idx="15">
                  <c:v>9</c:v>
                </c:pt>
              </c:numCache>
            </c:numRef>
          </c:val>
          <c:smooth val="0"/>
          <c:extLst>
            <c:ext xmlns:c16="http://schemas.microsoft.com/office/drawing/2014/chart" uri="{C3380CC4-5D6E-409C-BE32-E72D297353CC}">
              <c16:uniqueId val="{0000000D-85BB-5B43-9830-AD9DD86E7DD4}"/>
            </c:ext>
          </c:extLst>
        </c:ser>
        <c:ser>
          <c:idx val="14"/>
          <c:order val="14"/>
          <c:tx>
            <c:strRef>
              <c:f>Sectors!$B$20</c:f>
              <c:strCache>
                <c:ptCount val="1"/>
                <c:pt idx="0">
                  <c:v>Fabricated Metal Products</c:v>
                </c:pt>
              </c:strCache>
            </c:strRef>
          </c:tx>
          <c:spPr>
            <a:ln w="3175" cap="rnd">
              <a:solidFill>
                <a:schemeClr val="accent3">
                  <a:lumMod val="80000"/>
                  <a:lumOff val="2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Sectors!$C$20:$R$20</c:f>
              <c:numCache>
                <c:formatCode>General</c:formatCode>
                <c:ptCount val="16"/>
                <c:pt idx="0">
                  <c:v>2</c:v>
                </c:pt>
                <c:pt idx="1">
                  <c:v>13</c:v>
                </c:pt>
                <c:pt idx="2">
                  <c:v>8</c:v>
                </c:pt>
                <c:pt idx="3">
                  <c:v>17</c:v>
                </c:pt>
                <c:pt idx="4">
                  <c:v>15</c:v>
                </c:pt>
                <c:pt idx="5">
                  <c:v>12</c:v>
                </c:pt>
                <c:pt idx="6">
                  <c:v>11</c:v>
                </c:pt>
                <c:pt idx="7">
                  <c:v>6</c:v>
                </c:pt>
                <c:pt idx="8">
                  <c:v>3</c:v>
                </c:pt>
                <c:pt idx="9">
                  <c:v>2</c:v>
                </c:pt>
                <c:pt idx="10">
                  <c:v>-1</c:v>
                </c:pt>
                <c:pt idx="11">
                  <c:v>0</c:v>
                </c:pt>
                <c:pt idx="12">
                  <c:v>-5</c:v>
                </c:pt>
                <c:pt idx="13">
                  <c:v>4</c:v>
                </c:pt>
                <c:pt idx="14">
                  <c:v>12</c:v>
                </c:pt>
                <c:pt idx="15">
                  <c:v>3</c:v>
                </c:pt>
              </c:numCache>
            </c:numRef>
          </c:val>
          <c:smooth val="0"/>
          <c:extLst>
            <c:ext xmlns:c16="http://schemas.microsoft.com/office/drawing/2014/chart" uri="{C3380CC4-5D6E-409C-BE32-E72D297353CC}">
              <c16:uniqueId val="{0000000E-85BB-5B43-9830-AD9DD86E7DD4}"/>
            </c:ext>
          </c:extLst>
        </c:ser>
        <c:ser>
          <c:idx val="15"/>
          <c:order val="15"/>
          <c:tx>
            <c:strRef>
              <c:f>Sectors!$B$21</c:f>
              <c:strCache>
                <c:ptCount val="1"/>
                <c:pt idx="0">
                  <c:v>Electrical Equipment, Appliances &amp; Components</c:v>
                </c:pt>
              </c:strCache>
            </c:strRef>
          </c:tx>
          <c:spPr>
            <a:ln w="3175" cap="rnd">
              <a:solidFill>
                <a:schemeClr val="accent4">
                  <a:lumMod val="80000"/>
                  <a:lumOff val="2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Sectors!$C$21:$R$21</c:f>
              <c:numCache>
                <c:formatCode>General</c:formatCode>
                <c:ptCount val="16"/>
                <c:pt idx="0">
                  <c:v>1</c:v>
                </c:pt>
                <c:pt idx="1">
                  <c:v>3</c:v>
                </c:pt>
                <c:pt idx="2">
                  <c:v>2</c:v>
                </c:pt>
                <c:pt idx="3">
                  <c:v>5</c:v>
                </c:pt>
                <c:pt idx="4">
                  <c:v>16</c:v>
                </c:pt>
                <c:pt idx="5">
                  <c:v>14</c:v>
                </c:pt>
                <c:pt idx="6">
                  <c:v>12</c:v>
                </c:pt>
                <c:pt idx="7">
                  <c:v>16</c:v>
                </c:pt>
                <c:pt idx="8">
                  <c:v>11</c:v>
                </c:pt>
                <c:pt idx="9">
                  <c:v>7</c:v>
                </c:pt>
                <c:pt idx="10">
                  <c:v>12</c:v>
                </c:pt>
                <c:pt idx="11">
                  <c:v>9</c:v>
                </c:pt>
                <c:pt idx="12">
                  <c:v>2</c:v>
                </c:pt>
                <c:pt idx="13">
                  <c:v>1</c:v>
                </c:pt>
                <c:pt idx="14">
                  <c:v>13</c:v>
                </c:pt>
                <c:pt idx="15">
                  <c:v>11</c:v>
                </c:pt>
              </c:numCache>
            </c:numRef>
          </c:val>
          <c:smooth val="0"/>
          <c:extLst>
            <c:ext xmlns:c16="http://schemas.microsoft.com/office/drawing/2014/chart" uri="{C3380CC4-5D6E-409C-BE32-E72D297353CC}">
              <c16:uniqueId val="{0000000F-85BB-5B43-9830-AD9DD86E7DD4}"/>
            </c:ext>
          </c:extLst>
        </c:ser>
        <c:ser>
          <c:idx val="16"/>
          <c:order val="16"/>
          <c:tx>
            <c:strRef>
              <c:f>Sectors!$B$22</c:f>
              <c:strCache>
                <c:ptCount val="1"/>
                <c:pt idx="0">
                  <c:v>Textile Mills</c:v>
                </c:pt>
              </c:strCache>
            </c:strRef>
          </c:tx>
          <c:spPr>
            <a:ln w="3175" cap="rnd">
              <a:solidFill>
                <a:schemeClr val="accent5">
                  <a:lumMod val="80000"/>
                  <a:lumOff val="2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Sectors!$C$22:$R$22</c:f>
              <c:numCache>
                <c:formatCode>General</c:formatCode>
                <c:ptCount val="16"/>
                <c:pt idx="0">
                  <c:v>-1</c:v>
                </c:pt>
                <c:pt idx="1">
                  <c:v>14</c:v>
                </c:pt>
                <c:pt idx="2">
                  <c:v>5</c:v>
                </c:pt>
                <c:pt idx="3">
                  <c:v>6</c:v>
                </c:pt>
                <c:pt idx="4">
                  <c:v>0</c:v>
                </c:pt>
                <c:pt idx="5">
                  <c:v>16</c:v>
                </c:pt>
                <c:pt idx="6">
                  <c:v>17</c:v>
                </c:pt>
                <c:pt idx="7">
                  <c:v>17</c:v>
                </c:pt>
                <c:pt idx="8">
                  <c:v>14</c:v>
                </c:pt>
                <c:pt idx="9">
                  <c:v>15</c:v>
                </c:pt>
                <c:pt idx="10">
                  <c:v>13</c:v>
                </c:pt>
                <c:pt idx="11">
                  <c:v>10</c:v>
                </c:pt>
                <c:pt idx="12">
                  <c:v>11</c:v>
                </c:pt>
                <c:pt idx="13">
                  <c:v>14</c:v>
                </c:pt>
                <c:pt idx="14">
                  <c:v>15</c:v>
                </c:pt>
                <c:pt idx="15">
                  <c:v>15</c:v>
                </c:pt>
              </c:numCache>
            </c:numRef>
          </c:val>
          <c:smooth val="0"/>
          <c:extLst>
            <c:ext xmlns:c16="http://schemas.microsoft.com/office/drawing/2014/chart" uri="{C3380CC4-5D6E-409C-BE32-E72D297353CC}">
              <c16:uniqueId val="{00000010-85BB-5B43-9830-AD9DD86E7DD4}"/>
            </c:ext>
          </c:extLst>
        </c:ser>
        <c:ser>
          <c:idx val="17"/>
          <c:order val="17"/>
          <c:tx>
            <c:strRef>
              <c:f>Sectors!$B$23</c:f>
              <c:strCache>
                <c:ptCount val="1"/>
                <c:pt idx="0">
                  <c:v>Wood Products</c:v>
                </c:pt>
              </c:strCache>
            </c:strRef>
          </c:tx>
          <c:spPr>
            <a:ln w="3175" cap="rnd">
              <a:solidFill>
                <a:schemeClr val="accent6">
                  <a:lumMod val="80000"/>
                  <a:lumOff val="20000"/>
                </a:schemeClr>
              </a:solidFill>
              <a:round/>
            </a:ln>
            <a:effectLst/>
          </c:spPr>
          <c:marker>
            <c:symbol val="none"/>
          </c:marker>
          <c:cat>
            <c:strRef>
              <c:f>Sectors!$C$3:$R$4</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Sectors!$C$23:$R$23</c:f>
              <c:numCache>
                <c:formatCode>General</c:formatCode>
                <c:ptCount val="16"/>
                <c:pt idx="0">
                  <c:v>-1</c:v>
                </c:pt>
                <c:pt idx="1">
                  <c:v>-3</c:v>
                </c:pt>
                <c:pt idx="2">
                  <c:v>0</c:v>
                </c:pt>
                <c:pt idx="3">
                  <c:v>9</c:v>
                </c:pt>
                <c:pt idx="4">
                  <c:v>17</c:v>
                </c:pt>
                <c:pt idx="5">
                  <c:v>0</c:v>
                </c:pt>
                <c:pt idx="6">
                  <c:v>16</c:v>
                </c:pt>
                <c:pt idx="7">
                  <c:v>2</c:v>
                </c:pt>
                <c:pt idx="8">
                  <c:v>-2</c:v>
                </c:pt>
                <c:pt idx="9">
                  <c:v>0</c:v>
                </c:pt>
                <c:pt idx="10">
                  <c:v>-4</c:v>
                </c:pt>
                <c:pt idx="11">
                  <c:v>0</c:v>
                </c:pt>
                <c:pt idx="12">
                  <c:v>6</c:v>
                </c:pt>
                <c:pt idx="13">
                  <c:v>6</c:v>
                </c:pt>
                <c:pt idx="14">
                  <c:v>10</c:v>
                </c:pt>
                <c:pt idx="15">
                  <c:v>7</c:v>
                </c:pt>
              </c:numCache>
            </c:numRef>
          </c:val>
          <c:smooth val="0"/>
          <c:extLst>
            <c:ext xmlns:c16="http://schemas.microsoft.com/office/drawing/2014/chart" uri="{C3380CC4-5D6E-409C-BE32-E72D297353CC}">
              <c16:uniqueId val="{00000011-85BB-5B43-9830-AD9DD86E7DD4}"/>
            </c:ext>
          </c:extLst>
        </c:ser>
        <c:dLbls>
          <c:showLegendKey val="0"/>
          <c:showVal val="0"/>
          <c:showCatName val="0"/>
          <c:showSerName val="0"/>
          <c:showPercent val="0"/>
          <c:showBubbleSize val="0"/>
        </c:dLbls>
        <c:smooth val="0"/>
        <c:axId val="1986626927"/>
        <c:axId val="2091426223"/>
      </c:lineChart>
      <c:dateAx>
        <c:axId val="1986626927"/>
        <c:scaling>
          <c:orientation val="minMax"/>
        </c:scaling>
        <c:delete val="0"/>
        <c:axPos val="b"/>
        <c:numFmt formatCode="mmm\-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426223"/>
        <c:crosses val="autoZero"/>
        <c:auto val="1"/>
        <c:lblOffset val="100"/>
        <c:baseTimeUnit val="months"/>
      </c:dateAx>
      <c:valAx>
        <c:axId val="2091426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6626927"/>
        <c:crosses val="autoZero"/>
        <c:crossBetween val="between"/>
      </c:valAx>
      <c:spPr>
        <a:noFill/>
        <a:ln>
          <a:noFill/>
        </a:ln>
        <a:effectLst/>
      </c:spPr>
    </c:plotArea>
    <c:legend>
      <c:legendPos val="b"/>
      <c:layout>
        <c:manualLayout>
          <c:xMode val="edge"/>
          <c:yMode val="edge"/>
          <c:x val="1.0472070402964329E-2"/>
          <c:y val="0.76230900927282164"/>
          <c:w val="0.969644094488189"/>
          <c:h val="0.21531003932527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spc="0" baseline="0">
                <a:solidFill>
                  <a:schemeClr val="tx1">
                    <a:lumMod val="65000"/>
                    <a:lumOff val="35000"/>
                  </a:schemeClr>
                </a:solidFill>
                <a:latin typeface="+mn-lt"/>
                <a:ea typeface="+mn-ea"/>
                <a:cs typeface="+mn-cs"/>
              </a:defRPr>
            </a:pPr>
            <a:r>
              <a:rPr lang="en-CA" sz="1800" b="1" i="0" u="sng" strike="noStrike" baseline="0">
                <a:effectLst/>
              </a:rPr>
              <a:t>TOTALS(Sum cumm.score)</a:t>
            </a:r>
            <a:r>
              <a:rPr lang="en-CA" sz="1800" b="1" i="0" u="sng" strike="noStrike" baseline="0"/>
              <a:t> </a:t>
            </a:r>
            <a:r>
              <a:rPr lang="en-CA" sz="1800" b="1" i="0" u="sng" strike="noStrike" baseline="0">
                <a:effectLst/>
              </a:rPr>
              <a:t> </a:t>
            </a:r>
            <a:r>
              <a:rPr lang="en-CA" sz="1800" b="1" i="0" u="sng" strike="noStrike" baseline="0"/>
              <a:t> </a:t>
            </a:r>
            <a:endParaRPr lang="en-US" sz="1800" b="1" u="sng"/>
          </a:p>
        </c:rich>
      </c:tx>
      <c:overlay val="0"/>
      <c:spPr>
        <a:noFill/>
        <a:ln>
          <a:noFill/>
        </a:ln>
        <a:effectLst/>
      </c:spPr>
      <c:txPr>
        <a:bodyPr rot="0" spcFirstLastPara="1" vertOverflow="ellipsis" vert="horz" wrap="square" anchor="ctr" anchorCtr="1"/>
        <a:lstStyle/>
        <a:p>
          <a:pPr>
            <a:defRPr sz="1800" b="1" i="0" u="sng"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951366139108396E-2"/>
          <c:y val="8.8383113341988118E-2"/>
          <c:w val="0.9563066792377557"/>
          <c:h val="0.55929614029003649"/>
        </c:manualLayout>
      </c:layout>
      <c:lineChart>
        <c:grouping val="standard"/>
        <c:varyColors val="0"/>
        <c:ser>
          <c:idx val="0"/>
          <c:order val="0"/>
          <c:tx>
            <c:strRef>
              <c:f>Sectors!$B$167</c:f>
              <c:strCache>
                <c:ptCount val="1"/>
                <c:pt idx="0">
                  <c:v>Machinery</c:v>
                </c:pt>
              </c:strCache>
            </c:strRef>
          </c:tx>
          <c:spPr>
            <a:ln w="28575" cap="rnd">
              <a:solidFill>
                <a:schemeClr val="accent1"/>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Sectors!$C$167:$T$167</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smooth val="0"/>
          <c:extLst>
            <c:ext xmlns:c16="http://schemas.microsoft.com/office/drawing/2014/chart" uri="{C3380CC4-5D6E-409C-BE32-E72D297353CC}">
              <c16:uniqueId val="{00000000-0E8C-2140-B359-0DCC810B1986}"/>
            </c:ext>
          </c:extLst>
        </c:ser>
        <c:ser>
          <c:idx val="1"/>
          <c:order val="1"/>
          <c:tx>
            <c:strRef>
              <c:f>Sectors!$B$168</c:f>
              <c:strCache>
                <c:ptCount val="1"/>
                <c:pt idx="0">
                  <c:v>Computer &amp; Electronic Products</c:v>
                </c:pt>
              </c:strCache>
            </c:strRef>
          </c:tx>
          <c:spPr>
            <a:ln w="28575" cap="rnd">
              <a:solidFill>
                <a:schemeClr val="accent2"/>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Sectors!$C$168:$T$168</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smooth val="0"/>
          <c:extLst>
            <c:ext xmlns:c16="http://schemas.microsoft.com/office/drawing/2014/chart" uri="{C3380CC4-5D6E-409C-BE32-E72D297353CC}">
              <c16:uniqueId val="{00000001-0E8C-2140-B359-0DCC810B1986}"/>
            </c:ext>
          </c:extLst>
        </c:ser>
        <c:ser>
          <c:idx val="2"/>
          <c:order val="2"/>
          <c:tx>
            <c:strRef>
              <c:f>Sectors!$B$169</c:f>
              <c:strCache>
                <c:ptCount val="1"/>
                <c:pt idx="0">
                  <c:v>Paper Products</c:v>
                </c:pt>
              </c:strCache>
            </c:strRef>
          </c:tx>
          <c:spPr>
            <a:ln w="28575" cap="rnd">
              <a:solidFill>
                <a:schemeClr val="accent3"/>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Sectors!$C$169:$T$169</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11</c:v>
                </c:pt>
                <c:pt idx="13">
                  <c:v>11</c:v>
                </c:pt>
                <c:pt idx="14">
                  <c:v>12</c:v>
                </c:pt>
                <c:pt idx="15">
                  <c:v>11</c:v>
                </c:pt>
              </c:numCache>
            </c:numRef>
          </c:val>
          <c:smooth val="0"/>
          <c:extLst>
            <c:ext xmlns:c16="http://schemas.microsoft.com/office/drawing/2014/chart" uri="{C3380CC4-5D6E-409C-BE32-E72D297353CC}">
              <c16:uniqueId val="{00000002-0E8C-2140-B359-0DCC810B1986}"/>
            </c:ext>
          </c:extLst>
        </c:ser>
        <c:ser>
          <c:idx val="3"/>
          <c:order val="3"/>
          <c:tx>
            <c:strRef>
              <c:f>Sectors!$B$170</c:f>
              <c:strCache>
                <c:ptCount val="1"/>
                <c:pt idx="0">
                  <c:v>Apparel, Leather &amp; Allied Products</c:v>
                </c:pt>
              </c:strCache>
            </c:strRef>
          </c:tx>
          <c:spPr>
            <a:ln w="28575" cap="rnd">
              <a:solidFill>
                <a:schemeClr val="accent4"/>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Sectors!$C$170:$T$170</c:f>
              <c:numCache>
                <c:formatCode>General</c:formatCode>
                <c:ptCount val="18"/>
                <c:pt idx="0">
                  <c:v>1</c:v>
                </c:pt>
                <c:pt idx="1">
                  <c:v>2</c:v>
                </c:pt>
                <c:pt idx="2">
                  <c:v>1</c:v>
                </c:pt>
                <c:pt idx="3">
                  <c:v>0</c:v>
                </c:pt>
                <c:pt idx="4">
                  <c:v>1</c:v>
                </c:pt>
                <c:pt idx="5">
                  <c:v>1</c:v>
                </c:pt>
                <c:pt idx="6">
                  <c:v>1</c:v>
                </c:pt>
                <c:pt idx="7">
                  <c:v>2</c:v>
                </c:pt>
                <c:pt idx="8">
                  <c:v>3</c:v>
                </c:pt>
                <c:pt idx="9">
                  <c:v>4</c:v>
                </c:pt>
                <c:pt idx="10">
                  <c:v>5</c:v>
                </c:pt>
                <c:pt idx="11">
                  <c:v>6</c:v>
                </c:pt>
                <c:pt idx="12">
                  <c:v>7</c:v>
                </c:pt>
                <c:pt idx="13">
                  <c:v>7</c:v>
                </c:pt>
                <c:pt idx="14">
                  <c:v>7</c:v>
                </c:pt>
                <c:pt idx="15">
                  <c:v>6</c:v>
                </c:pt>
              </c:numCache>
            </c:numRef>
          </c:val>
          <c:smooth val="0"/>
          <c:extLst>
            <c:ext xmlns:c16="http://schemas.microsoft.com/office/drawing/2014/chart" uri="{C3380CC4-5D6E-409C-BE32-E72D297353CC}">
              <c16:uniqueId val="{00000003-0E8C-2140-B359-0DCC810B1986}"/>
            </c:ext>
          </c:extLst>
        </c:ser>
        <c:ser>
          <c:idx val="4"/>
          <c:order val="4"/>
          <c:tx>
            <c:strRef>
              <c:f>Sectors!$B$171</c:f>
              <c:strCache>
                <c:ptCount val="1"/>
                <c:pt idx="0">
                  <c:v>Printing &amp; Related Support Activities</c:v>
                </c:pt>
              </c:strCache>
            </c:strRef>
          </c:tx>
          <c:spPr>
            <a:ln w="28575" cap="rnd">
              <a:solidFill>
                <a:schemeClr val="accent5"/>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Sectors!$C$171:$T$171</c:f>
              <c:numCache>
                <c:formatCode>General</c:formatCode>
                <c:ptCount val="18"/>
                <c:pt idx="0">
                  <c:v>1</c:v>
                </c:pt>
                <c:pt idx="1">
                  <c:v>0</c:v>
                </c:pt>
                <c:pt idx="2">
                  <c:v>1</c:v>
                </c:pt>
                <c:pt idx="3">
                  <c:v>2</c:v>
                </c:pt>
                <c:pt idx="4">
                  <c:v>3</c:v>
                </c:pt>
                <c:pt idx="5">
                  <c:v>4</c:v>
                </c:pt>
                <c:pt idx="6">
                  <c:v>5</c:v>
                </c:pt>
                <c:pt idx="7">
                  <c:v>6</c:v>
                </c:pt>
                <c:pt idx="8">
                  <c:v>7</c:v>
                </c:pt>
                <c:pt idx="9">
                  <c:v>7</c:v>
                </c:pt>
                <c:pt idx="10">
                  <c:v>8</c:v>
                </c:pt>
                <c:pt idx="11">
                  <c:v>7</c:v>
                </c:pt>
                <c:pt idx="12">
                  <c:v>6</c:v>
                </c:pt>
                <c:pt idx="13">
                  <c:v>7</c:v>
                </c:pt>
                <c:pt idx="14">
                  <c:v>8</c:v>
                </c:pt>
                <c:pt idx="15">
                  <c:v>9</c:v>
                </c:pt>
              </c:numCache>
            </c:numRef>
          </c:val>
          <c:smooth val="0"/>
          <c:extLst>
            <c:ext xmlns:c16="http://schemas.microsoft.com/office/drawing/2014/chart" uri="{C3380CC4-5D6E-409C-BE32-E72D297353CC}">
              <c16:uniqueId val="{00000004-0E8C-2140-B359-0DCC810B1986}"/>
            </c:ext>
          </c:extLst>
        </c:ser>
        <c:ser>
          <c:idx val="5"/>
          <c:order val="5"/>
          <c:tx>
            <c:strRef>
              <c:f>Sectors!$B$172</c:f>
              <c:strCache>
                <c:ptCount val="1"/>
                <c:pt idx="0">
                  <c:v>Primary Metals</c:v>
                </c:pt>
              </c:strCache>
            </c:strRef>
          </c:tx>
          <c:spPr>
            <a:ln w="28575" cap="rnd">
              <a:solidFill>
                <a:schemeClr val="accent6"/>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Sectors!$C$172:$T$172</c:f>
              <c:numCache>
                <c:formatCode>General</c:formatCode>
                <c:ptCount val="18"/>
                <c:pt idx="0">
                  <c:v>1</c:v>
                </c:pt>
                <c:pt idx="1">
                  <c:v>2</c:v>
                </c:pt>
                <c:pt idx="2">
                  <c:v>3</c:v>
                </c:pt>
                <c:pt idx="3">
                  <c:v>4</c:v>
                </c:pt>
                <c:pt idx="4">
                  <c:v>5</c:v>
                </c:pt>
                <c:pt idx="5">
                  <c:v>6</c:v>
                </c:pt>
                <c:pt idx="6">
                  <c:v>7</c:v>
                </c:pt>
                <c:pt idx="7">
                  <c:v>6</c:v>
                </c:pt>
                <c:pt idx="8">
                  <c:v>5</c:v>
                </c:pt>
                <c:pt idx="9">
                  <c:v>4</c:v>
                </c:pt>
                <c:pt idx="10">
                  <c:v>3</c:v>
                </c:pt>
                <c:pt idx="11">
                  <c:v>2</c:v>
                </c:pt>
                <c:pt idx="12">
                  <c:v>3</c:v>
                </c:pt>
                <c:pt idx="13">
                  <c:v>4</c:v>
                </c:pt>
                <c:pt idx="14">
                  <c:v>5</c:v>
                </c:pt>
                <c:pt idx="15">
                  <c:v>6</c:v>
                </c:pt>
              </c:numCache>
            </c:numRef>
          </c:val>
          <c:smooth val="0"/>
          <c:extLst>
            <c:ext xmlns:c16="http://schemas.microsoft.com/office/drawing/2014/chart" uri="{C3380CC4-5D6E-409C-BE32-E72D297353CC}">
              <c16:uniqueId val="{00000005-0E8C-2140-B359-0DCC810B1986}"/>
            </c:ext>
          </c:extLst>
        </c:ser>
        <c:ser>
          <c:idx val="6"/>
          <c:order val="6"/>
          <c:tx>
            <c:strRef>
              <c:f>Sectors!$B$173</c:f>
              <c:strCache>
                <c:ptCount val="1"/>
                <c:pt idx="0">
                  <c:v>Nonmetallic Mineral Products</c:v>
                </c:pt>
              </c:strCache>
            </c:strRef>
          </c:tx>
          <c:spPr>
            <a:ln w="28575" cap="rnd">
              <a:solidFill>
                <a:schemeClr val="accent1">
                  <a:lumMod val="6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Sectors!$C$173:$T$173</c:f>
              <c:numCache>
                <c:formatCode>General</c:formatCode>
                <c:ptCount val="18"/>
                <c:pt idx="0">
                  <c:v>1</c:v>
                </c:pt>
                <c:pt idx="1">
                  <c:v>0</c:v>
                </c:pt>
                <c:pt idx="2">
                  <c:v>1</c:v>
                </c:pt>
                <c:pt idx="3">
                  <c:v>2</c:v>
                </c:pt>
                <c:pt idx="4">
                  <c:v>3</c:v>
                </c:pt>
                <c:pt idx="5">
                  <c:v>4</c:v>
                </c:pt>
                <c:pt idx="6">
                  <c:v>5</c:v>
                </c:pt>
                <c:pt idx="7">
                  <c:v>6</c:v>
                </c:pt>
                <c:pt idx="8">
                  <c:v>7</c:v>
                </c:pt>
                <c:pt idx="9">
                  <c:v>8</c:v>
                </c:pt>
                <c:pt idx="10">
                  <c:v>7</c:v>
                </c:pt>
                <c:pt idx="11">
                  <c:v>6</c:v>
                </c:pt>
                <c:pt idx="12">
                  <c:v>5</c:v>
                </c:pt>
                <c:pt idx="13">
                  <c:v>4</c:v>
                </c:pt>
                <c:pt idx="14">
                  <c:v>3</c:v>
                </c:pt>
                <c:pt idx="15">
                  <c:v>4</c:v>
                </c:pt>
              </c:numCache>
            </c:numRef>
          </c:val>
          <c:smooth val="0"/>
          <c:extLst>
            <c:ext xmlns:c16="http://schemas.microsoft.com/office/drawing/2014/chart" uri="{C3380CC4-5D6E-409C-BE32-E72D297353CC}">
              <c16:uniqueId val="{00000006-0E8C-2140-B359-0DCC810B1986}"/>
            </c:ext>
          </c:extLst>
        </c:ser>
        <c:ser>
          <c:idx val="7"/>
          <c:order val="7"/>
          <c:tx>
            <c:strRef>
              <c:f>Sectors!$B$174</c:f>
              <c:strCache>
                <c:ptCount val="1"/>
                <c:pt idx="0">
                  <c:v>Petroleum &amp; Coal Products</c:v>
                </c:pt>
              </c:strCache>
            </c:strRef>
          </c:tx>
          <c:spPr>
            <a:ln w="28575" cap="rnd">
              <a:solidFill>
                <a:schemeClr val="accent2">
                  <a:lumMod val="6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Sectors!$C$174:$T$174</c:f>
              <c:numCache>
                <c:formatCode>General</c:formatCode>
                <c:ptCount val="18"/>
                <c:pt idx="0">
                  <c:v>1</c:v>
                </c:pt>
                <c:pt idx="1">
                  <c:v>2</c:v>
                </c:pt>
                <c:pt idx="2">
                  <c:v>3</c:v>
                </c:pt>
                <c:pt idx="3">
                  <c:v>4</c:v>
                </c:pt>
                <c:pt idx="4">
                  <c:v>5</c:v>
                </c:pt>
                <c:pt idx="5">
                  <c:v>6</c:v>
                </c:pt>
                <c:pt idx="6">
                  <c:v>7</c:v>
                </c:pt>
                <c:pt idx="7">
                  <c:v>8</c:v>
                </c:pt>
                <c:pt idx="8">
                  <c:v>9</c:v>
                </c:pt>
                <c:pt idx="9">
                  <c:v>10</c:v>
                </c:pt>
                <c:pt idx="10">
                  <c:v>10</c:v>
                </c:pt>
                <c:pt idx="11">
                  <c:v>11</c:v>
                </c:pt>
                <c:pt idx="12">
                  <c:v>10</c:v>
                </c:pt>
                <c:pt idx="13">
                  <c:v>11</c:v>
                </c:pt>
                <c:pt idx="14">
                  <c:v>12</c:v>
                </c:pt>
                <c:pt idx="15">
                  <c:v>13</c:v>
                </c:pt>
              </c:numCache>
            </c:numRef>
          </c:val>
          <c:smooth val="0"/>
          <c:extLst>
            <c:ext xmlns:c16="http://schemas.microsoft.com/office/drawing/2014/chart" uri="{C3380CC4-5D6E-409C-BE32-E72D297353CC}">
              <c16:uniqueId val="{00000007-0E8C-2140-B359-0DCC810B1986}"/>
            </c:ext>
          </c:extLst>
        </c:ser>
        <c:ser>
          <c:idx val="8"/>
          <c:order val="8"/>
          <c:tx>
            <c:strRef>
              <c:f>Sectors!$B$175</c:f>
              <c:strCache>
                <c:ptCount val="1"/>
                <c:pt idx="0">
                  <c:v>Plastics &amp; Rubber Products</c:v>
                </c:pt>
              </c:strCache>
            </c:strRef>
          </c:tx>
          <c:spPr>
            <a:ln w="28575" cap="rnd">
              <a:solidFill>
                <a:schemeClr val="accent3">
                  <a:lumMod val="6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Sectors!$C$175:$T$175</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11</c:v>
                </c:pt>
                <c:pt idx="13">
                  <c:v>12</c:v>
                </c:pt>
                <c:pt idx="14">
                  <c:v>13</c:v>
                </c:pt>
                <c:pt idx="15">
                  <c:v>14</c:v>
                </c:pt>
              </c:numCache>
            </c:numRef>
          </c:val>
          <c:smooth val="0"/>
          <c:extLst>
            <c:ext xmlns:c16="http://schemas.microsoft.com/office/drawing/2014/chart" uri="{C3380CC4-5D6E-409C-BE32-E72D297353CC}">
              <c16:uniqueId val="{00000008-0E8C-2140-B359-0DCC810B1986}"/>
            </c:ext>
          </c:extLst>
        </c:ser>
        <c:ser>
          <c:idx val="9"/>
          <c:order val="9"/>
          <c:tx>
            <c:strRef>
              <c:f>Sectors!$B$176</c:f>
              <c:strCache>
                <c:ptCount val="1"/>
                <c:pt idx="0">
                  <c:v>Miscellaneous Manufacturing</c:v>
                </c:pt>
              </c:strCache>
            </c:strRef>
          </c:tx>
          <c:spPr>
            <a:ln w="28575" cap="rnd">
              <a:solidFill>
                <a:schemeClr val="accent4">
                  <a:lumMod val="6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Sectors!$C$176:$T$176</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smooth val="0"/>
          <c:extLst>
            <c:ext xmlns:c16="http://schemas.microsoft.com/office/drawing/2014/chart" uri="{C3380CC4-5D6E-409C-BE32-E72D297353CC}">
              <c16:uniqueId val="{00000009-0E8C-2140-B359-0DCC810B1986}"/>
            </c:ext>
          </c:extLst>
        </c:ser>
        <c:ser>
          <c:idx val="10"/>
          <c:order val="10"/>
          <c:tx>
            <c:strRef>
              <c:f>Sectors!$B$177</c:f>
              <c:strCache>
                <c:ptCount val="1"/>
                <c:pt idx="0">
                  <c:v>Food, Beverage &amp; Tobacco Products</c:v>
                </c:pt>
              </c:strCache>
            </c:strRef>
          </c:tx>
          <c:spPr>
            <a:ln w="28575" cap="rnd">
              <a:solidFill>
                <a:schemeClr val="accent5">
                  <a:lumMod val="6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Sectors!$C$177:$T$177</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smooth val="0"/>
          <c:extLst>
            <c:ext xmlns:c16="http://schemas.microsoft.com/office/drawing/2014/chart" uri="{C3380CC4-5D6E-409C-BE32-E72D297353CC}">
              <c16:uniqueId val="{0000000A-0E8C-2140-B359-0DCC810B1986}"/>
            </c:ext>
          </c:extLst>
        </c:ser>
        <c:ser>
          <c:idx val="11"/>
          <c:order val="11"/>
          <c:tx>
            <c:strRef>
              <c:f>Sectors!$B$178</c:f>
              <c:strCache>
                <c:ptCount val="1"/>
                <c:pt idx="0">
                  <c:v>Furniture &amp; Related Products</c:v>
                </c:pt>
              </c:strCache>
            </c:strRef>
          </c:tx>
          <c:spPr>
            <a:ln w="28575" cap="rnd">
              <a:solidFill>
                <a:schemeClr val="accent6">
                  <a:lumMod val="6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Sectors!$C$178:$T$178</c:f>
              <c:numCache>
                <c:formatCode>General</c:formatCode>
                <c:ptCount val="18"/>
                <c:pt idx="0">
                  <c:v>1</c:v>
                </c:pt>
                <c:pt idx="1">
                  <c:v>0</c:v>
                </c:pt>
                <c:pt idx="2">
                  <c:v>-1</c:v>
                </c:pt>
                <c:pt idx="3">
                  <c:v>0</c:v>
                </c:pt>
                <c:pt idx="4">
                  <c:v>1</c:v>
                </c:pt>
                <c:pt idx="5">
                  <c:v>2</c:v>
                </c:pt>
                <c:pt idx="6">
                  <c:v>1</c:v>
                </c:pt>
                <c:pt idx="7">
                  <c:v>2</c:v>
                </c:pt>
                <c:pt idx="8">
                  <c:v>3</c:v>
                </c:pt>
                <c:pt idx="9">
                  <c:v>4</c:v>
                </c:pt>
                <c:pt idx="10">
                  <c:v>5</c:v>
                </c:pt>
                <c:pt idx="11">
                  <c:v>6</c:v>
                </c:pt>
                <c:pt idx="12">
                  <c:v>6</c:v>
                </c:pt>
                <c:pt idx="13">
                  <c:v>7</c:v>
                </c:pt>
                <c:pt idx="14">
                  <c:v>8</c:v>
                </c:pt>
                <c:pt idx="15">
                  <c:v>9</c:v>
                </c:pt>
              </c:numCache>
            </c:numRef>
          </c:val>
          <c:smooth val="0"/>
          <c:extLst>
            <c:ext xmlns:c16="http://schemas.microsoft.com/office/drawing/2014/chart" uri="{C3380CC4-5D6E-409C-BE32-E72D297353CC}">
              <c16:uniqueId val="{0000000B-0E8C-2140-B359-0DCC810B1986}"/>
            </c:ext>
          </c:extLst>
        </c:ser>
        <c:ser>
          <c:idx val="12"/>
          <c:order val="12"/>
          <c:tx>
            <c:strRef>
              <c:f>Sectors!$B$179</c:f>
              <c:strCache>
                <c:ptCount val="1"/>
                <c:pt idx="0">
                  <c:v>Transportation Equipment</c:v>
                </c:pt>
              </c:strCache>
            </c:strRef>
          </c:tx>
          <c:spPr>
            <a:ln w="28575" cap="rnd">
              <a:solidFill>
                <a:schemeClr val="accent1">
                  <a:lumMod val="80000"/>
                  <a:lumOff val="2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Sectors!$C$179:$T$179</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smooth val="0"/>
          <c:extLst>
            <c:ext xmlns:c16="http://schemas.microsoft.com/office/drawing/2014/chart" uri="{C3380CC4-5D6E-409C-BE32-E72D297353CC}">
              <c16:uniqueId val="{0000000C-0E8C-2140-B359-0DCC810B1986}"/>
            </c:ext>
          </c:extLst>
        </c:ser>
        <c:ser>
          <c:idx val="13"/>
          <c:order val="13"/>
          <c:tx>
            <c:strRef>
              <c:f>Sectors!$B$180</c:f>
              <c:strCache>
                <c:ptCount val="1"/>
                <c:pt idx="0">
                  <c:v>Chemical Products</c:v>
                </c:pt>
              </c:strCache>
            </c:strRef>
          </c:tx>
          <c:spPr>
            <a:ln w="28575" cap="rnd">
              <a:solidFill>
                <a:schemeClr val="accent2">
                  <a:lumMod val="80000"/>
                  <a:lumOff val="2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Sectors!$C$180:$T$180</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smooth val="0"/>
          <c:extLst>
            <c:ext xmlns:c16="http://schemas.microsoft.com/office/drawing/2014/chart" uri="{C3380CC4-5D6E-409C-BE32-E72D297353CC}">
              <c16:uniqueId val="{0000000D-0E8C-2140-B359-0DCC810B1986}"/>
            </c:ext>
          </c:extLst>
        </c:ser>
        <c:ser>
          <c:idx val="14"/>
          <c:order val="14"/>
          <c:tx>
            <c:strRef>
              <c:f>Sectors!$B$181</c:f>
              <c:strCache>
                <c:ptCount val="1"/>
                <c:pt idx="0">
                  <c:v>Fabricated Metal Products</c:v>
                </c:pt>
              </c:strCache>
            </c:strRef>
          </c:tx>
          <c:spPr>
            <a:ln w="28575" cap="rnd">
              <a:solidFill>
                <a:schemeClr val="accent3">
                  <a:lumMod val="80000"/>
                  <a:lumOff val="2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Sectors!$C$181:$T$181</c:f>
              <c:numCache>
                <c:formatCode>General</c:formatCode>
                <c:ptCount val="18"/>
                <c:pt idx="0">
                  <c:v>1</c:v>
                </c:pt>
                <c:pt idx="1">
                  <c:v>2</c:v>
                </c:pt>
                <c:pt idx="2">
                  <c:v>3</c:v>
                </c:pt>
                <c:pt idx="3">
                  <c:v>4</c:v>
                </c:pt>
                <c:pt idx="4">
                  <c:v>5</c:v>
                </c:pt>
                <c:pt idx="5">
                  <c:v>6</c:v>
                </c:pt>
                <c:pt idx="6">
                  <c:v>7</c:v>
                </c:pt>
                <c:pt idx="7">
                  <c:v>8</c:v>
                </c:pt>
                <c:pt idx="8">
                  <c:v>9</c:v>
                </c:pt>
                <c:pt idx="9">
                  <c:v>10</c:v>
                </c:pt>
                <c:pt idx="10">
                  <c:v>9</c:v>
                </c:pt>
                <c:pt idx="11">
                  <c:v>9</c:v>
                </c:pt>
                <c:pt idx="12">
                  <c:v>8</c:v>
                </c:pt>
                <c:pt idx="13">
                  <c:v>9</c:v>
                </c:pt>
                <c:pt idx="14">
                  <c:v>10</c:v>
                </c:pt>
                <c:pt idx="15">
                  <c:v>11</c:v>
                </c:pt>
              </c:numCache>
            </c:numRef>
          </c:val>
          <c:smooth val="0"/>
          <c:extLst>
            <c:ext xmlns:c16="http://schemas.microsoft.com/office/drawing/2014/chart" uri="{C3380CC4-5D6E-409C-BE32-E72D297353CC}">
              <c16:uniqueId val="{0000000E-0E8C-2140-B359-0DCC810B1986}"/>
            </c:ext>
          </c:extLst>
        </c:ser>
        <c:ser>
          <c:idx val="15"/>
          <c:order val="15"/>
          <c:tx>
            <c:strRef>
              <c:f>Sectors!$B$182</c:f>
              <c:strCache>
                <c:ptCount val="1"/>
                <c:pt idx="0">
                  <c:v>Electrical Equipment, Appliances &amp; Components</c:v>
                </c:pt>
              </c:strCache>
            </c:strRef>
          </c:tx>
          <c:spPr>
            <a:ln w="28575" cap="rnd">
              <a:solidFill>
                <a:schemeClr val="accent4">
                  <a:lumMod val="80000"/>
                  <a:lumOff val="2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Sectors!$C$182:$T$182</c:f>
              <c:numCache>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smooth val="0"/>
          <c:extLst>
            <c:ext xmlns:c16="http://schemas.microsoft.com/office/drawing/2014/chart" uri="{C3380CC4-5D6E-409C-BE32-E72D297353CC}">
              <c16:uniqueId val="{0000000F-0E8C-2140-B359-0DCC810B1986}"/>
            </c:ext>
          </c:extLst>
        </c:ser>
        <c:ser>
          <c:idx val="16"/>
          <c:order val="16"/>
          <c:tx>
            <c:strRef>
              <c:f>Sectors!$B$183</c:f>
              <c:strCache>
                <c:ptCount val="1"/>
                <c:pt idx="0">
                  <c:v>Textile Mills</c:v>
                </c:pt>
              </c:strCache>
            </c:strRef>
          </c:tx>
          <c:spPr>
            <a:ln w="28575" cap="rnd">
              <a:solidFill>
                <a:schemeClr val="accent5">
                  <a:lumMod val="80000"/>
                  <a:lumOff val="2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Sectors!$C$183:$T$183</c:f>
              <c:numCache>
                <c:formatCode>General</c:formatCode>
                <c:ptCount val="18"/>
                <c:pt idx="0">
                  <c:v>-1</c:v>
                </c:pt>
                <c:pt idx="1">
                  <c:v>0</c:v>
                </c:pt>
                <c:pt idx="2">
                  <c:v>1</c:v>
                </c:pt>
                <c:pt idx="3">
                  <c:v>2</c:v>
                </c:pt>
                <c:pt idx="4">
                  <c:v>2</c:v>
                </c:pt>
                <c:pt idx="5">
                  <c:v>3</c:v>
                </c:pt>
                <c:pt idx="6">
                  <c:v>4</c:v>
                </c:pt>
                <c:pt idx="7">
                  <c:v>5</c:v>
                </c:pt>
                <c:pt idx="8">
                  <c:v>6</c:v>
                </c:pt>
                <c:pt idx="9">
                  <c:v>7</c:v>
                </c:pt>
                <c:pt idx="10">
                  <c:v>8</c:v>
                </c:pt>
                <c:pt idx="11">
                  <c:v>9</c:v>
                </c:pt>
                <c:pt idx="12">
                  <c:v>10</c:v>
                </c:pt>
                <c:pt idx="13">
                  <c:v>11</c:v>
                </c:pt>
                <c:pt idx="14">
                  <c:v>12</c:v>
                </c:pt>
                <c:pt idx="15">
                  <c:v>13</c:v>
                </c:pt>
              </c:numCache>
            </c:numRef>
          </c:val>
          <c:smooth val="0"/>
          <c:extLst>
            <c:ext xmlns:c16="http://schemas.microsoft.com/office/drawing/2014/chart" uri="{C3380CC4-5D6E-409C-BE32-E72D297353CC}">
              <c16:uniqueId val="{00000010-0E8C-2140-B359-0DCC810B1986}"/>
            </c:ext>
          </c:extLst>
        </c:ser>
        <c:ser>
          <c:idx val="17"/>
          <c:order val="17"/>
          <c:tx>
            <c:strRef>
              <c:f>Sectors!$B$184</c:f>
              <c:strCache>
                <c:ptCount val="1"/>
                <c:pt idx="0">
                  <c:v>Wood Products</c:v>
                </c:pt>
              </c:strCache>
            </c:strRef>
          </c:tx>
          <c:spPr>
            <a:ln w="28575" cap="rnd">
              <a:solidFill>
                <a:schemeClr val="accent6">
                  <a:lumMod val="80000"/>
                  <a:lumOff val="20000"/>
                </a:schemeClr>
              </a:solidFill>
              <a:round/>
            </a:ln>
            <a:effectLst/>
          </c:spPr>
          <c:marker>
            <c:symbol val="none"/>
          </c:marker>
          <c:cat>
            <c:strRef>
              <c:f>Sectors!$C$164:$T$166</c:f>
              <c:strCache>
                <c:ptCount val="16"/>
                <c:pt idx="0">
                  <c:v>Jan-18</c:v>
                </c:pt>
                <c:pt idx="1">
                  <c:v>Feb-18</c:v>
                </c:pt>
                <c:pt idx="2">
                  <c:v>Mar-18</c:v>
                </c:pt>
                <c:pt idx="3">
                  <c:v>Apr-18</c:v>
                </c:pt>
                <c:pt idx="4">
                  <c:v>May-18</c:v>
                </c:pt>
                <c:pt idx="5">
                  <c:v>Jun-18</c:v>
                </c:pt>
                <c:pt idx="6">
                  <c:v>Jul-18</c:v>
                </c:pt>
                <c:pt idx="7">
                  <c:v>Aug-18</c:v>
                </c:pt>
                <c:pt idx="8">
                  <c:v>Sep-18</c:v>
                </c:pt>
                <c:pt idx="9">
                  <c:v>Oct-18</c:v>
                </c:pt>
                <c:pt idx="10">
                  <c:v>Nov-18</c:v>
                </c:pt>
                <c:pt idx="11">
                  <c:v>Dec-18</c:v>
                </c:pt>
                <c:pt idx="12">
                  <c:v>Jan-19</c:v>
                </c:pt>
                <c:pt idx="13">
                  <c:v>Feb-19</c:v>
                </c:pt>
                <c:pt idx="14">
                  <c:v>Mar-19</c:v>
                </c:pt>
                <c:pt idx="15">
                  <c:v>Apr-19</c:v>
                </c:pt>
              </c:strCache>
            </c:strRef>
          </c:cat>
          <c:val>
            <c:numRef>
              <c:f>Sectors!$C$184:$T$184</c:f>
              <c:numCache>
                <c:formatCode>General</c:formatCode>
                <c:ptCount val="18"/>
                <c:pt idx="0">
                  <c:v>-1</c:v>
                </c:pt>
                <c:pt idx="1">
                  <c:v>-2</c:v>
                </c:pt>
                <c:pt idx="2">
                  <c:v>-2</c:v>
                </c:pt>
                <c:pt idx="3">
                  <c:v>-1</c:v>
                </c:pt>
                <c:pt idx="4">
                  <c:v>0</c:v>
                </c:pt>
                <c:pt idx="5">
                  <c:v>0</c:v>
                </c:pt>
                <c:pt idx="6">
                  <c:v>1</c:v>
                </c:pt>
                <c:pt idx="7">
                  <c:v>2</c:v>
                </c:pt>
                <c:pt idx="8">
                  <c:v>1</c:v>
                </c:pt>
                <c:pt idx="9">
                  <c:v>1</c:v>
                </c:pt>
                <c:pt idx="10">
                  <c:v>0</c:v>
                </c:pt>
                <c:pt idx="11">
                  <c:v>0</c:v>
                </c:pt>
                <c:pt idx="12">
                  <c:v>1</c:v>
                </c:pt>
                <c:pt idx="13">
                  <c:v>2</c:v>
                </c:pt>
                <c:pt idx="14">
                  <c:v>3</c:v>
                </c:pt>
                <c:pt idx="15">
                  <c:v>4</c:v>
                </c:pt>
              </c:numCache>
            </c:numRef>
          </c:val>
          <c:smooth val="0"/>
          <c:extLst>
            <c:ext xmlns:c16="http://schemas.microsoft.com/office/drawing/2014/chart" uri="{C3380CC4-5D6E-409C-BE32-E72D297353CC}">
              <c16:uniqueId val="{00000011-0E8C-2140-B359-0DCC810B1986}"/>
            </c:ext>
          </c:extLst>
        </c:ser>
        <c:ser>
          <c:idx val="18"/>
          <c:order val="18"/>
          <c:spPr>
            <a:ln w="28575" cap="rnd">
              <a:solidFill>
                <a:schemeClr val="accent1">
                  <a:lumMod val="80000"/>
                </a:schemeClr>
              </a:solidFill>
              <a:round/>
            </a:ln>
            <a:effectLst/>
          </c:spPr>
          <c:marker>
            <c:symbol val="none"/>
          </c:marker>
          <c:cat>
            <c:strRef>
              <c:f>Sectors!$B$164</c:f>
              <c:strCache>
                <c:ptCount val="1"/>
                <c:pt idx="0">
                  <c:v>TOTALS(Sum cumm.score)</c:v>
                </c:pt>
              </c:strCache>
            </c:strRef>
          </c:cat>
          <c:val>
            <c:numRef>
              <c:f>Sectors!$B$165</c:f>
              <c:numCache>
                <c:formatCode>General</c:formatCode>
                <c:ptCount val="1"/>
              </c:numCache>
            </c:numRef>
          </c:val>
          <c:smooth val="0"/>
          <c:extLst>
            <c:ext xmlns:c16="http://schemas.microsoft.com/office/drawing/2014/chart" uri="{C3380CC4-5D6E-409C-BE32-E72D297353CC}">
              <c16:uniqueId val="{00000012-0E8C-2140-B359-0DCC810B1986}"/>
            </c:ext>
          </c:extLst>
        </c:ser>
        <c:ser>
          <c:idx val="19"/>
          <c:order val="19"/>
          <c:spPr>
            <a:ln w="28575" cap="rnd">
              <a:solidFill>
                <a:schemeClr val="accent2">
                  <a:lumMod val="80000"/>
                </a:schemeClr>
              </a:solidFill>
              <a:round/>
            </a:ln>
            <a:effectLst/>
          </c:spPr>
          <c:marker>
            <c:symbol val="none"/>
          </c:marker>
          <c:cat>
            <c:strRef>
              <c:f>Sectors!$B$164</c:f>
              <c:strCache>
                <c:ptCount val="1"/>
                <c:pt idx="0">
                  <c:v>TOTALS(Sum cumm.score)</c:v>
                </c:pt>
              </c:strCache>
            </c:strRef>
          </c:cat>
          <c:val>
            <c:numRef>
              <c:f>Sectors!$B$166</c:f>
              <c:numCache>
                <c:formatCode>General</c:formatCode>
                <c:ptCount val="1"/>
              </c:numCache>
            </c:numRef>
          </c:val>
          <c:smooth val="0"/>
          <c:extLst>
            <c:ext xmlns:c16="http://schemas.microsoft.com/office/drawing/2014/chart" uri="{C3380CC4-5D6E-409C-BE32-E72D297353CC}">
              <c16:uniqueId val="{00000013-0E8C-2140-B359-0DCC810B1986}"/>
            </c:ext>
          </c:extLst>
        </c:ser>
        <c:dLbls>
          <c:showLegendKey val="0"/>
          <c:showVal val="0"/>
          <c:showCatName val="0"/>
          <c:showSerName val="0"/>
          <c:showPercent val="0"/>
          <c:showBubbleSize val="0"/>
        </c:dLbls>
        <c:smooth val="0"/>
        <c:axId val="2008286479"/>
        <c:axId val="1987490319"/>
      </c:lineChart>
      <c:dateAx>
        <c:axId val="2008286479"/>
        <c:scaling>
          <c:orientation val="minMax"/>
        </c:scaling>
        <c:delete val="0"/>
        <c:axPos val="b"/>
        <c:numFmt formatCode="mmm\-yy"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7490319"/>
        <c:crossesAt val="0"/>
        <c:auto val="1"/>
        <c:lblOffset val="100"/>
        <c:baseTimeUnit val="months"/>
      </c:dateAx>
      <c:valAx>
        <c:axId val="1987490319"/>
        <c:scaling>
          <c:orientation val="minMax"/>
          <c:max val="18"/>
          <c:min val="-1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286479"/>
        <c:crosses val="autoZero"/>
        <c:crossBetween val="between"/>
      </c:valAx>
      <c:spPr>
        <a:noFill/>
        <a:ln>
          <a:noFill/>
        </a:ln>
        <a:effectLst/>
      </c:spPr>
    </c:plotArea>
    <c:legend>
      <c:legendPos val="b"/>
      <c:layout>
        <c:manualLayout>
          <c:xMode val="edge"/>
          <c:yMode val="edge"/>
          <c:x val="1.9166380649157447E-2"/>
          <c:y val="0.70783280282447647"/>
          <c:w val="0.97209238309302237"/>
          <c:h val="0.2778676659074028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27</xdr:col>
      <xdr:colOff>819150</xdr:colOff>
      <xdr:row>818</xdr:row>
      <xdr:rowOff>0</xdr:rowOff>
    </xdr:from>
    <xdr:to>
      <xdr:col>35</xdr:col>
      <xdr:colOff>0</xdr:colOff>
      <xdr:row>832</xdr:row>
      <xdr:rowOff>0</xdr:rowOff>
    </xdr:to>
    <xdr:graphicFrame macro="">
      <xdr:nvGraphicFramePr>
        <xdr:cNvPr id="3" name="Chart 2">
          <a:extLst>
            <a:ext uri="{FF2B5EF4-FFF2-40B4-BE49-F238E27FC236}">
              <a16:creationId xmlns:a16="http://schemas.microsoft.com/office/drawing/2014/main" id="{6DEA18D4-E7E9-994F-B796-3FBD05F375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820473</xdr:colOff>
      <xdr:row>802</xdr:row>
      <xdr:rowOff>0</xdr:rowOff>
    </xdr:from>
    <xdr:to>
      <xdr:col>34</xdr:col>
      <xdr:colOff>822301</xdr:colOff>
      <xdr:row>816</xdr:row>
      <xdr:rowOff>197534</xdr:rowOff>
    </xdr:to>
    <xdr:graphicFrame macro="">
      <xdr:nvGraphicFramePr>
        <xdr:cNvPr id="4" name="Chart 3">
          <a:extLst>
            <a:ext uri="{FF2B5EF4-FFF2-40B4-BE49-F238E27FC236}">
              <a16:creationId xmlns:a16="http://schemas.microsoft.com/office/drawing/2014/main" id="{FA09667A-541A-F849-B1BC-14C034562A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3163</xdr:colOff>
      <xdr:row>785</xdr:row>
      <xdr:rowOff>3910</xdr:rowOff>
    </xdr:from>
    <xdr:to>
      <xdr:col>35</xdr:col>
      <xdr:colOff>1</xdr:colOff>
      <xdr:row>801</xdr:row>
      <xdr:rowOff>0</xdr:rowOff>
    </xdr:to>
    <xdr:graphicFrame macro="">
      <xdr:nvGraphicFramePr>
        <xdr:cNvPr id="5" name="Chart 4">
          <a:extLst>
            <a:ext uri="{FF2B5EF4-FFF2-40B4-BE49-F238E27FC236}">
              <a16:creationId xmlns:a16="http://schemas.microsoft.com/office/drawing/2014/main" id="{4CA8ADF7-91B5-064F-BEE2-169B726B5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797</xdr:row>
      <xdr:rowOff>186267</xdr:rowOff>
    </xdr:from>
    <xdr:to>
      <xdr:col>20</xdr:col>
      <xdr:colOff>4896</xdr:colOff>
      <xdr:row>814</xdr:row>
      <xdr:rowOff>198967</xdr:rowOff>
    </xdr:to>
    <xdr:graphicFrame macro="">
      <xdr:nvGraphicFramePr>
        <xdr:cNvPr id="7" name="Chart 6">
          <a:extLst>
            <a:ext uri="{FF2B5EF4-FFF2-40B4-BE49-F238E27FC236}">
              <a16:creationId xmlns:a16="http://schemas.microsoft.com/office/drawing/2014/main" id="{5AEED7CE-796A-CB49-95EE-32D7045780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838746</xdr:colOff>
      <xdr:row>769</xdr:row>
      <xdr:rowOff>9137</xdr:rowOff>
    </xdr:from>
    <xdr:to>
      <xdr:col>34</xdr:col>
      <xdr:colOff>822301</xdr:colOff>
      <xdr:row>783</xdr:row>
      <xdr:rowOff>197536</xdr:rowOff>
    </xdr:to>
    <xdr:graphicFrame macro="">
      <xdr:nvGraphicFramePr>
        <xdr:cNvPr id="8" name="Chart 7">
          <a:extLst>
            <a:ext uri="{FF2B5EF4-FFF2-40B4-BE49-F238E27FC236}">
              <a16:creationId xmlns:a16="http://schemas.microsoft.com/office/drawing/2014/main" id="{57DB626D-F5AD-D847-BADC-2A75ACE921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0</xdr:colOff>
      <xdr:row>745</xdr:row>
      <xdr:rowOff>190500</xdr:rowOff>
    </xdr:from>
    <xdr:to>
      <xdr:col>35</xdr:col>
      <xdr:colOff>32712</xdr:colOff>
      <xdr:row>767</xdr:row>
      <xdr:rowOff>84666</xdr:rowOff>
    </xdr:to>
    <xdr:graphicFrame macro="">
      <xdr:nvGraphicFramePr>
        <xdr:cNvPr id="9" name="Chart 8">
          <a:extLst>
            <a:ext uri="{FF2B5EF4-FFF2-40B4-BE49-F238E27FC236}">
              <a16:creationId xmlns:a16="http://schemas.microsoft.com/office/drawing/2014/main" id="{84C1C871-F0FF-F841-A748-0D189B399E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0.00237</cdr:x>
      <cdr:y>0.00676</cdr:y>
    </cdr:from>
    <cdr:to>
      <cdr:x>0.01864</cdr:x>
      <cdr:y>0.04419</cdr:y>
    </cdr:to>
    <cdr:cxnSp macro="">
      <cdr:nvCxnSpPr>
        <cdr:cNvPr id="22" name="Straight Connector 21">
          <a:extLst xmlns:a="http://schemas.openxmlformats.org/drawingml/2006/main">
            <a:ext uri="{FF2B5EF4-FFF2-40B4-BE49-F238E27FC236}">
              <a16:creationId xmlns:a16="http://schemas.microsoft.com/office/drawing/2014/main" id="{7FFF2EE7-3E75-C345-81C2-7B4638D244E3}"/>
            </a:ext>
          </a:extLst>
        </cdr:cNvPr>
        <cdr:cNvCxnSpPr/>
      </cdr:nvCxnSpPr>
      <cdr:spPr>
        <a:xfrm xmlns:a="http://schemas.openxmlformats.org/drawingml/2006/main" flipV="1">
          <a:off x="50800" y="50800"/>
          <a:ext cx="349250" cy="281215"/>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dr:relSizeAnchor xmlns:cdr="http://schemas.openxmlformats.org/drawingml/2006/chartDrawing">
    <cdr:from>
      <cdr:x>0.00237</cdr:x>
      <cdr:y>0.00676</cdr:y>
    </cdr:from>
    <cdr:to>
      <cdr:x>0.01864</cdr:x>
      <cdr:y>0.04419</cdr:y>
    </cdr:to>
    <cdr:cxnSp macro="">
      <cdr:nvCxnSpPr>
        <cdr:cNvPr id="23" name="Straight Connector 22">
          <a:extLst xmlns:a="http://schemas.openxmlformats.org/drawingml/2006/main">
            <a:ext uri="{FF2B5EF4-FFF2-40B4-BE49-F238E27FC236}">
              <a16:creationId xmlns:a16="http://schemas.microsoft.com/office/drawing/2014/main" id="{7FFF2EE7-3E75-C345-81C2-7B4638D244E3}"/>
            </a:ext>
          </a:extLst>
        </cdr:cNvPr>
        <cdr:cNvCxnSpPr/>
      </cdr:nvCxnSpPr>
      <cdr:spPr>
        <a:xfrm xmlns:a="http://schemas.openxmlformats.org/drawingml/2006/main" flipV="1">
          <a:off x="50800" y="50800"/>
          <a:ext cx="349250" cy="281215"/>
        </a:xfrm>
        <a:prstGeom xmlns:a="http://schemas.openxmlformats.org/drawingml/2006/main" prst="line">
          <a:avLst/>
        </a:prstGeom>
      </cdr:spPr>
      <cdr:style>
        <a:lnRef xmlns:a="http://schemas.openxmlformats.org/drawingml/2006/main" idx="3">
          <a:schemeClr val="dk1"/>
        </a:lnRef>
        <a:fillRef xmlns:a="http://schemas.openxmlformats.org/drawingml/2006/main" idx="0">
          <a:schemeClr val="dk1"/>
        </a:fillRef>
        <a:effectRef xmlns:a="http://schemas.openxmlformats.org/drawingml/2006/main" idx="2">
          <a:schemeClr val="dk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xdr:twoCellAnchor>
    <xdr:from>
      <xdr:col>29</xdr:col>
      <xdr:colOff>675530</xdr:colOff>
      <xdr:row>163</xdr:row>
      <xdr:rowOff>1370</xdr:rowOff>
    </xdr:from>
    <xdr:to>
      <xdr:col>45</xdr:col>
      <xdr:colOff>662020</xdr:colOff>
      <xdr:row>184</xdr:row>
      <xdr:rowOff>1370</xdr:rowOff>
    </xdr:to>
    <xdr:graphicFrame macro="">
      <xdr:nvGraphicFramePr>
        <xdr:cNvPr id="5" name="Chart 4">
          <a:extLst>
            <a:ext uri="{FF2B5EF4-FFF2-40B4-BE49-F238E27FC236}">
              <a16:creationId xmlns:a16="http://schemas.microsoft.com/office/drawing/2014/main" id="{FA138F28-4EE5-5D44-A629-53C14CB745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677332</xdr:colOff>
      <xdr:row>134</xdr:row>
      <xdr:rowOff>0</xdr:rowOff>
    </xdr:from>
    <xdr:to>
      <xdr:col>45</xdr:col>
      <xdr:colOff>668313</xdr:colOff>
      <xdr:row>160</xdr:row>
      <xdr:rowOff>248846</xdr:rowOff>
    </xdr:to>
    <xdr:graphicFrame macro="">
      <xdr:nvGraphicFramePr>
        <xdr:cNvPr id="6" name="Chart 5">
          <a:extLst>
            <a:ext uri="{FF2B5EF4-FFF2-40B4-BE49-F238E27FC236}">
              <a16:creationId xmlns:a16="http://schemas.microsoft.com/office/drawing/2014/main" id="{4CD30FEC-BBC9-FA4F-8E65-270CE0112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andongrubb/Desktop/ExcelStockSheets/MultipleTimingSP500Distribution.xlt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92069d9bd82a7472/Documents/USbuildingPERMI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yDistribution"/>
      <sheetName val="Vol Calculations"/>
      <sheetName val="Chart Porn"/>
      <sheetName val="Sector Screener"/>
      <sheetName val="VIX Implied S&amp;P500 moves"/>
      <sheetName val="GDP S&amp;P500 Relationship"/>
      <sheetName val="Value Chain"/>
      <sheetName val="Watchlist"/>
    </sheetNames>
    <sheetDataSet>
      <sheetData sheetId="0" refreshError="1"/>
      <sheetData sheetId="1" refreshError="1"/>
      <sheetData sheetId="2" refreshError="1"/>
      <sheetData sheetId="3" refreshError="1"/>
      <sheetData sheetId="4" refreshError="1"/>
      <sheetData sheetId="5">
        <row r="2">
          <cell r="A2" t="str">
            <v>Date</v>
          </cell>
          <cell r="B2" t="str">
            <v>Adj Close</v>
          </cell>
        </row>
        <row r="3">
          <cell r="A3">
            <v>18264</v>
          </cell>
          <cell r="B3">
            <v>17.049999</v>
          </cell>
        </row>
        <row r="4">
          <cell r="A4">
            <v>18295</v>
          </cell>
          <cell r="B4">
            <v>17.219999000000001</v>
          </cell>
        </row>
        <row r="5">
          <cell r="A5">
            <v>18323</v>
          </cell>
          <cell r="B5">
            <v>17.290001</v>
          </cell>
        </row>
        <row r="6">
          <cell r="A6">
            <v>18354</v>
          </cell>
          <cell r="B6">
            <v>18.07</v>
          </cell>
        </row>
        <row r="7">
          <cell r="A7">
            <v>18384</v>
          </cell>
          <cell r="B7">
            <v>18.780000999999999</v>
          </cell>
        </row>
        <row r="8">
          <cell r="A8">
            <v>18415</v>
          </cell>
          <cell r="B8">
            <v>17.690000999999999</v>
          </cell>
        </row>
        <row r="9">
          <cell r="A9">
            <v>18445</v>
          </cell>
          <cell r="B9">
            <v>17.84</v>
          </cell>
        </row>
        <row r="10">
          <cell r="A10">
            <v>18476</v>
          </cell>
          <cell r="B10">
            <v>18.420000000000002</v>
          </cell>
        </row>
        <row r="11">
          <cell r="A11">
            <v>18507</v>
          </cell>
          <cell r="B11">
            <v>19.450001</v>
          </cell>
        </row>
        <row r="12">
          <cell r="A12">
            <v>18537</v>
          </cell>
          <cell r="B12">
            <v>19.530000999999999</v>
          </cell>
        </row>
        <row r="13">
          <cell r="A13">
            <v>18568</v>
          </cell>
          <cell r="B13">
            <v>19.510000000000002</v>
          </cell>
        </row>
        <row r="14">
          <cell r="A14">
            <v>18598</v>
          </cell>
          <cell r="B14">
            <v>20.41</v>
          </cell>
        </row>
        <row r="15">
          <cell r="A15">
            <v>18629</v>
          </cell>
          <cell r="B15">
            <v>21.66</v>
          </cell>
        </row>
        <row r="16">
          <cell r="A16">
            <v>18660</v>
          </cell>
          <cell r="B16">
            <v>21.799999</v>
          </cell>
        </row>
        <row r="17">
          <cell r="A17">
            <v>18688</v>
          </cell>
          <cell r="B17">
            <v>21.4</v>
          </cell>
        </row>
        <row r="18">
          <cell r="A18">
            <v>18719</v>
          </cell>
          <cell r="B18">
            <v>22.43</v>
          </cell>
        </row>
        <row r="19">
          <cell r="A19">
            <v>18749</v>
          </cell>
          <cell r="B19">
            <v>21.52</v>
          </cell>
        </row>
        <row r="20">
          <cell r="A20">
            <v>18780</v>
          </cell>
          <cell r="B20">
            <v>20.959999</v>
          </cell>
        </row>
        <row r="21">
          <cell r="A21">
            <v>18810</v>
          </cell>
          <cell r="B21">
            <v>22.4</v>
          </cell>
        </row>
        <row r="22">
          <cell r="A22">
            <v>18841</v>
          </cell>
          <cell r="B22">
            <v>23.280000999999999</v>
          </cell>
        </row>
        <row r="23">
          <cell r="A23">
            <v>18872</v>
          </cell>
          <cell r="B23">
            <v>23.26</v>
          </cell>
        </row>
        <row r="24">
          <cell r="A24">
            <v>18902</v>
          </cell>
          <cell r="B24">
            <v>22.940000999999999</v>
          </cell>
        </row>
        <row r="25">
          <cell r="A25">
            <v>18933</v>
          </cell>
          <cell r="B25">
            <v>22.879999000000002</v>
          </cell>
        </row>
        <row r="26">
          <cell r="A26">
            <v>18963</v>
          </cell>
          <cell r="B26">
            <v>23.77</v>
          </cell>
        </row>
        <row r="27">
          <cell r="A27">
            <v>18994</v>
          </cell>
          <cell r="B27">
            <v>24.139999</v>
          </cell>
        </row>
        <row r="28">
          <cell r="A28">
            <v>19025</v>
          </cell>
          <cell r="B28">
            <v>23.26</v>
          </cell>
        </row>
        <row r="29">
          <cell r="A29">
            <v>19054</v>
          </cell>
          <cell r="B29">
            <v>24.370000999999998</v>
          </cell>
        </row>
        <row r="30">
          <cell r="A30">
            <v>19085</v>
          </cell>
          <cell r="B30">
            <v>23.32</v>
          </cell>
        </row>
        <row r="31">
          <cell r="A31">
            <v>19115</v>
          </cell>
          <cell r="B31">
            <v>23.860001</v>
          </cell>
        </row>
        <row r="32">
          <cell r="A32">
            <v>19146</v>
          </cell>
          <cell r="B32">
            <v>24.959999</v>
          </cell>
        </row>
        <row r="33">
          <cell r="A33">
            <v>19176</v>
          </cell>
          <cell r="B33">
            <v>25.4</v>
          </cell>
        </row>
        <row r="34">
          <cell r="A34">
            <v>19207</v>
          </cell>
          <cell r="B34">
            <v>25.030000999999999</v>
          </cell>
        </row>
        <row r="35">
          <cell r="A35">
            <v>19238</v>
          </cell>
          <cell r="B35">
            <v>24.540001</v>
          </cell>
        </row>
        <row r="36">
          <cell r="A36">
            <v>19268</v>
          </cell>
          <cell r="B36">
            <v>24.52</v>
          </cell>
        </row>
        <row r="37">
          <cell r="A37">
            <v>19299</v>
          </cell>
          <cell r="B37">
            <v>25.66</v>
          </cell>
        </row>
        <row r="38">
          <cell r="A38">
            <v>19329</v>
          </cell>
          <cell r="B38">
            <v>26.57</v>
          </cell>
        </row>
        <row r="39">
          <cell r="A39">
            <v>19360</v>
          </cell>
          <cell r="B39">
            <v>26.379999000000002</v>
          </cell>
        </row>
        <row r="40">
          <cell r="A40">
            <v>19391</v>
          </cell>
          <cell r="B40">
            <v>25.9</v>
          </cell>
        </row>
        <row r="41">
          <cell r="A41">
            <v>19419</v>
          </cell>
          <cell r="B41">
            <v>25.290001</v>
          </cell>
        </row>
        <row r="42">
          <cell r="A42">
            <v>19450</v>
          </cell>
          <cell r="B42">
            <v>24.620000999999998</v>
          </cell>
        </row>
        <row r="43">
          <cell r="A43">
            <v>19480</v>
          </cell>
          <cell r="B43">
            <v>24.540001</v>
          </cell>
        </row>
        <row r="44">
          <cell r="A44">
            <v>19511</v>
          </cell>
          <cell r="B44">
            <v>24.139999</v>
          </cell>
        </row>
        <row r="45">
          <cell r="A45">
            <v>19541</v>
          </cell>
          <cell r="B45">
            <v>24.75</v>
          </cell>
        </row>
        <row r="46">
          <cell r="A46">
            <v>19572</v>
          </cell>
          <cell r="B46">
            <v>23.32</v>
          </cell>
        </row>
        <row r="47">
          <cell r="A47">
            <v>19603</v>
          </cell>
          <cell r="B47">
            <v>23.35</v>
          </cell>
        </row>
        <row r="48">
          <cell r="A48">
            <v>19633</v>
          </cell>
          <cell r="B48">
            <v>24.540001</v>
          </cell>
        </row>
        <row r="49">
          <cell r="A49">
            <v>19664</v>
          </cell>
          <cell r="B49">
            <v>24.76</v>
          </cell>
        </row>
        <row r="50">
          <cell r="A50">
            <v>19694</v>
          </cell>
          <cell r="B50">
            <v>24.809999000000001</v>
          </cell>
        </row>
        <row r="51">
          <cell r="A51">
            <v>19725</v>
          </cell>
          <cell r="B51">
            <v>26.08</v>
          </cell>
        </row>
        <row r="52">
          <cell r="A52">
            <v>19756</v>
          </cell>
          <cell r="B52">
            <v>26.15</v>
          </cell>
        </row>
        <row r="53">
          <cell r="A53">
            <v>19784</v>
          </cell>
          <cell r="B53">
            <v>26.940000999999999</v>
          </cell>
        </row>
        <row r="54">
          <cell r="A54">
            <v>19815</v>
          </cell>
          <cell r="B54">
            <v>28.26</v>
          </cell>
        </row>
        <row r="55">
          <cell r="A55">
            <v>19845</v>
          </cell>
          <cell r="B55">
            <v>29.190000999999999</v>
          </cell>
        </row>
        <row r="56">
          <cell r="A56">
            <v>19876</v>
          </cell>
          <cell r="B56">
            <v>29.209999</v>
          </cell>
        </row>
        <row r="57">
          <cell r="A57">
            <v>19906</v>
          </cell>
          <cell r="B57">
            <v>30.879999000000002</v>
          </cell>
        </row>
        <row r="58">
          <cell r="A58">
            <v>19937</v>
          </cell>
          <cell r="B58">
            <v>29.83</v>
          </cell>
        </row>
        <row r="59">
          <cell r="A59">
            <v>19968</v>
          </cell>
          <cell r="B59">
            <v>32.310001</v>
          </cell>
        </row>
        <row r="60">
          <cell r="A60">
            <v>19998</v>
          </cell>
          <cell r="B60">
            <v>31.68</v>
          </cell>
        </row>
        <row r="61">
          <cell r="A61">
            <v>20029</v>
          </cell>
          <cell r="B61">
            <v>34.240001999999997</v>
          </cell>
        </row>
        <row r="62">
          <cell r="A62">
            <v>20059</v>
          </cell>
          <cell r="B62">
            <v>35.979999999999997</v>
          </cell>
        </row>
        <row r="63">
          <cell r="A63">
            <v>20090</v>
          </cell>
          <cell r="B63">
            <v>36.630001</v>
          </cell>
        </row>
        <row r="64">
          <cell r="A64">
            <v>20121</v>
          </cell>
          <cell r="B64">
            <v>36.759998000000003</v>
          </cell>
        </row>
        <row r="65">
          <cell r="A65">
            <v>20149</v>
          </cell>
          <cell r="B65">
            <v>36.580002</v>
          </cell>
        </row>
        <row r="66">
          <cell r="A66">
            <v>20180</v>
          </cell>
          <cell r="B66">
            <v>37.959999000000003</v>
          </cell>
        </row>
        <row r="67">
          <cell r="A67">
            <v>20210</v>
          </cell>
          <cell r="B67">
            <v>37.909999999999997</v>
          </cell>
        </row>
        <row r="68">
          <cell r="A68">
            <v>20241</v>
          </cell>
          <cell r="B68">
            <v>41.029998999999997</v>
          </cell>
        </row>
        <row r="69">
          <cell r="A69">
            <v>20271</v>
          </cell>
          <cell r="B69">
            <v>43.52</v>
          </cell>
        </row>
        <row r="70">
          <cell r="A70">
            <v>20302</v>
          </cell>
          <cell r="B70">
            <v>43.18</v>
          </cell>
        </row>
        <row r="71">
          <cell r="A71">
            <v>20333</v>
          </cell>
          <cell r="B71">
            <v>43.669998</v>
          </cell>
        </row>
        <row r="72">
          <cell r="A72">
            <v>20363</v>
          </cell>
          <cell r="B72">
            <v>42.34</v>
          </cell>
        </row>
        <row r="73">
          <cell r="A73">
            <v>20394</v>
          </cell>
          <cell r="B73">
            <v>45.509998000000003</v>
          </cell>
        </row>
        <row r="74">
          <cell r="A74">
            <v>20424</v>
          </cell>
          <cell r="B74">
            <v>45.48</v>
          </cell>
        </row>
        <row r="75">
          <cell r="A75">
            <v>20455</v>
          </cell>
          <cell r="B75">
            <v>43.82</v>
          </cell>
        </row>
        <row r="76">
          <cell r="A76">
            <v>20486</v>
          </cell>
          <cell r="B76">
            <v>45.34</v>
          </cell>
        </row>
        <row r="77">
          <cell r="A77">
            <v>20515</v>
          </cell>
          <cell r="B77">
            <v>48.48</v>
          </cell>
        </row>
        <row r="78">
          <cell r="A78">
            <v>20546</v>
          </cell>
          <cell r="B78">
            <v>48.380001</v>
          </cell>
        </row>
        <row r="79">
          <cell r="A79">
            <v>20576</v>
          </cell>
          <cell r="B79">
            <v>45.200001</v>
          </cell>
        </row>
        <row r="80">
          <cell r="A80">
            <v>20607</v>
          </cell>
          <cell r="B80">
            <v>46.970001000000003</v>
          </cell>
        </row>
        <row r="81">
          <cell r="A81">
            <v>20637</v>
          </cell>
          <cell r="B81">
            <v>49.389999000000003</v>
          </cell>
        </row>
        <row r="82">
          <cell r="A82">
            <v>20668</v>
          </cell>
          <cell r="B82">
            <v>47.509998000000003</v>
          </cell>
        </row>
        <row r="83">
          <cell r="A83">
            <v>20699</v>
          </cell>
          <cell r="B83">
            <v>45.349997999999999</v>
          </cell>
        </row>
        <row r="84">
          <cell r="A84">
            <v>20729</v>
          </cell>
          <cell r="B84">
            <v>45.580002</v>
          </cell>
        </row>
        <row r="85">
          <cell r="A85">
            <v>20760</v>
          </cell>
          <cell r="B85">
            <v>45.080002</v>
          </cell>
        </row>
        <row r="86">
          <cell r="A86">
            <v>20790</v>
          </cell>
          <cell r="B86">
            <v>46.669998</v>
          </cell>
        </row>
        <row r="87">
          <cell r="A87">
            <v>20821</v>
          </cell>
          <cell r="B87">
            <v>44.720001000000003</v>
          </cell>
        </row>
        <row r="88">
          <cell r="A88">
            <v>20852</v>
          </cell>
          <cell r="B88">
            <v>43.259998000000003</v>
          </cell>
        </row>
        <row r="89">
          <cell r="A89">
            <v>20880</v>
          </cell>
          <cell r="B89">
            <v>44.110000999999997</v>
          </cell>
        </row>
        <row r="90">
          <cell r="A90">
            <v>20911</v>
          </cell>
          <cell r="B90">
            <v>45.740001999999997</v>
          </cell>
        </row>
        <row r="91">
          <cell r="A91">
            <v>20941</v>
          </cell>
          <cell r="B91">
            <v>47.43</v>
          </cell>
        </row>
        <row r="92">
          <cell r="A92">
            <v>20972</v>
          </cell>
          <cell r="B92">
            <v>47.369999</v>
          </cell>
        </row>
        <row r="93">
          <cell r="A93">
            <v>21002</v>
          </cell>
          <cell r="B93">
            <v>47.91</v>
          </cell>
        </row>
        <row r="94">
          <cell r="A94">
            <v>21033</v>
          </cell>
          <cell r="B94">
            <v>45.220001000000003</v>
          </cell>
        </row>
        <row r="95">
          <cell r="A95">
            <v>21064</v>
          </cell>
          <cell r="B95">
            <v>42.419998</v>
          </cell>
        </row>
        <row r="96">
          <cell r="A96">
            <v>21094</v>
          </cell>
          <cell r="B96">
            <v>41.060001</v>
          </cell>
        </row>
        <row r="97">
          <cell r="A97">
            <v>21125</v>
          </cell>
          <cell r="B97">
            <v>41.720001000000003</v>
          </cell>
        </row>
        <row r="98">
          <cell r="A98">
            <v>21155</v>
          </cell>
          <cell r="B98">
            <v>39.990001999999997</v>
          </cell>
        </row>
        <row r="99">
          <cell r="A99">
            <v>21186</v>
          </cell>
          <cell r="B99">
            <v>41.700001</v>
          </cell>
        </row>
        <row r="100">
          <cell r="A100">
            <v>21217</v>
          </cell>
          <cell r="B100">
            <v>40.840000000000003</v>
          </cell>
        </row>
        <row r="101">
          <cell r="A101">
            <v>21245</v>
          </cell>
          <cell r="B101">
            <v>42.099997999999999</v>
          </cell>
        </row>
        <row r="102">
          <cell r="A102">
            <v>21276</v>
          </cell>
          <cell r="B102">
            <v>43.439999</v>
          </cell>
        </row>
        <row r="103">
          <cell r="A103">
            <v>21306</v>
          </cell>
          <cell r="B103">
            <v>44.09</v>
          </cell>
        </row>
        <row r="104">
          <cell r="A104">
            <v>21337</v>
          </cell>
          <cell r="B104">
            <v>45.240001999999997</v>
          </cell>
        </row>
        <row r="105">
          <cell r="A105">
            <v>21367</v>
          </cell>
          <cell r="B105">
            <v>47.189999</v>
          </cell>
        </row>
        <row r="106">
          <cell r="A106">
            <v>21398</v>
          </cell>
          <cell r="B106">
            <v>47.75</v>
          </cell>
        </row>
        <row r="107">
          <cell r="A107">
            <v>21429</v>
          </cell>
          <cell r="B107">
            <v>50.060001</v>
          </cell>
        </row>
        <row r="108">
          <cell r="A108">
            <v>21459</v>
          </cell>
          <cell r="B108">
            <v>51.330002</v>
          </cell>
        </row>
        <row r="109">
          <cell r="A109">
            <v>21490</v>
          </cell>
          <cell r="B109">
            <v>52.48</v>
          </cell>
        </row>
        <row r="110">
          <cell r="A110">
            <v>21520</v>
          </cell>
          <cell r="B110">
            <v>55.209999000000003</v>
          </cell>
        </row>
        <row r="111">
          <cell r="A111">
            <v>21551</v>
          </cell>
          <cell r="B111">
            <v>55.450001</v>
          </cell>
        </row>
        <row r="112">
          <cell r="A112">
            <v>21582</v>
          </cell>
          <cell r="B112">
            <v>55.41</v>
          </cell>
        </row>
        <row r="113">
          <cell r="A113">
            <v>21610</v>
          </cell>
          <cell r="B113">
            <v>55.439999</v>
          </cell>
        </row>
        <row r="114">
          <cell r="A114">
            <v>21641</v>
          </cell>
          <cell r="B114">
            <v>57.59</v>
          </cell>
        </row>
        <row r="115">
          <cell r="A115">
            <v>21671</v>
          </cell>
          <cell r="B115">
            <v>58.68</v>
          </cell>
        </row>
        <row r="116">
          <cell r="A116">
            <v>21702</v>
          </cell>
          <cell r="B116">
            <v>58.470001000000003</v>
          </cell>
        </row>
        <row r="117">
          <cell r="A117">
            <v>21732</v>
          </cell>
          <cell r="B117">
            <v>60.509998000000003</v>
          </cell>
        </row>
        <row r="118">
          <cell r="A118">
            <v>21763</v>
          </cell>
          <cell r="B118">
            <v>59.599997999999999</v>
          </cell>
        </row>
        <row r="119">
          <cell r="A119">
            <v>21794</v>
          </cell>
          <cell r="B119">
            <v>56.880001</v>
          </cell>
        </row>
        <row r="120">
          <cell r="A120">
            <v>21824</v>
          </cell>
          <cell r="B120">
            <v>57.52</v>
          </cell>
        </row>
        <row r="121">
          <cell r="A121">
            <v>21855</v>
          </cell>
          <cell r="B121">
            <v>58.279998999999997</v>
          </cell>
        </row>
        <row r="122">
          <cell r="A122">
            <v>21885</v>
          </cell>
          <cell r="B122">
            <v>59.889999000000003</v>
          </cell>
        </row>
        <row r="123">
          <cell r="A123">
            <v>21916</v>
          </cell>
          <cell r="B123">
            <v>55.610000999999997</v>
          </cell>
        </row>
        <row r="124">
          <cell r="A124">
            <v>21947</v>
          </cell>
          <cell r="B124">
            <v>56.119999</v>
          </cell>
        </row>
        <row r="125">
          <cell r="A125">
            <v>21976</v>
          </cell>
          <cell r="B125">
            <v>55.34</v>
          </cell>
        </row>
        <row r="126">
          <cell r="A126">
            <v>22007</v>
          </cell>
          <cell r="B126">
            <v>54.369999</v>
          </cell>
        </row>
        <row r="127">
          <cell r="A127">
            <v>22037</v>
          </cell>
          <cell r="B127">
            <v>55.830002</v>
          </cell>
        </row>
        <row r="128">
          <cell r="A128">
            <v>22068</v>
          </cell>
          <cell r="B128">
            <v>56.919998</v>
          </cell>
        </row>
        <row r="129">
          <cell r="A129">
            <v>22098</v>
          </cell>
          <cell r="B129">
            <v>55.509998000000003</v>
          </cell>
        </row>
        <row r="130">
          <cell r="A130">
            <v>22129</v>
          </cell>
          <cell r="B130">
            <v>56.959999000000003</v>
          </cell>
        </row>
        <row r="131">
          <cell r="A131">
            <v>22160</v>
          </cell>
          <cell r="B131">
            <v>53.52</v>
          </cell>
        </row>
        <row r="132">
          <cell r="A132">
            <v>22190</v>
          </cell>
          <cell r="B132">
            <v>53.389999000000003</v>
          </cell>
        </row>
        <row r="133">
          <cell r="A133">
            <v>22221</v>
          </cell>
          <cell r="B133">
            <v>55.540000999999997</v>
          </cell>
        </row>
        <row r="134">
          <cell r="A134">
            <v>22251</v>
          </cell>
          <cell r="B134">
            <v>58.110000999999997</v>
          </cell>
        </row>
        <row r="135">
          <cell r="A135">
            <v>22282</v>
          </cell>
          <cell r="B135">
            <v>61.779998999999997</v>
          </cell>
        </row>
        <row r="136">
          <cell r="A136">
            <v>22313</v>
          </cell>
          <cell r="B136">
            <v>63.439999</v>
          </cell>
        </row>
        <row r="137">
          <cell r="A137">
            <v>22341</v>
          </cell>
          <cell r="B137">
            <v>65.059997999999993</v>
          </cell>
        </row>
        <row r="138">
          <cell r="A138">
            <v>22372</v>
          </cell>
          <cell r="B138">
            <v>65.309997999999993</v>
          </cell>
        </row>
        <row r="139">
          <cell r="A139">
            <v>22402</v>
          </cell>
          <cell r="B139">
            <v>66.559997999999993</v>
          </cell>
        </row>
        <row r="140">
          <cell r="A140">
            <v>22433</v>
          </cell>
          <cell r="B140">
            <v>64.639999000000003</v>
          </cell>
        </row>
        <row r="141">
          <cell r="A141">
            <v>22463</v>
          </cell>
          <cell r="B141">
            <v>66.760002</v>
          </cell>
        </row>
        <row r="142">
          <cell r="A142">
            <v>22494</v>
          </cell>
          <cell r="B142">
            <v>68.069999999999993</v>
          </cell>
        </row>
        <row r="143">
          <cell r="A143">
            <v>22525</v>
          </cell>
          <cell r="B143">
            <v>66.730002999999996</v>
          </cell>
        </row>
        <row r="144">
          <cell r="A144">
            <v>22555</v>
          </cell>
          <cell r="B144">
            <v>68.620002999999997</v>
          </cell>
        </row>
        <row r="145">
          <cell r="A145">
            <v>22586</v>
          </cell>
          <cell r="B145">
            <v>71.319999999999993</v>
          </cell>
        </row>
        <row r="146">
          <cell r="A146">
            <v>22616</v>
          </cell>
          <cell r="B146">
            <v>71.550003000000004</v>
          </cell>
        </row>
        <row r="147">
          <cell r="A147">
            <v>22647</v>
          </cell>
          <cell r="B147">
            <v>68.839995999999999</v>
          </cell>
        </row>
        <row r="148">
          <cell r="A148">
            <v>22678</v>
          </cell>
          <cell r="B148">
            <v>69.959998999999996</v>
          </cell>
        </row>
        <row r="149">
          <cell r="A149">
            <v>22706</v>
          </cell>
          <cell r="B149">
            <v>69.550003000000004</v>
          </cell>
        </row>
        <row r="150">
          <cell r="A150">
            <v>22737</v>
          </cell>
          <cell r="B150">
            <v>65.239998</v>
          </cell>
        </row>
        <row r="151">
          <cell r="A151">
            <v>22767</v>
          </cell>
          <cell r="B151">
            <v>59.630001</v>
          </cell>
        </row>
        <row r="152">
          <cell r="A152">
            <v>22798</v>
          </cell>
          <cell r="B152">
            <v>54.75</v>
          </cell>
        </row>
        <row r="153">
          <cell r="A153">
            <v>22828</v>
          </cell>
          <cell r="B153">
            <v>58.23</v>
          </cell>
        </row>
        <row r="154">
          <cell r="A154">
            <v>22859</v>
          </cell>
          <cell r="B154">
            <v>59.119999</v>
          </cell>
        </row>
        <row r="155">
          <cell r="A155">
            <v>22890</v>
          </cell>
          <cell r="B155">
            <v>56.27</v>
          </cell>
        </row>
        <row r="156">
          <cell r="A156">
            <v>22920</v>
          </cell>
          <cell r="B156">
            <v>56.52</v>
          </cell>
        </row>
        <row r="157">
          <cell r="A157">
            <v>22951</v>
          </cell>
          <cell r="B157">
            <v>62.259998000000003</v>
          </cell>
        </row>
        <row r="158">
          <cell r="A158">
            <v>22981</v>
          </cell>
          <cell r="B158">
            <v>63.099997999999999</v>
          </cell>
        </row>
        <row r="159">
          <cell r="A159">
            <v>23012</v>
          </cell>
          <cell r="B159">
            <v>66.199996999999996</v>
          </cell>
        </row>
        <row r="160">
          <cell r="A160">
            <v>23043</v>
          </cell>
          <cell r="B160">
            <v>64.290001000000004</v>
          </cell>
        </row>
        <row r="161">
          <cell r="A161">
            <v>23071</v>
          </cell>
          <cell r="B161">
            <v>66.569999999999993</v>
          </cell>
        </row>
        <row r="162">
          <cell r="A162">
            <v>23102</v>
          </cell>
          <cell r="B162">
            <v>69.800003000000004</v>
          </cell>
        </row>
        <row r="163">
          <cell r="A163">
            <v>23132</v>
          </cell>
          <cell r="B163">
            <v>70.800003000000004</v>
          </cell>
        </row>
        <row r="164">
          <cell r="A164">
            <v>23163</v>
          </cell>
          <cell r="B164">
            <v>69.370002999999997</v>
          </cell>
        </row>
        <row r="165">
          <cell r="A165">
            <v>23193</v>
          </cell>
          <cell r="B165">
            <v>69.129997000000003</v>
          </cell>
        </row>
        <row r="166">
          <cell r="A166">
            <v>23224</v>
          </cell>
          <cell r="B166">
            <v>72.5</v>
          </cell>
        </row>
        <row r="167">
          <cell r="A167">
            <v>23255</v>
          </cell>
          <cell r="B167">
            <v>71.699996999999996</v>
          </cell>
        </row>
        <row r="168">
          <cell r="A168">
            <v>23285</v>
          </cell>
          <cell r="B168">
            <v>74.010002</v>
          </cell>
        </row>
        <row r="169">
          <cell r="A169">
            <v>23316</v>
          </cell>
          <cell r="B169">
            <v>73.230002999999996</v>
          </cell>
        </row>
        <row r="170">
          <cell r="A170">
            <v>23346</v>
          </cell>
          <cell r="B170">
            <v>75.019997000000004</v>
          </cell>
        </row>
        <row r="171">
          <cell r="A171">
            <v>23377</v>
          </cell>
          <cell r="B171">
            <v>77.040001000000004</v>
          </cell>
        </row>
        <row r="172">
          <cell r="A172">
            <v>23408</v>
          </cell>
          <cell r="B172">
            <v>77.800003000000004</v>
          </cell>
        </row>
        <row r="173">
          <cell r="A173">
            <v>23437</v>
          </cell>
          <cell r="B173">
            <v>78.980002999999996</v>
          </cell>
        </row>
        <row r="174">
          <cell r="A174">
            <v>23468</v>
          </cell>
          <cell r="B174">
            <v>79.459998999999996</v>
          </cell>
        </row>
        <row r="175">
          <cell r="A175">
            <v>23498</v>
          </cell>
          <cell r="B175">
            <v>80.370002999999997</v>
          </cell>
        </row>
        <row r="176">
          <cell r="A176">
            <v>23529</v>
          </cell>
          <cell r="B176">
            <v>81.690002000000007</v>
          </cell>
        </row>
        <row r="177">
          <cell r="A177">
            <v>23559</v>
          </cell>
          <cell r="B177">
            <v>83.18</v>
          </cell>
        </row>
        <row r="178">
          <cell r="A178">
            <v>23590</v>
          </cell>
          <cell r="B178">
            <v>81.830001999999993</v>
          </cell>
        </row>
        <row r="179">
          <cell r="A179">
            <v>23621</v>
          </cell>
          <cell r="B179">
            <v>84.18</v>
          </cell>
        </row>
        <row r="180">
          <cell r="A180">
            <v>23651</v>
          </cell>
          <cell r="B180">
            <v>84.860000999999997</v>
          </cell>
        </row>
        <row r="181">
          <cell r="A181">
            <v>23682</v>
          </cell>
          <cell r="B181">
            <v>84.419998000000007</v>
          </cell>
        </row>
        <row r="182">
          <cell r="A182">
            <v>23712</v>
          </cell>
          <cell r="B182">
            <v>84.75</v>
          </cell>
        </row>
        <row r="183">
          <cell r="A183">
            <v>23743</v>
          </cell>
          <cell r="B183">
            <v>87.559997999999993</v>
          </cell>
        </row>
        <row r="184">
          <cell r="A184">
            <v>23774</v>
          </cell>
          <cell r="B184">
            <v>87.43</v>
          </cell>
        </row>
        <row r="185">
          <cell r="A185">
            <v>23802</v>
          </cell>
          <cell r="B185">
            <v>86.160004000000001</v>
          </cell>
        </row>
        <row r="186">
          <cell r="A186">
            <v>23833</v>
          </cell>
          <cell r="B186">
            <v>89.110000999999997</v>
          </cell>
        </row>
        <row r="187">
          <cell r="A187">
            <v>23863</v>
          </cell>
          <cell r="B187">
            <v>88.419998000000007</v>
          </cell>
        </row>
        <row r="188">
          <cell r="A188">
            <v>23894</v>
          </cell>
          <cell r="B188">
            <v>84.120002999999997</v>
          </cell>
        </row>
        <row r="189">
          <cell r="A189">
            <v>23924</v>
          </cell>
          <cell r="B189">
            <v>85.25</v>
          </cell>
        </row>
        <row r="190">
          <cell r="A190">
            <v>23955</v>
          </cell>
          <cell r="B190">
            <v>87.169998000000007</v>
          </cell>
        </row>
        <row r="191">
          <cell r="A191">
            <v>23986</v>
          </cell>
          <cell r="B191">
            <v>89.959998999999996</v>
          </cell>
        </row>
        <row r="192">
          <cell r="A192">
            <v>24016</v>
          </cell>
          <cell r="B192">
            <v>92.419998000000007</v>
          </cell>
        </row>
        <row r="193">
          <cell r="A193">
            <v>24047</v>
          </cell>
          <cell r="B193">
            <v>91.610000999999997</v>
          </cell>
        </row>
        <row r="194">
          <cell r="A194">
            <v>24077</v>
          </cell>
          <cell r="B194">
            <v>92.43</v>
          </cell>
        </row>
        <row r="195">
          <cell r="A195">
            <v>24108</v>
          </cell>
          <cell r="B195">
            <v>92.879997000000003</v>
          </cell>
        </row>
        <row r="196">
          <cell r="A196">
            <v>24139</v>
          </cell>
          <cell r="B196">
            <v>91.220000999999996</v>
          </cell>
        </row>
        <row r="197">
          <cell r="A197">
            <v>24167</v>
          </cell>
          <cell r="B197">
            <v>89.230002999999996</v>
          </cell>
        </row>
        <row r="198">
          <cell r="A198">
            <v>24198</v>
          </cell>
          <cell r="B198">
            <v>91.059997999999993</v>
          </cell>
        </row>
        <row r="199">
          <cell r="A199">
            <v>24228</v>
          </cell>
          <cell r="B199">
            <v>86.129997000000003</v>
          </cell>
        </row>
        <row r="200">
          <cell r="A200">
            <v>24259</v>
          </cell>
          <cell r="B200">
            <v>84.739998</v>
          </cell>
        </row>
        <row r="201">
          <cell r="A201">
            <v>24289</v>
          </cell>
          <cell r="B201">
            <v>83.599997999999999</v>
          </cell>
        </row>
        <row r="202">
          <cell r="A202">
            <v>24320</v>
          </cell>
          <cell r="B202">
            <v>77.099997999999999</v>
          </cell>
        </row>
        <row r="203">
          <cell r="A203">
            <v>24351</v>
          </cell>
          <cell r="B203">
            <v>76.559997999999993</v>
          </cell>
        </row>
        <row r="204">
          <cell r="A204">
            <v>24381</v>
          </cell>
          <cell r="B204">
            <v>80.199996999999996</v>
          </cell>
        </row>
        <row r="205">
          <cell r="A205">
            <v>24412</v>
          </cell>
          <cell r="B205">
            <v>80.449996999999996</v>
          </cell>
        </row>
        <row r="206">
          <cell r="A206">
            <v>24442</v>
          </cell>
          <cell r="B206">
            <v>80.330001999999993</v>
          </cell>
        </row>
        <row r="207">
          <cell r="A207">
            <v>24473</v>
          </cell>
          <cell r="B207">
            <v>86.610000999999997</v>
          </cell>
        </row>
        <row r="208">
          <cell r="A208">
            <v>24504</v>
          </cell>
          <cell r="B208">
            <v>86.779999000000004</v>
          </cell>
        </row>
        <row r="209">
          <cell r="A209">
            <v>24532</v>
          </cell>
          <cell r="B209">
            <v>90.199996999999996</v>
          </cell>
        </row>
        <row r="210">
          <cell r="A210">
            <v>24563</v>
          </cell>
          <cell r="B210">
            <v>94.010002</v>
          </cell>
        </row>
        <row r="211">
          <cell r="A211">
            <v>24593</v>
          </cell>
          <cell r="B211">
            <v>89.080001999999993</v>
          </cell>
        </row>
        <row r="212">
          <cell r="A212">
            <v>24624</v>
          </cell>
          <cell r="B212">
            <v>90.639999000000003</v>
          </cell>
        </row>
        <row r="213">
          <cell r="A213">
            <v>24654</v>
          </cell>
          <cell r="B213">
            <v>94.75</v>
          </cell>
        </row>
        <row r="214">
          <cell r="A214">
            <v>24685</v>
          </cell>
          <cell r="B214">
            <v>93.639999000000003</v>
          </cell>
        </row>
        <row r="215">
          <cell r="A215">
            <v>24716</v>
          </cell>
          <cell r="B215">
            <v>96.709998999999996</v>
          </cell>
        </row>
        <row r="216">
          <cell r="A216">
            <v>24746</v>
          </cell>
          <cell r="B216">
            <v>93.300003000000004</v>
          </cell>
        </row>
        <row r="217">
          <cell r="A217">
            <v>24777</v>
          </cell>
          <cell r="B217">
            <v>94</v>
          </cell>
        </row>
        <row r="218">
          <cell r="A218">
            <v>24807</v>
          </cell>
          <cell r="B218">
            <v>96.470000999999996</v>
          </cell>
        </row>
        <row r="219">
          <cell r="A219">
            <v>24838</v>
          </cell>
          <cell r="B219">
            <v>92.239998</v>
          </cell>
        </row>
        <row r="220">
          <cell r="A220">
            <v>24869</v>
          </cell>
          <cell r="B220">
            <v>89.360000999999997</v>
          </cell>
        </row>
        <row r="221">
          <cell r="A221">
            <v>24898</v>
          </cell>
          <cell r="B221">
            <v>90.199996999999996</v>
          </cell>
        </row>
        <row r="222">
          <cell r="A222">
            <v>24929</v>
          </cell>
          <cell r="B222">
            <v>97.459998999999996</v>
          </cell>
        </row>
        <row r="223">
          <cell r="A223">
            <v>24959</v>
          </cell>
          <cell r="B223">
            <v>98.68</v>
          </cell>
        </row>
        <row r="224">
          <cell r="A224">
            <v>24990</v>
          </cell>
          <cell r="B224">
            <v>99.580001999999993</v>
          </cell>
        </row>
        <row r="225">
          <cell r="A225">
            <v>25020</v>
          </cell>
          <cell r="B225">
            <v>97.739998</v>
          </cell>
        </row>
        <row r="226">
          <cell r="A226">
            <v>25051</v>
          </cell>
          <cell r="B226">
            <v>98.860000999999997</v>
          </cell>
        </row>
        <row r="227">
          <cell r="A227">
            <v>25082</v>
          </cell>
          <cell r="B227">
            <v>102.66999800000001</v>
          </cell>
        </row>
        <row r="228">
          <cell r="A228">
            <v>25112</v>
          </cell>
          <cell r="B228">
            <v>103.410004</v>
          </cell>
        </row>
        <row r="229">
          <cell r="A229">
            <v>25143</v>
          </cell>
          <cell r="B229">
            <v>108.370003</v>
          </cell>
        </row>
        <row r="230">
          <cell r="A230">
            <v>25173</v>
          </cell>
          <cell r="B230">
            <v>103.860001</v>
          </cell>
        </row>
        <row r="231">
          <cell r="A231">
            <v>25204</v>
          </cell>
          <cell r="B231">
            <v>103.010002</v>
          </cell>
        </row>
        <row r="232">
          <cell r="A232">
            <v>25235</v>
          </cell>
          <cell r="B232">
            <v>98.129997000000003</v>
          </cell>
        </row>
        <row r="233">
          <cell r="A233">
            <v>25263</v>
          </cell>
          <cell r="B233">
            <v>101.510002</v>
          </cell>
        </row>
        <row r="234">
          <cell r="A234">
            <v>25294</v>
          </cell>
          <cell r="B234">
            <v>103.69000200000001</v>
          </cell>
        </row>
        <row r="235">
          <cell r="A235">
            <v>25324</v>
          </cell>
          <cell r="B235">
            <v>103.459999</v>
          </cell>
        </row>
        <row r="236">
          <cell r="A236">
            <v>25355</v>
          </cell>
          <cell r="B236">
            <v>97.709998999999996</v>
          </cell>
        </row>
        <row r="237">
          <cell r="A237">
            <v>25385</v>
          </cell>
          <cell r="B237">
            <v>91.830001999999993</v>
          </cell>
        </row>
        <row r="238">
          <cell r="A238">
            <v>25416</v>
          </cell>
          <cell r="B238">
            <v>95.510002</v>
          </cell>
        </row>
        <row r="239">
          <cell r="A239">
            <v>25447</v>
          </cell>
          <cell r="B239">
            <v>93.120002999999997</v>
          </cell>
        </row>
        <row r="240">
          <cell r="A240">
            <v>25477</v>
          </cell>
          <cell r="B240">
            <v>97.120002999999997</v>
          </cell>
        </row>
        <row r="241">
          <cell r="A241">
            <v>25508</v>
          </cell>
          <cell r="B241">
            <v>93.809997999999993</v>
          </cell>
        </row>
        <row r="242">
          <cell r="A242">
            <v>25538</v>
          </cell>
          <cell r="B242">
            <v>92.059997999999993</v>
          </cell>
        </row>
        <row r="243">
          <cell r="A243">
            <v>25569</v>
          </cell>
          <cell r="B243">
            <v>85.019997000000004</v>
          </cell>
        </row>
        <row r="244">
          <cell r="A244">
            <v>25600</v>
          </cell>
          <cell r="B244">
            <v>89.5</v>
          </cell>
        </row>
        <row r="245">
          <cell r="A245">
            <v>25628</v>
          </cell>
          <cell r="B245">
            <v>89.629997000000003</v>
          </cell>
        </row>
        <row r="246">
          <cell r="A246">
            <v>25659</v>
          </cell>
          <cell r="B246">
            <v>81.519997000000004</v>
          </cell>
        </row>
        <row r="247">
          <cell r="A247">
            <v>25689</v>
          </cell>
          <cell r="B247">
            <v>76.550003000000004</v>
          </cell>
        </row>
        <row r="248">
          <cell r="A248">
            <v>25720</v>
          </cell>
          <cell r="B248">
            <v>72.720000999999996</v>
          </cell>
        </row>
        <row r="249">
          <cell r="A249">
            <v>25750</v>
          </cell>
          <cell r="B249">
            <v>78.050003000000004</v>
          </cell>
        </row>
        <row r="250">
          <cell r="A250">
            <v>25781</v>
          </cell>
          <cell r="B250">
            <v>81.519997000000004</v>
          </cell>
        </row>
        <row r="251">
          <cell r="A251">
            <v>25812</v>
          </cell>
          <cell r="B251">
            <v>84.300003000000004</v>
          </cell>
        </row>
        <row r="252">
          <cell r="A252">
            <v>25842</v>
          </cell>
          <cell r="B252">
            <v>83.25</v>
          </cell>
        </row>
        <row r="253">
          <cell r="A253">
            <v>25873</v>
          </cell>
          <cell r="B253">
            <v>87.199996999999996</v>
          </cell>
        </row>
        <row r="254">
          <cell r="A254">
            <v>25903</v>
          </cell>
          <cell r="B254">
            <v>92.150002000000001</v>
          </cell>
        </row>
        <row r="255">
          <cell r="A255">
            <v>25934</v>
          </cell>
          <cell r="B255">
            <v>95.879997000000003</v>
          </cell>
        </row>
        <row r="256">
          <cell r="A256">
            <v>25965</v>
          </cell>
          <cell r="B256">
            <v>96.75</v>
          </cell>
        </row>
        <row r="257">
          <cell r="A257">
            <v>25993</v>
          </cell>
          <cell r="B257">
            <v>100.30999799999999</v>
          </cell>
        </row>
        <row r="258">
          <cell r="A258">
            <v>26024</v>
          </cell>
          <cell r="B258">
            <v>103.949997</v>
          </cell>
        </row>
        <row r="259">
          <cell r="A259">
            <v>26054</v>
          </cell>
          <cell r="B259">
            <v>99.629997000000003</v>
          </cell>
        </row>
        <row r="260">
          <cell r="A260">
            <v>26085</v>
          </cell>
          <cell r="B260">
            <v>98.699996999999996</v>
          </cell>
        </row>
        <row r="261">
          <cell r="A261">
            <v>26115</v>
          </cell>
          <cell r="B261">
            <v>95.580001999999993</v>
          </cell>
        </row>
        <row r="262">
          <cell r="A262">
            <v>26146</v>
          </cell>
          <cell r="B262">
            <v>99.029999000000004</v>
          </cell>
        </row>
        <row r="263">
          <cell r="A263">
            <v>26177</v>
          </cell>
          <cell r="B263">
            <v>98.339995999999999</v>
          </cell>
        </row>
        <row r="264">
          <cell r="A264">
            <v>26207</v>
          </cell>
          <cell r="B264">
            <v>94.230002999999996</v>
          </cell>
        </row>
        <row r="265">
          <cell r="A265">
            <v>26238</v>
          </cell>
          <cell r="B265">
            <v>93.989998</v>
          </cell>
        </row>
        <row r="266">
          <cell r="A266">
            <v>26268</v>
          </cell>
          <cell r="B266">
            <v>102.089996</v>
          </cell>
        </row>
        <row r="267">
          <cell r="A267">
            <v>26299</v>
          </cell>
          <cell r="B267">
            <v>103.94000200000001</v>
          </cell>
        </row>
        <row r="268">
          <cell r="A268">
            <v>26330</v>
          </cell>
          <cell r="B268">
            <v>106.57</v>
          </cell>
        </row>
        <row r="269">
          <cell r="A269">
            <v>26359</v>
          </cell>
          <cell r="B269">
            <v>107.199997</v>
          </cell>
        </row>
        <row r="270">
          <cell r="A270">
            <v>26390</v>
          </cell>
          <cell r="B270">
            <v>107.66999800000001</v>
          </cell>
        </row>
        <row r="271">
          <cell r="A271">
            <v>26420</v>
          </cell>
          <cell r="B271">
            <v>109.529999</v>
          </cell>
        </row>
        <row r="272">
          <cell r="A272">
            <v>26451</v>
          </cell>
          <cell r="B272">
            <v>107.139999</v>
          </cell>
        </row>
        <row r="273">
          <cell r="A273">
            <v>26481</v>
          </cell>
          <cell r="B273">
            <v>107.389999</v>
          </cell>
        </row>
        <row r="274">
          <cell r="A274">
            <v>26512</v>
          </cell>
          <cell r="B274">
            <v>111.089996</v>
          </cell>
        </row>
        <row r="275">
          <cell r="A275">
            <v>26543</v>
          </cell>
          <cell r="B275">
            <v>110.550003</v>
          </cell>
        </row>
        <row r="276">
          <cell r="A276">
            <v>26573</v>
          </cell>
          <cell r="B276">
            <v>111.58000199999999</v>
          </cell>
        </row>
        <row r="277">
          <cell r="A277">
            <v>26604</v>
          </cell>
          <cell r="B277">
            <v>116.66999800000001</v>
          </cell>
        </row>
        <row r="278">
          <cell r="A278">
            <v>26634</v>
          </cell>
          <cell r="B278">
            <v>118.050003</v>
          </cell>
        </row>
        <row r="279">
          <cell r="A279">
            <v>26665</v>
          </cell>
          <cell r="B279">
            <v>116.029999</v>
          </cell>
        </row>
        <row r="280">
          <cell r="A280">
            <v>26696</v>
          </cell>
          <cell r="B280">
            <v>111.68</v>
          </cell>
        </row>
        <row r="281">
          <cell r="A281">
            <v>26724</v>
          </cell>
          <cell r="B281">
            <v>111.519997</v>
          </cell>
        </row>
        <row r="282">
          <cell r="A282">
            <v>26755</v>
          </cell>
          <cell r="B282">
            <v>106.970001</v>
          </cell>
        </row>
        <row r="283">
          <cell r="A283">
            <v>26785</v>
          </cell>
          <cell r="B283">
            <v>104.949997</v>
          </cell>
        </row>
        <row r="284">
          <cell r="A284">
            <v>26816</v>
          </cell>
          <cell r="B284">
            <v>104.260002</v>
          </cell>
        </row>
        <row r="285">
          <cell r="A285">
            <v>26846</v>
          </cell>
          <cell r="B285">
            <v>108.220001</v>
          </cell>
        </row>
        <row r="286">
          <cell r="A286">
            <v>26877</v>
          </cell>
          <cell r="B286">
            <v>104.25</v>
          </cell>
        </row>
        <row r="287">
          <cell r="A287">
            <v>26908</v>
          </cell>
          <cell r="B287">
            <v>108.43</v>
          </cell>
        </row>
        <row r="288">
          <cell r="A288">
            <v>26938</v>
          </cell>
          <cell r="B288">
            <v>108.290001</v>
          </cell>
        </row>
        <row r="289">
          <cell r="A289">
            <v>26969</v>
          </cell>
          <cell r="B289">
            <v>95.959998999999996</v>
          </cell>
        </row>
        <row r="290">
          <cell r="A290">
            <v>26999</v>
          </cell>
          <cell r="B290">
            <v>97.550003000000004</v>
          </cell>
        </row>
        <row r="291">
          <cell r="A291">
            <v>27030</v>
          </cell>
          <cell r="B291">
            <v>96.57</v>
          </cell>
        </row>
        <row r="292">
          <cell r="A292">
            <v>27061</v>
          </cell>
          <cell r="B292">
            <v>96.220000999999996</v>
          </cell>
        </row>
        <row r="293">
          <cell r="A293">
            <v>27089</v>
          </cell>
          <cell r="B293">
            <v>93.980002999999996</v>
          </cell>
        </row>
        <row r="294">
          <cell r="A294">
            <v>27120</v>
          </cell>
          <cell r="B294">
            <v>90.309997999999993</v>
          </cell>
        </row>
        <row r="295">
          <cell r="A295">
            <v>27150</v>
          </cell>
          <cell r="B295">
            <v>87.279999000000004</v>
          </cell>
        </row>
        <row r="296">
          <cell r="A296">
            <v>27181</v>
          </cell>
          <cell r="B296">
            <v>86</v>
          </cell>
        </row>
        <row r="297">
          <cell r="A297">
            <v>27211</v>
          </cell>
          <cell r="B297">
            <v>79.309997999999993</v>
          </cell>
        </row>
        <row r="298">
          <cell r="A298">
            <v>27242</v>
          </cell>
          <cell r="B298">
            <v>72.150002000000001</v>
          </cell>
        </row>
        <row r="299">
          <cell r="A299">
            <v>27273</v>
          </cell>
          <cell r="B299">
            <v>63.540000999999997</v>
          </cell>
        </row>
        <row r="300">
          <cell r="A300">
            <v>27303</v>
          </cell>
          <cell r="B300">
            <v>73.900002000000001</v>
          </cell>
        </row>
        <row r="301">
          <cell r="A301">
            <v>27334</v>
          </cell>
          <cell r="B301">
            <v>69.970000999999996</v>
          </cell>
        </row>
        <row r="302">
          <cell r="A302">
            <v>27364</v>
          </cell>
          <cell r="B302">
            <v>68.559997999999993</v>
          </cell>
        </row>
        <row r="303">
          <cell r="A303">
            <v>27395</v>
          </cell>
          <cell r="B303">
            <v>76.980002999999996</v>
          </cell>
        </row>
        <row r="304">
          <cell r="A304">
            <v>27426</v>
          </cell>
          <cell r="B304">
            <v>81.589995999999999</v>
          </cell>
        </row>
        <row r="305">
          <cell r="A305">
            <v>27454</v>
          </cell>
          <cell r="B305">
            <v>83.360000999999997</v>
          </cell>
        </row>
        <row r="306">
          <cell r="A306">
            <v>27485</v>
          </cell>
          <cell r="B306">
            <v>87.300003000000004</v>
          </cell>
        </row>
        <row r="307">
          <cell r="A307">
            <v>27515</v>
          </cell>
          <cell r="B307">
            <v>91.150002000000001</v>
          </cell>
        </row>
        <row r="308">
          <cell r="A308">
            <v>27546</v>
          </cell>
          <cell r="B308">
            <v>95.190002000000007</v>
          </cell>
        </row>
        <row r="309">
          <cell r="A309">
            <v>27576</v>
          </cell>
          <cell r="B309">
            <v>88.75</v>
          </cell>
        </row>
        <row r="310">
          <cell r="A310">
            <v>27607</v>
          </cell>
          <cell r="B310">
            <v>86.879997000000003</v>
          </cell>
        </row>
        <row r="311">
          <cell r="A311">
            <v>27638</v>
          </cell>
          <cell r="B311">
            <v>83.870002999999997</v>
          </cell>
        </row>
        <row r="312">
          <cell r="A312">
            <v>27668</v>
          </cell>
          <cell r="B312">
            <v>89.040001000000004</v>
          </cell>
        </row>
        <row r="313">
          <cell r="A313">
            <v>27699</v>
          </cell>
          <cell r="B313">
            <v>91.239998</v>
          </cell>
        </row>
        <row r="314">
          <cell r="A314">
            <v>27729</v>
          </cell>
          <cell r="B314">
            <v>90.190002000000007</v>
          </cell>
        </row>
        <row r="315">
          <cell r="A315">
            <v>27760</v>
          </cell>
          <cell r="B315">
            <v>100.860001</v>
          </cell>
        </row>
        <row r="316">
          <cell r="A316">
            <v>27791</v>
          </cell>
          <cell r="B316">
            <v>99.709998999999996</v>
          </cell>
        </row>
        <row r="317">
          <cell r="A317">
            <v>27820</v>
          </cell>
          <cell r="B317">
            <v>102.769997</v>
          </cell>
        </row>
        <row r="318">
          <cell r="A318">
            <v>27851</v>
          </cell>
          <cell r="B318">
            <v>101.639999</v>
          </cell>
        </row>
        <row r="319">
          <cell r="A319">
            <v>27881</v>
          </cell>
          <cell r="B319">
            <v>100.18</v>
          </cell>
        </row>
        <row r="320">
          <cell r="A320">
            <v>27912</v>
          </cell>
          <cell r="B320">
            <v>104.279999</v>
          </cell>
        </row>
        <row r="321">
          <cell r="A321">
            <v>27942</v>
          </cell>
          <cell r="B321">
            <v>103.44000200000001</v>
          </cell>
        </row>
        <row r="322">
          <cell r="A322">
            <v>27973</v>
          </cell>
          <cell r="B322">
            <v>102.910004</v>
          </cell>
        </row>
        <row r="323">
          <cell r="A323">
            <v>28004</v>
          </cell>
          <cell r="B323">
            <v>105.239998</v>
          </cell>
        </row>
        <row r="324">
          <cell r="A324">
            <v>28034</v>
          </cell>
          <cell r="B324">
            <v>102.900002</v>
          </cell>
        </row>
        <row r="325">
          <cell r="A325">
            <v>28065</v>
          </cell>
          <cell r="B325">
            <v>102.099998</v>
          </cell>
        </row>
        <row r="326">
          <cell r="A326">
            <v>28095</v>
          </cell>
          <cell r="B326">
            <v>107.459999</v>
          </cell>
        </row>
        <row r="327">
          <cell r="A327">
            <v>28126</v>
          </cell>
          <cell r="B327">
            <v>102.029999</v>
          </cell>
        </row>
        <row r="328">
          <cell r="A328">
            <v>28157</v>
          </cell>
          <cell r="B328">
            <v>99.82</v>
          </cell>
        </row>
        <row r="329">
          <cell r="A329">
            <v>28185</v>
          </cell>
          <cell r="B329">
            <v>98.419998000000007</v>
          </cell>
        </row>
        <row r="330">
          <cell r="A330">
            <v>28216</v>
          </cell>
          <cell r="B330">
            <v>98.440002000000007</v>
          </cell>
        </row>
        <row r="331">
          <cell r="A331">
            <v>28246</v>
          </cell>
          <cell r="B331">
            <v>96.120002999999997</v>
          </cell>
        </row>
        <row r="332">
          <cell r="A332">
            <v>28277</v>
          </cell>
          <cell r="B332">
            <v>100.480003</v>
          </cell>
        </row>
        <row r="333">
          <cell r="A333">
            <v>28307</v>
          </cell>
          <cell r="B333">
            <v>98.849997999999999</v>
          </cell>
        </row>
        <row r="334">
          <cell r="A334">
            <v>28338</v>
          </cell>
          <cell r="B334">
            <v>96.769997000000004</v>
          </cell>
        </row>
        <row r="335">
          <cell r="A335">
            <v>28369</v>
          </cell>
          <cell r="B335">
            <v>96.529999000000004</v>
          </cell>
        </row>
        <row r="336">
          <cell r="A336">
            <v>28399</v>
          </cell>
          <cell r="B336">
            <v>92.339995999999999</v>
          </cell>
        </row>
        <row r="337">
          <cell r="A337">
            <v>28430</v>
          </cell>
          <cell r="B337">
            <v>94.830001999999993</v>
          </cell>
        </row>
        <row r="338">
          <cell r="A338">
            <v>28460</v>
          </cell>
          <cell r="B338">
            <v>95.099997999999999</v>
          </cell>
        </row>
        <row r="339">
          <cell r="A339">
            <v>28491</v>
          </cell>
          <cell r="B339">
            <v>89.25</v>
          </cell>
        </row>
        <row r="340">
          <cell r="A340">
            <v>28522</v>
          </cell>
          <cell r="B340">
            <v>87.040001000000004</v>
          </cell>
        </row>
        <row r="341">
          <cell r="A341">
            <v>28550</v>
          </cell>
          <cell r="B341">
            <v>89.209998999999996</v>
          </cell>
        </row>
        <row r="342">
          <cell r="A342">
            <v>28581</v>
          </cell>
          <cell r="B342">
            <v>96.830001999999993</v>
          </cell>
        </row>
        <row r="343">
          <cell r="A343">
            <v>28611</v>
          </cell>
          <cell r="B343">
            <v>97.239998</v>
          </cell>
        </row>
        <row r="344">
          <cell r="A344">
            <v>28642</v>
          </cell>
          <cell r="B344">
            <v>95.529999000000004</v>
          </cell>
        </row>
        <row r="345">
          <cell r="A345">
            <v>28672</v>
          </cell>
          <cell r="B345">
            <v>100.68</v>
          </cell>
        </row>
        <row r="346">
          <cell r="A346">
            <v>28703</v>
          </cell>
          <cell r="B346">
            <v>103.290001</v>
          </cell>
        </row>
        <row r="347">
          <cell r="A347">
            <v>28734</v>
          </cell>
          <cell r="B347">
            <v>102.540001</v>
          </cell>
        </row>
        <row r="348">
          <cell r="A348">
            <v>28764</v>
          </cell>
          <cell r="B348">
            <v>93.150002000000001</v>
          </cell>
        </row>
        <row r="349">
          <cell r="A349">
            <v>28795</v>
          </cell>
          <cell r="B349">
            <v>94.699996999999996</v>
          </cell>
        </row>
        <row r="350">
          <cell r="A350">
            <v>28825</v>
          </cell>
          <cell r="B350">
            <v>96.110000999999997</v>
          </cell>
        </row>
        <row r="351">
          <cell r="A351">
            <v>28856</v>
          </cell>
          <cell r="B351">
            <v>99.93</v>
          </cell>
        </row>
        <row r="352">
          <cell r="A352">
            <v>28887</v>
          </cell>
          <cell r="B352">
            <v>96.279999000000004</v>
          </cell>
        </row>
        <row r="353">
          <cell r="A353">
            <v>28915</v>
          </cell>
          <cell r="B353">
            <v>101.589996</v>
          </cell>
        </row>
        <row r="354">
          <cell r="A354">
            <v>28946</v>
          </cell>
          <cell r="B354">
            <v>101.760002</v>
          </cell>
        </row>
        <row r="355">
          <cell r="A355">
            <v>28976</v>
          </cell>
          <cell r="B355">
            <v>99.080001999999993</v>
          </cell>
        </row>
        <row r="356">
          <cell r="A356">
            <v>29007</v>
          </cell>
          <cell r="B356">
            <v>102.910004</v>
          </cell>
        </row>
        <row r="357">
          <cell r="A357">
            <v>29037</v>
          </cell>
          <cell r="B357">
            <v>103.80999799999999</v>
          </cell>
        </row>
        <row r="358">
          <cell r="A358">
            <v>29068</v>
          </cell>
          <cell r="B358">
            <v>109.32</v>
          </cell>
        </row>
        <row r="359">
          <cell r="A359">
            <v>29099</v>
          </cell>
          <cell r="B359">
            <v>109.32</v>
          </cell>
        </row>
        <row r="360">
          <cell r="A360">
            <v>29129</v>
          </cell>
          <cell r="B360">
            <v>101.82</v>
          </cell>
        </row>
        <row r="361">
          <cell r="A361">
            <v>29160</v>
          </cell>
          <cell r="B361">
            <v>106.160004</v>
          </cell>
        </row>
        <row r="362">
          <cell r="A362">
            <v>29190</v>
          </cell>
          <cell r="B362">
            <v>107.94000200000001</v>
          </cell>
        </row>
        <row r="363">
          <cell r="A363">
            <v>29221</v>
          </cell>
          <cell r="B363">
            <v>114.160004</v>
          </cell>
        </row>
        <row r="364">
          <cell r="A364">
            <v>29252</v>
          </cell>
          <cell r="B364">
            <v>113.660004</v>
          </cell>
        </row>
        <row r="365">
          <cell r="A365">
            <v>29281</v>
          </cell>
          <cell r="B365">
            <v>102.089996</v>
          </cell>
        </row>
        <row r="366">
          <cell r="A366">
            <v>29312</v>
          </cell>
          <cell r="B366">
            <v>106.290001</v>
          </cell>
        </row>
        <row r="367">
          <cell r="A367">
            <v>29342</v>
          </cell>
          <cell r="B367">
            <v>111.239998</v>
          </cell>
        </row>
        <row r="368">
          <cell r="A368">
            <v>29373</v>
          </cell>
          <cell r="B368">
            <v>114.239998</v>
          </cell>
        </row>
        <row r="369">
          <cell r="A369">
            <v>29403</v>
          </cell>
          <cell r="B369">
            <v>121.66999800000001</v>
          </cell>
        </row>
        <row r="370">
          <cell r="A370">
            <v>29434</v>
          </cell>
          <cell r="B370">
            <v>122.379997</v>
          </cell>
        </row>
        <row r="371">
          <cell r="A371">
            <v>29465</v>
          </cell>
          <cell r="B371">
            <v>125.459999</v>
          </cell>
        </row>
        <row r="372">
          <cell r="A372">
            <v>29495</v>
          </cell>
          <cell r="B372">
            <v>127.470001</v>
          </cell>
        </row>
        <row r="373">
          <cell r="A373">
            <v>29526</v>
          </cell>
          <cell r="B373">
            <v>140.520004</v>
          </cell>
        </row>
        <row r="374">
          <cell r="A374">
            <v>29556</v>
          </cell>
          <cell r="B374">
            <v>135.759995</v>
          </cell>
        </row>
        <row r="375">
          <cell r="A375">
            <v>29587</v>
          </cell>
          <cell r="B375">
            <v>129.550003</v>
          </cell>
        </row>
        <row r="376">
          <cell r="A376">
            <v>29618</v>
          </cell>
          <cell r="B376">
            <v>131.270004</v>
          </cell>
        </row>
        <row r="377">
          <cell r="A377">
            <v>29646</v>
          </cell>
          <cell r="B377">
            <v>136</v>
          </cell>
        </row>
        <row r="378">
          <cell r="A378">
            <v>29677</v>
          </cell>
          <cell r="B378">
            <v>132.80999800000001</v>
          </cell>
        </row>
        <row r="379">
          <cell r="A379">
            <v>29707</v>
          </cell>
          <cell r="B379">
            <v>132.58999600000001</v>
          </cell>
        </row>
        <row r="380">
          <cell r="A380">
            <v>29738</v>
          </cell>
          <cell r="B380">
            <v>131.21000699999999</v>
          </cell>
        </row>
        <row r="381">
          <cell r="A381">
            <v>29768</v>
          </cell>
          <cell r="B381">
            <v>130.91999799999999</v>
          </cell>
        </row>
        <row r="382">
          <cell r="A382">
            <v>29799</v>
          </cell>
          <cell r="B382">
            <v>122.790001</v>
          </cell>
        </row>
        <row r="383">
          <cell r="A383">
            <v>29830</v>
          </cell>
          <cell r="B383">
            <v>116.18</v>
          </cell>
        </row>
        <row r="384">
          <cell r="A384">
            <v>29860</v>
          </cell>
          <cell r="B384">
            <v>121.889999</v>
          </cell>
        </row>
        <row r="385">
          <cell r="A385">
            <v>29891</v>
          </cell>
          <cell r="B385">
            <v>126.349998</v>
          </cell>
        </row>
        <row r="386">
          <cell r="A386">
            <v>29921</v>
          </cell>
          <cell r="B386">
            <v>122.550003</v>
          </cell>
        </row>
        <row r="387">
          <cell r="A387">
            <v>29952</v>
          </cell>
          <cell r="B387">
            <v>120.400002</v>
          </cell>
        </row>
        <row r="388">
          <cell r="A388">
            <v>29983</v>
          </cell>
          <cell r="B388">
            <v>113.110001</v>
          </cell>
        </row>
        <row r="389">
          <cell r="A389">
            <v>30011</v>
          </cell>
          <cell r="B389">
            <v>111.959999</v>
          </cell>
        </row>
        <row r="390">
          <cell r="A390">
            <v>30042</v>
          </cell>
          <cell r="B390">
            <v>116.44000200000001</v>
          </cell>
        </row>
        <row r="391">
          <cell r="A391">
            <v>30072</v>
          </cell>
          <cell r="B391">
            <v>111.879997</v>
          </cell>
        </row>
        <row r="392">
          <cell r="A392">
            <v>30103</v>
          </cell>
          <cell r="B392">
            <v>109.610001</v>
          </cell>
        </row>
        <row r="393">
          <cell r="A393">
            <v>30133</v>
          </cell>
          <cell r="B393">
            <v>107.089996</v>
          </cell>
        </row>
        <row r="394">
          <cell r="A394">
            <v>30164</v>
          </cell>
          <cell r="B394">
            <v>119.510002</v>
          </cell>
        </row>
        <row r="395">
          <cell r="A395">
            <v>30195</v>
          </cell>
          <cell r="B395">
            <v>120.41999800000001</v>
          </cell>
        </row>
        <row r="396">
          <cell r="A396">
            <v>30225</v>
          </cell>
          <cell r="B396">
            <v>133.720001</v>
          </cell>
        </row>
        <row r="397">
          <cell r="A397">
            <v>30256</v>
          </cell>
          <cell r="B397">
            <v>138.529999</v>
          </cell>
        </row>
        <row r="398">
          <cell r="A398">
            <v>30286</v>
          </cell>
          <cell r="B398">
            <v>140.63999899999999</v>
          </cell>
        </row>
        <row r="399">
          <cell r="A399">
            <v>30317</v>
          </cell>
          <cell r="B399">
            <v>145.300003</v>
          </cell>
        </row>
        <row r="400">
          <cell r="A400">
            <v>30348</v>
          </cell>
          <cell r="B400">
            <v>148.05999800000001</v>
          </cell>
        </row>
        <row r="401">
          <cell r="A401">
            <v>30376</v>
          </cell>
          <cell r="B401">
            <v>152.96000699999999</v>
          </cell>
        </row>
        <row r="402">
          <cell r="A402">
            <v>30407</v>
          </cell>
          <cell r="B402">
            <v>164.429993</v>
          </cell>
        </row>
        <row r="403">
          <cell r="A403">
            <v>30437</v>
          </cell>
          <cell r="B403">
            <v>162.38999899999999</v>
          </cell>
        </row>
        <row r="404">
          <cell r="A404">
            <v>30468</v>
          </cell>
          <cell r="B404">
            <v>167.63999899999999</v>
          </cell>
        </row>
        <row r="405">
          <cell r="A405">
            <v>30498</v>
          </cell>
          <cell r="B405">
            <v>162.55999800000001</v>
          </cell>
        </row>
        <row r="406">
          <cell r="A406">
            <v>30529</v>
          </cell>
          <cell r="B406">
            <v>164.39999399999999</v>
          </cell>
        </row>
        <row r="407">
          <cell r="A407">
            <v>30560</v>
          </cell>
          <cell r="B407">
            <v>166.070007</v>
          </cell>
        </row>
        <row r="408">
          <cell r="A408">
            <v>30590</v>
          </cell>
          <cell r="B408">
            <v>163.550003</v>
          </cell>
        </row>
        <row r="409">
          <cell r="A409">
            <v>30621</v>
          </cell>
          <cell r="B409">
            <v>166.39999399999999</v>
          </cell>
        </row>
        <row r="410">
          <cell r="A410">
            <v>30651</v>
          </cell>
          <cell r="B410">
            <v>164.929993</v>
          </cell>
        </row>
        <row r="411">
          <cell r="A411">
            <v>30682</v>
          </cell>
          <cell r="B411">
            <v>163.41000399999999</v>
          </cell>
        </row>
        <row r="412">
          <cell r="A412">
            <v>30713</v>
          </cell>
          <cell r="B412">
            <v>157.05999800000001</v>
          </cell>
        </row>
        <row r="413">
          <cell r="A413">
            <v>30742</v>
          </cell>
          <cell r="B413">
            <v>159.179993</v>
          </cell>
        </row>
        <row r="414">
          <cell r="A414">
            <v>30773</v>
          </cell>
          <cell r="B414">
            <v>160.050003</v>
          </cell>
        </row>
        <row r="415">
          <cell r="A415">
            <v>30803</v>
          </cell>
          <cell r="B415">
            <v>150.550003</v>
          </cell>
        </row>
        <row r="416">
          <cell r="A416">
            <v>30834</v>
          </cell>
          <cell r="B416">
            <v>153.179993</v>
          </cell>
        </row>
        <row r="417">
          <cell r="A417">
            <v>30864</v>
          </cell>
          <cell r="B417">
            <v>150.66000399999999</v>
          </cell>
        </row>
        <row r="418">
          <cell r="A418">
            <v>30895</v>
          </cell>
          <cell r="B418">
            <v>166.679993</v>
          </cell>
        </row>
        <row r="419">
          <cell r="A419">
            <v>30926</v>
          </cell>
          <cell r="B419">
            <v>166.10000600000001</v>
          </cell>
        </row>
        <row r="420">
          <cell r="A420">
            <v>30956</v>
          </cell>
          <cell r="B420">
            <v>166.08999600000001</v>
          </cell>
        </row>
        <row r="421">
          <cell r="A421">
            <v>30987</v>
          </cell>
          <cell r="B421">
            <v>163.58000200000001</v>
          </cell>
        </row>
        <row r="422">
          <cell r="A422">
            <v>31017</v>
          </cell>
          <cell r="B422">
            <v>167.240005</v>
          </cell>
        </row>
        <row r="423">
          <cell r="A423">
            <v>31048</v>
          </cell>
          <cell r="B423">
            <v>179.63000500000001</v>
          </cell>
        </row>
        <row r="424">
          <cell r="A424">
            <v>31079</v>
          </cell>
          <cell r="B424">
            <v>181.179993</v>
          </cell>
        </row>
        <row r="425">
          <cell r="A425">
            <v>31107</v>
          </cell>
          <cell r="B425">
            <v>180.66000399999999</v>
          </cell>
        </row>
        <row r="426">
          <cell r="A426">
            <v>31138</v>
          </cell>
          <cell r="B426">
            <v>179.83000200000001</v>
          </cell>
        </row>
        <row r="427">
          <cell r="A427">
            <v>31168</v>
          </cell>
          <cell r="B427">
            <v>189.550003</v>
          </cell>
        </row>
        <row r="428">
          <cell r="A428">
            <v>31199</v>
          </cell>
          <cell r="B428">
            <v>191.85000600000001</v>
          </cell>
        </row>
        <row r="429">
          <cell r="A429">
            <v>31229</v>
          </cell>
          <cell r="B429">
            <v>190.91999799999999</v>
          </cell>
        </row>
        <row r="430">
          <cell r="A430">
            <v>31260</v>
          </cell>
          <cell r="B430">
            <v>188.63000500000001</v>
          </cell>
        </row>
        <row r="431">
          <cell r="A431">
            <v>31291</v>
          </cell>
          <cell r="B431">
            <v>182.08000200000001</v>
          </cell>
        </row>
        <row r="432">
          <cell r="A432">
            <v>31321</v>
          </cell>
          <cell r="B432">
            <v>189.820007</v>
          </cell>
        </row>
        <row r="433">
          <cell r="A433">
            <v>31352</v>
          </cell>
          <cell r="B433">
            <v>202.16999799999999</v>
          </cell>
        </row>
        <row r="434">
          <cell r="A434">
            <v>31382</v>
          </cell>
          <cell r="B434">
            <v>211.279999</v>
          </cell>
        </row>
        <row r="435">
          <cell r="A435">
            <v>31413</v>
          </cell>
          <cell r="B435">
            <v>211.779999</v>
          </cell>
        </row>
        <row r="436">
          <cell r="A436">
            <v>31444</v>
          </cell>
          <cell r="B436">
            <v>226.91999799999999</v>
          </cell>
        </row>
        <row r="437">
          <cell r="A437">
            <v>31472</v>
          </cell>
          <cell r="B437">
            <v>238.89999399999999</v>
          </cell>
        </row>
        <row r="438">
          <cell r="A438">
            <v>31503</v>
          </cell>
          <cell r="B438">
            <v>235.520004</v>
          </cell>
        </row>
        <row r="439">
          <cell r="A439">
            <v>31533</v>
          </cell>
          <cell r="B439">
            <v>247.35000600000001</v>
          </cell>
        </row>
        <row r="440">
          <cell r="A440">
            <v>31564</v>
          </cell>
          <cell r="B440">
            <v>250.83999600000001</v>
          </cell>
        </row>
        <row r="441">
          <cell r="A441">
            <v>31594</v>
          </cell>
          <cell r="B441">
            <v>236.11999499999999</v>
          </cell>
        </row>
        <row r="442">
          <cell r="A442">
            <v>31625</v>
          </cell>
          <cell r="B442">
            <v>252.929993</v>
          </cell>
        </row>
        <row r="443">
          <cell r="A443">
            <v>31656</v>
          </cell>
          <cell r="B443">
            <v>231.320007</v>
          </cell>
        </row>
        <row r="444">
          <cell r="A444">
            <v>31686</v>
          </cell>
          <cell r="B444">
            <v>243.979996</v>
          </cell>
        </row>
        <row r="445">
          <cell r="A445">
            <v>31717</v>
          </cell>
          <cell r="B445">
            <v>249.220001</v>
          </cell>
        </row>
        <row r="446">
          <cell r="A446">
            <v>31747</v>
          </cell>
          <cell r="B446">
            <v>242.16999799999999</v>
          </cell>
        </row>
        <row r="447">
          <cell r="A447">
            <v>31778</v>
          </cell>
          <cell r="B447">
            <v>274.07998700000002</v>
          </cell>
        </row>
        <row r="448">
          <cell r="A448">
            <v>31809</v>
          </cell>
          <cell r="B448">
            <v>284.20001200000002</v>
          </cell>
        </row>
        <row r="449">
          <cell r="A449">
            <v>31837</v>
          </cell>
          <cell r="B449">
            <v>291.70001200000002</v>
          </cell>
        </row>
        <row r="450">
          <cell r="A450">
            <v>31868</v>
          </cell>
          <cell r="B450">
            <v>288.35998499999999</v>
          </cell>
        </row>
        <row r="451">
          <cell r="A451">
            <v>31898</v>
          </cell>
          <cell r="B451">
            <v>290.10000600000001</v>
          </cell>
        </row>
        <row r="452">
          <cell r="A452">
            <v>31929</v>
          </cell>
          <cell r="B452">
            <v>304</v>
          </cell>
        </row>
        <row r="453">
          <cell r="A453">
            <v>31959</v>
          </cell>
          <cell r="B453">
            <v>318.66000400000001</v>
          </cell>
        </row>
        <row r="454">
          <cell r="A454">
            <v>31990</v>
          </cell>
          <cell r="B454">
            <v>329.79998799999998</v>
          </cell>
        </row>
        <row r="455">
          <cell r="A455">
            <v>32021</v>
          </cell>
          <cell r="B455">
            <v>321.82998700000002</v>
          </cell>
        </row>
        <row r="456">
          <cell r="A456">
            <v>32051</v>
          </cell>
          <cell r="B456">
            <v>251.78999300000001</v>
          </cell>
        </row>
        <row r="457">
          <cell r="A457">
            <v>32082</v>
          </cell>
          <cell r="B457">
            <v>230.300003</v>
          </cell>
        </row>
        <row r="458">
          <cell r="A458">
            <v>32112</v>
          </cell>
          <cell r="B458">
            <v>247.08000200000001</v>
          </cell>
        </row>
        <row r="459">
          <cell r="A459">
            <v>32143</v>
          </cell>
          <cell r="B459">
            <v>257.07000699999998</v>
          </cell>
        </row>
        <row r="460">
          <cell r="A460">
            <v>32174</v>
          </cell>
          <cell r="B460">
            <v>267.82000699999998</v>
          </cell>
        </row>
        <row r="461">
          <cell r="A461">
            <v>32203</v>
          </cell>
          <cell r="B461">
            <v>258.89001500000001</v>
          </cell>
        </row>
        <row r="462">
          <cell r="A462">
            <v>32234</v>
          </cell>
          <cell r="B462">
            <v>261.32998700000002</v>
          </cell>
        </row>
        <row r="463">
          <cell r="A463">
            <v>32264</v>
          </cell>
          <cell r="B463">
            <v>262.16000400000001</v>
          </cell>
        </row>
        <row r="464">
          <cell r="A464">
            <v>32295</v>
          </cell>
          <cell r="B464">
            <v>273.5</v>
          </cell>
        </row>
        <row r="465">
          <cell r="A465">
            <v>32325</v>
          </cell>
          <cell r="B465">
            <v>272.01998900000001</v>
          </cell>
        </row>
        <row r="466">
          <cell r="A466">
            <v>32356</v>
          </cell>
          <cell r="B466">
            <v>261.51998900000001</v>
          </cell>
        </row>
        <row r="467">
          <cell r="A467">
            <v>32387</v>
          </cell>
          <cell r="B467">
            <v>271.91000400000001</v>
          </cell>
        </row>
        <row r="468">
          <cell r="A468">
            <v>32417</v>
          </cell>
          <cell r="B468">
            <v>278.97000100000002</v>
          </cell>
        </row>
        <row r="469">
          <cell r="A469">
            <v>32448</v>
          </cell>
          <cell r="B469">
            <v>273.70001200000002</v>
          </cell>
        </row>
        <row r="470">
          <cell r="A470">
            <v>32478</v>
          </cell>
          <cell r="B470">
            <v>277.72000100000002</v>
          </cell>
        </row>
        <row r="471">
          <cell r="A471">
            <v>32509</v>
          </cell>
          <cell r="B471">
            <v>297.47000100000002</v>
          </cell>
        </row>
        <row r="472">
          <cell r="A472">
            <v>32540</v>
          </cell>
          <cell r="B472">
            <v>288.85998499999999</v>
          </cell>
        </row>
        <row r="473">
          <cell r="A473">
            <v>32568</v>
          </cell>
          <cell r="B473">
            <v>294.86999500000002</v>
          </cell>
        </row>
        <row r="474">
          <cell r="A474">
            <v>32599</v>
          </cell>
          <cell r="B474">
            <v>309.64001500000001</v>
          </cell>
        </row>
        <row r="475">
          <cell r="A475">
            <v>32629</v>
          </cell>
          <cell r="B475">
            <v>320.51998900000001</v>
          </cell>
        </row>
        <row r="476">
          <cell r="A476">
            <v>32660</v>
          </cell>
          <cell r="B476">
            <v>317.98001099999999</v>
          </cell>
        </row>
        <row r="477">
          <cell r="A477">
            <v>32690</v>
          </cell>
          <cell r="B477">
            <v>346.07998700000002</v>
          </cell>
        </row>
        <row r="478">
          <cell r="A478">
            <v>32721</v>
          </cell>
          <cell r="B478">
            <v>351.45001200000002</v>
          </cell>
        </row>
        <row r="479">
          <cell r="A479">
            <v>32752</v>
          </cell>
          <cell r="B479">
            <v>349.14999399999999</v>
          </cell>
        </row>
        <row r="480">
          <cell r="A480">
            <v>32782</v>
          </cell>
          <cell r="B480">
            <v>340.35998499999999</v>
          </cell>
        </row>
        <row r="481">
          <cell r="A481">
            <v>32813</v>
          </cell>
          <cell r="B481">
            <v>345.98998999999998</v>
          </cell>
        </row>
        <row r="482">
          <cell r="A482">
            <v>32843</v>
          </cell>
          <cell r="B482">
            <v>353.39999399999999</v>
          </cell>
        </row>
        <row r="483">
          <cell r="A483">
            <v>32874</v>
          </cell>
          <cell r="B483">
            <v>329.07998700000002</v>
          </cell>
        </row>
        <row r="484">
          <cell r="A484">
            <v>32905</v>
          </cell>
          <cell r="B484">
            <v>331.89001500000001</v>
          </cell>
        </row>
        <row r="485">
          <cell r="A485">
            <v>32933</v>
          </cell>
          <cell r="B485">
            <v>339.94000199999999</v>
          </cell>
        </row>
        <row r="486">
          <cell r="A486">
            <v>32964</v>
          </cell>
          <cell r="B486">
            <v>330.79998799999998</v>
          </cell>
        </row>
        <row r="487">
          <cell r="A487">
            <v>32994</v>
          </cell>
          <cell r="B487">
            <v>361.23001099999999</v>
          </cell>
        </row>
        <row r="488">
          <cell r="A488">
            <v>33025</v>
          </cell>
          <cell r="B488">
            <v>358.01998900000001</v>
          </cell>
        </row>
        <row r="489">
          <cell r="A489">
            <v>33055</v>
          </cell>
          <cell r="B489">
            <v>356.14999399999999</v>
          </cell>
        </row>
        <row r="490">
          <cell r="A490">
            <v>33086</v>
          </cell>
          <cell r="B490">
            <v>322.55999800000001</v>
          </cell>
        </row>
        <row r="491">
          <cell r="A491">
            <v>33117</v>
          </cell>
          <cell r="B491">
            <v>306.04998799999998</v>
          </cell>
        </row>
        <row r="492">
          <cell r="A492">
            <v>33147</v>
          </cell>
          <cell r="B492">
            <v>304</v>
          </cell>
        </row>
        <row r="493">
          <cell r="A493">
            <v>33178</v>
          </cell>
          <cell r="B493">
            <v>322.22000100000002</v>
          </cell>
        </row>
        <row r="494">
          <cell r="A494">
            <v>33208</v>
          </cell>
          <cell r="B494">
            <v>330.22000100000002</v>
          </cell>
        </row>
        <row r="495">
          <cell r="A495">
            <v>33239</v>
          </cell>
          <cell r="B495">
            <v>343.92999300000002</v>
          </cell>
        </row>
        <row r="496">
          <cell r="A496">
            <v>33270</v>
          </cell>
          <cell r="B496">
            <v>367.07000699999998</v>
          </cell>
        </row>
        <row r="497">
          <cell r="A497">
            <v>33298</v>
          </cell>
          <cell r="B497">
            <v>375.22000100000002</v>
          </cell>
        </row>
        <row r="498">
          <cell r="A498">
            <v>33329</v>
          </cell>
          <cell r="B498">
            <v>375.33999599999999</v>
          </cell>
        </row>
        <row r="499">
          <cell r="A499">
            <v>33359</v>
          </cell>
          <cell r="B499">
            <v>389.82998700000002</v>
          </cell>
        </row>
        <row r="500">
          <cell r="A500">
            <v>33390</v>
          </cell>
          <cell r="B500">
            <v>371.16000400000001</v>
          </cell>
        </row>
        <row r="501">
          <cell r="A501">
            <v>33420</v>
          </cell>
          <cell r="B501">
            <v>387.80999800000001</v>
          </cell>
        </row>
        <row r="502">
          <cell r="A502">
            <v>33451</v>
          </cell>
          <cell r="B502">
            <v>395.42999300000002</v>
          </cell>
        </row>
        <row r="503">
          <cell r="A503">
            <v>33482</v>
          </cell>
          <cell r="B503">
            <v>387.85998499999999</v>
          </cell>
        </row>
        <row r="504">
          <cell r="A504">
            <v>33512</v>
          </cell>
          <cell r="B504">
            <v>392.45001200000002</v>
          </cell>
        </row>
        <row r="505">
          <cell r="A505">
            <v>33543</v>
          </cell>
          <cell r="B505">
            <v>375.22000100000002</v>
          </cell>
        </row>
        <row r="506">
          <cell r="A506">
            <v>33573</v>
          </cell>
          <cell r="B506">
            <v>417.08999599999999</v>
          </cell>
        </row>
        <row r="507">
          <cell r="A507">
            <v>33604</v>
          </cell>
          <cell r="B507">
            <v>408.77999899999998</v>
          </cell>
        </row>
        <row r="508">
          <cell r="A508">
            <v>33635</v>
          </cell>
          <cell r="B508">
            <v>412.70001200000002</v>
          </cell>
        </row>
        <row r="509">
          <cell r="A509">
            <v>33664</v>
          </cell>
          <cell r="B509">
            <v>403.69000199999999</v>
          </cell>
        </row>
        <row r="510">
          <cell r="A510">
            <v>33695</v>
          </cell>
          <cell r="B510">
            <v>414.95001200000002</v>
          </cell>
        </row>
        <row r="511">
          <cell r="A511">
            <v>33725</v>
          </cell>
          <cell r="B511">
            <v>415.35000600000001</v>
          </cell>
        </row>
        <row r="512">
          <cell r="A512">
            <v>33756</v>
          </cell>
          <cell r="B512">
            <v>408.14001500000001</v>
          </cell>
        </row>
        <row r="513">
          <cell r="A513">
            <v>33786</v>
          </cell>
          <cell r="B513">
            <v>424.209991</v>
          </cell>
        </row>
        <row r="514">
          <cell r="A514">
            <v>33817</v>
          </cell>
          <cell r="B514">
            <v>414.02999899999998</v>
          </cell>
        </row>
        <row r="515">
          <cell r="A515">
            <v>33848</v>
          </cell>
          <cell r="B515">
            <v>417.79998799999998</v>
          </cell>
        </row>
        <row r="516">
          <cell r="A516">
            <v>33878</v>
          </cell>
          <cell r="B516">
            <v>418.67999300000002</v>
          </cell>
        </row>
        <row r="517">
          <cell r="A517">
            <v>33909</v>
          </cell>
          <cell r="B517">
            <v>431.35000600000001</v>
          </cell>
        </row>
        <row r="518">
          <cell r="A518">
            <v>33939</v>
          </cell>
          <cell r="B518">
            <v>435.709991</v>
          </cell>
        </row>
        <row r="519">
          <cell r="A519">
            <v>33970</v>
          </cell>
          <cell r="B519">
            <v>438.77999899999998</v>
          </cell>
        </row>
        <row r="520">
          <cell r="A520">
            <v>34001</v>
          </cell>
          <cell r="B520">
            <v>443.38000499999998</v>
          </cell>
        </row>
        <row r="521">
          <cell r="A521">
            <v>34029</v>
          </cell>
          <cell r="B521">
            <v>451.67001299999998</v>
          </cell>
        </row>
        <row r="522">
          <cell r="A522">
            <v>34060</v>
          </cell>
          <cell r="B522">
            <v>440.19000199999999</v>
          </cell>
        </row>
        <row r="523">
          <cell r="A523">
            <v>34090</v>
          </cell>
          <cell r="B523">
            <v>450.19000199999999</v>
          </cell>
        </row>
        <row r="524">
          <cell r="A524">
            <v>34121</v>
          </cell>
          <cell r="B524">
            <v>450.52999899999998</v>
          </cell>
        </row>
        <row r="525">
          <cell r="A525">
            <v>34151</v>
          </cell>
          <cell r="B525">
            <v>448.13000499999998</v>
          </cell>
        </row>
        <row r="526">
          <cell r="A526">
            <v>34182</v>
          </cell>
          <cell r="B526">
            <v>463.55999800000001</v>
          </cell>
        </row>
        <row r="527">
          <cell r="A527">
            <v>34213</v>
          </cell>
          <cell r="B527">
            <v>458.92999300000002</v>
          </cell>
        </row>
        <row r="528">
          <cell r="A528">
            <v>34243</v>
          </cell>
          <cell r="B528">
            <v>467.82998700000002</v>
          </cell>
        </row>
        <row r="529">
          <cell r="A529">
            <v>34274</v>
          </cell>
          <cell r="B529">
            <v>461.790009</v>
          </cell>
        </row>
        <row r="530">
          <cell r="A530">
            <v>34304</v>
          </cell>
          <cell r="B530">
            <v>466.45001200000002</v>
          </cell>
        </row>
        <row r="531">
          <cell r="A531">
            <v>34335</v>
          </cell>
          <cell r="B531">
            <v>481.60998499999999</v>
          </cell>
        </row>
        <row r="532">
          <cell r="A532">
            <v>34366</v>
          </cell>
          <cell r="B532">
            <v>467.14001500000001</v>
          </cell>
        </row>
        <row r="533">
          <cell r="A533">
            <v>34394</v>
          </cell>
          <cell r="B533">
            <v>445.76998900000001</v>
          </cell>
        </row>
        <row r="534">
          <cell r="A534">
            <v>34425</v>
          </cell>
          <cell r="B534">
            <v>450.91000400000001</v>
          </cell>
        </row>
        <row r="535">
          <cell r="A535">
            <v>34455</v>
          </cell>
          <cell r="B535">
            <v>456.5</v>
          </cell>
        </row>
        <row r="536">
          <cell r="A536">
            <v>34486</v>
          </cell>
          <cell r="B536">
            <v>444.26998900000001</v>
          </cell>
        </row>
        <row r="537">
          <cell r="A537">
            <v>34516</v>
          </cell>
          <cell r="B537">
            <v>458.26001000000002</v>
          </cell>
        </row>
        <row r="538">
          <cell r="A538">
            <v>34547</v>
          </cell>
          <cell r="B538">
            <v>475.48998999999998</v>
          </cell>
        </row>
        <row r="539">
          <cell r="A539">
            <v>34578</v>
          </cell>
          <cell r="B539">
            <v>462.709991</v>
          </cell>
        </row>
        <row r="540">
          <cell r="A540">
            <v>34608</v>
          </cell>
          <cell r="B540">
            <v>472.35000600000001</v>
          </cell>
        </row>
        <row r="541">
          <cell r="A541">
            <v>34639</v>
          </cell>
          <cell r="B541">
            <v>453.69000199999999</v>
          </cell>
        </row>
        <row r="542">
          <cell r="A542">
            <v>34669</v>
          </cell>
          <cell r="B542">
            <v>459.26998900000001</v>
          </cell>
        </row>
        <row r="543">
          <cell r="A543">
            <v>34700</v>
          </cell>
          <cell r="B543">
            <v>470.42001299999998</v>
          </cell>
        </row>
        <row r="544">
          <cell r="A544">
            <v>34731</v>
          </cell>
          <cell r="B544">
            <v>487.39001500000001</v>
          </cell>
        </row>
        <row r="545">
          <cell r="A545">
            <v>34759</v>
          </cell>
          <cell r="B545">
            <v>500.709991</v>
          </cell>
        </row>
        <row r="546">
          <cell r="A546">
            <v>34790</v>
          </cell>
          <cell r="B546">
            <v>514.71002199999998</v>
          </cell>
        </row>
        <row r="547">
          <cell r="A547">
            <v>34820</v>
          </cell>
          <cell r="B547">
            <v>533.40002400000003</v>
          </cell>
        </row>
        <row r="548">
          <cell r="A548">
            <v>34851</v>
          </cell>
          <cell r="B548">
            <v>544.75</v>
          </cell>
        </row>
        <row r="549">
          <cell r="A549">
            <v>34881</v>
          </cell>
          <cell r="B549">
            <v>562.05999799999995</v>
          </cell>
        </row>
        <row r="550">
          <cell r="A550">
            <v>34912</v>
          </cell>
          <cell r="B550">
            <v>561.88000499999998</v>
          </cell>
        </row>
        <row r="551">
          <cell r="A551">
            <v>34943</v>
          </cell>
          <cell r="B551">
            <v>584.40997300000004</v>
          </cell>
        </row>
        <row r="552">
          <cell r="A552">
            <v>34973</v>
          </cell>
          <cell r="B552">
            <v>581.5</v>
          </cell>
        </row>
        <row r="553">
          <cell r="A553">
            <v>35004</v>
          </cell>
          <cell r="B553">
            <v>605.36999500000002</v>
          </cell>
        </row>
        <row r="554">
          <cell r="A554">
            <v>35034</v>
          </cell>
          <cell r="B554">
            <v>615.92999299999997</v>
          </cell>
        </row>
        <row r="555">
          <cell r="A555">
            <v>35065</v>
          </cell>
          <cell r="B555">
            <v>636.02002000000005</v>
          </cell>
        </row>
        <row r="556">
          <cell r="A556">
            <v>35096</v>
          </cell>
          <cell r="B556">
            <v>640.42999299999997</v>
          </cell>
        </row>
        <row r="557">
          <cell r="A557">
            <v>35125</v>
          </cell>
          <cell r="B557">
            <v>645.5</v>
          </cell>
        </row>
        <row r="558">
          <cell r="A558">
            <v>35156</v>
          </cell>
          <cell r="B558">
            <v>654.169983</v>
          </cell>
        </row>
        <row r="559">
          <cell r="A559">
            <v>35186</v>
          </cell>
          <cell r="B559">
            <v>669.11999500000002</v>
          </cell>
        </row>
        <row r="560">
          <cell r="A560">
            <v>35217</v>
          </cell>
          <cell r="B560">
            <v>670.63000499999998</v>
          </cell>
        </row>
        <row r="561">
          <cell r="A561">
            <v>35247</v>
          </cell>
          <cell r="B561">
            <v>639.95001200000002</v>
          </cell>
        </row>
        <row r="562">
          <cell r="A562">
            <v>35278</v>
          </cell>
          <cell r="B562">
            <v>651.98999000000003</v>
          </cell>
        </row>
        <row r="563">
          <cell r="A563">
            <v>35309</v>
          </cell>
          <cell r="B563">
            <v>687.330017</v>
          </cell>
        </row>
        <row r="564">
          <cell r="A564">
            <v>35339</v>
          </cell>
          <cell r="B564">
            <v>705.27002000000005</v>
          </cell>
        </row>
        <row r="565">
          <cell r="A565">
            <v>35370</v>
          </cell>
          <cell r="B565">
            <v>757.02002000000005</v>
          </cell>
        </row>
        <row r="566">
          <cell r="A566">
            <v>35400</v>
          </cell>
          <cell r="B566">
            <v>740.73999000000003</v>
          </cell>
        </row>
        <row r="567">
          <cell r="A567">
            <v>35431</v>
          </cell>
          <cell r="B567">
            <v>786.15997300000004</v>
          </cell>
        </row>
        <row r="568">
          <cell r="A568">
            <v>35462</v>
          </cell>
          <cell r="B568">
            <v>790.82000700000003</v>
          </cell>
        </row>
        <row r="569">
          <cell r="A569">
            <v>35490</v>
          </cell>
          <cell r="B569">
            <v>757.11999500000002</v>
          </cell>
        </row>
        <row r="570">
          <cell r="A570">
            <v>35521</v>
          </cell>
          <cell r="B570">
            <v>801.34002699999996</v>
          </cell>
        </row>
        <row r="571">
          <cell r="A571">
            <v>35551</v>
          </cell>
          <cell r="B571">
            <v>848.28002900000001</v>
          </cell>
        </row>
        <row r="572">
          <cell r="A572">
            <v>35582</v>
          </cell>
          <cell r="B572">
            <v>885.14001499999995</v>
          </cell>
        </row>
        <row r="573">
          <cell r="A573">
            <v>35612</v>
          </cell>
          <cell r="B573">
            <v>954.30999799999995</v>
          </cell>
        </row>
        <row r="574">
          <cell r="A574">
            <v>35643</v>
          </cell>
          <cell r="B574">
            <v>899.46997099999999</v>
          </cell>
        </row>
        <row r="575">
          <cell r="A575">
            <v>35674</v>
          </cell>
          <cell r="B575">
            <v>947.28002900000001</v>
          </cell>
        </row>
        <row r="576">
          <cell r="A576">
            <v>35704</v>
          </cell>
          <cell r="B576">
            <v>914.61999500000002</v>
          </cell>
        </row>
        <row r="577">
          <cell r="A577">
            <v>35735</v>
          </cell>
          <cell r="B577">
            <v>955.40002400000003</v>
          </cell>
        </row>
        <row r="578">
          <cell r="A578">
            <v>35765</v>
          </cell>
          <cell r="B578">
            <v>970.42999299999997</v>
          </cell>
        </row>
        <row r="579">
          <cell r="A579">
            <v>35796</v>
          </cell>
          <cell r="B579">
            <v>980.28002900000001</v>
          </cell>
        </row>
        <row r="580">
          <cell r="A580">
            <v>35827</v>
          </cell>
          <cell r="B580">
            <v>1049.339966</v>
          </cell>
        </row>
        <row r="581">
          <cell r="A581">
            <v>35855</v>
          </cell>
          <cell r="B581">
            <v>1101.75</v>
          </cell>
        </row>
        <row r="582">
          <cell r="A582">
            <v>35886</v>
          </cell>
          <cell r="B582">
            <v>1111.75</v>
          </cell>
        </row>
        <row r="583">
          <cell r="A583">
            <v>35916</v>
          </cell>
          <cell r="B583">
            <v>1090.8199460000001</v>
          </cell>
        </row>
        <row r="584">
          <cell r="A584">
            <v>35947</v>
          </cell>
          <cell r="B584">
            <v>1133.839966</v>
          </cell>
        </row>
        <row r="585">
          <cell r="A585">
            <v>35977</v>
          </cell>
          <cell r="B585">
            <v>1120.670044</v>
          </cell>
        </row>
        <row r="586">
          <cell r="A586">
            <v>36008</v>
          </cell>
          <cell r="B586">
            <v>957.28002900000001</v>
          </cell>
        </row>
        <row r="587">
          <cell r="A587">
            <v>36039</v>
          </cell>
          <cell r="B587">
            <v>1017.01001</v>
          </cell>
        </row>
        <row r="588">
          <cell r="A588">
            <v>36069</v>
          </cell>
          <cell r="B588">
            <v>1098.670044</v>
          </cell>
        </row>
        <row r="589">
          <cell r="A589">
            <v>36100</v>
          </cell>
          <cell r="B589">
            <v>1163.630005</v>
          </cell>
        </row>
        <row r="590">
          <cell r="A590">
            <v>36130</v>
          </cell>
          <cell r="B590">
            <v>1229.2299800000001</v>
          </cell>
        </row>
        <row r="591">
          <cell r="A591">
            <v>36161</v>
          </cell>
          <cell r="B591">
            <v>1279.6400149999999</v>
          </cell>
        </row>
        <row r="592">
          <cell r="A592">
            <v>36192</v>
          </cell>
          <cell r="B592">
            <v>1238.329956</v>
          </cell>
        </row>
        <row r="593">
          <cell r="A593">
            <v>36220</v>
          </cell>
          <cell r="B593">
            <v>1286.369995</v>
          </cell>
        </row>
        <row r="594">
          <cell r="A594">
            <v>36251</v>
          </cell>
          <cell r="B594">
            <v>1335.1800539999999</v>
          </cell>
        </row>
        <row r="595">
          <cell r="A595">
            <v>36281</v>
          </cell>
          <cell r="B595">
            <v>1301.839966</v>
          </cell>
        </row>
        <row r="596">
          <cell r="A596">
            <v>36312</v>
          </cell>
          <cell r="B596">
            <v>1372.709961</v>
          </cell>
        </row>
        <row r="597">
          <cell r="A597">
            <v>36342</v>
          </cell>
          <cell r="B597">
            <v>1328.719971</v>
          </cell>
        </row>
        <row r="598">
          <cell r="A598">
            <v>36373</v>
          </cell>
          <cell r="B598">
            <v>1320.410034</v>
          </cell>
        </row>
        <row r="599">
          <cell r="A599">
            <v>36404</v>
          </cell>
          <cell r="B599">
            <v>1282.709961</v>
          </cell>
        </row>
        <row r="600">
          <cell r="A600">
            <v>36434</v>
          </cell>
          <cell r="B600">
            <v>1362.9300539999999</v>
          </cell>
        </row>
        <row r="601">
          <cell r="A601">
            <v>36465</v>
          </cell>
          <cell r="B601">
            <v>1388.910034</v>
          </cell>
        </row>
        <row r="602">
          <cell r="A602">
            <v>36495</v>
          </cell>
          <cell r="B602">
            <v>1469.25</v>
          </cell>
        </row>
        <row r="603">
          <cell r="A603">
            <v>36526</v>
          </cell>
          <cell r="B603">
            <v>1394.459961</v>
          </cell>
        </row>
        <row r="604">
          <cell r="A604">
            <v>36557</v>
          </cell>
          <cell r="B604">
            <v>1366.420044</v>
          </cell>
        </row>
        <row r="605">
          <cell r="A605">
            <v>36586</v>
          </cell>
          <cell r="B605">
            <v>1498.579956</v>
          </cell>
        </row>
        <row r="606">
          <cell r="A606">
            <v>36617</v>
          </cell>
          <cell r="B606">
            <v>1452.4300539999999</v>
          </cell>
        </row>
        <row r="607">
          <cell r="A607">
            <v>36647</v>
          </cell>
          <cell r="B607">
            <v>1420.599976</v>
          </cell>
        </row>
        <row r="608">
          <cell r="A608">
            <v>36678</v>
          </cell>
          <cell r="B608">
            <v>1454.599976</v>
          </cell>
        </row>
        <row r="609">
          <cell r="A609">
            <v>36708</v>
          </cell>
          <cell r="B609">
            <v>1430.829956</v>
          </cell>
        </row>
        <row r="610">
          <cell r="A610">
            <v>36739</v>
          </cell>
          <cell r="B610">
            <v>1517.6800539999999</v>
          </cell>
        </row>
        <row r="611">
          <cell r="A611">
            <v>36770</v>
          </cell>
          <cell r="B611">
            <v>1436.51001</v>
          </cell>
        </row>
        <row r="612">
          <cell r="A612">
            <v>36800</v>
          </cell>
          <cell r="B612">
            <v>1429.400024</v>
          </cell>
        </row>
        <row r="613">
          <cell r="A613">
            <v>36831</v>
          </cell>
          <cell r="B613">
            <v>1314.9499510000001</v>
          </cell>
        </row>
        <row r="614">
          <cell r="A614">
            <v>36861</v>
          </cell>
          <cell r="B614">
            <v>1320.280029</v>
          </cell>
        </row>
        <row r="615">
          <cell r="A615">
            <v>36892</v>
          </cell>
          <cell r="B615">
            <v>1366.01001</v>
          </cell>
        </row>
        <row r="616">
          <cell r="A616">
            <v>36923</v>
          </cell>
          <cell r="B616">
            <v>1239.9399410000001</v>
          </cell>
        </row>
        <row r="617">
          <cell r="A617">
            <v>36951</v>
          </cell>
          <cell r="B617">
            <v>1160.329956</v>
          </cell>
        </row>
        <row r="618">
          <cell r="A618">
            <v>36982</v>
          </cell>
          <cell r="B618">
            <v>1249.459961</v>
          </cell>
        </row>
        <row r="619">
          <cell r="A619">
            <v>37012</v>
          </cell>
          <cell r="B619">
            <v>1255.8199460000001</v>
          </cell>
        </row>
        <row r="620">
          <cell r="A620">
            <v>37043</v>
          </cell>
          <cell r="B620">
            <v>1224.380005</v>
          </cell>
        </row>
        <row r="621">
          <cell r="A621">
            <v>37073</v>
          </cell>
          <cell r="B621">
            <v>1211.2299800000001</v>
          </cell>
        </row>
        <row r="622">
          <cell r="A622">
            <v>37104</v>
          </cell>
          <cell r="B622">
            <v>1133.579956</v>
          </cell>
        </row>
        <row r="623">
          <cell r="A623">
            <v>37135</v>
          </cell>
          <cell r="B623">
            <v>1040.9399410000001</v>
          </cell>
        </row>
        <row r="624">
          <cell r="A624">
            <v>37165</v>
          </cell>
          <cell r="B624">
            <v>1059.780029</v>
          </cell>
        </row>
        <row r="625">
          <cell r="A625">
            <v>37196</v>
          </cell>
          <cell r="B625">
            <v>1139.4499510000001</v>
          </cell>
        </row>
        <row r="626">
          <cell r="A626">
            <v>37226</v>
          </cell>
          <cell r="B626">
            <v>1148.079956</v>
          </cell>
        </row>
        <row r="627">
          <cell r="A627">
            <v>37257</v>
          </cell>
          <cell r="B627">
            <v>1130.1999510000001</v>
          </cell>
        </row>
        <row r="628">
          <cell r="A628">
            <v>37288</v>
          </cell>
          <cell r="B628">
            <v>1106.7299800000001</v>
          </cell>
        </row>
        <row r="629">
          <cell r="A629">
            <v>37316</v>
          </cell>
          <cell r="B629">
            <v>1147.3900149999999</v>
          </cell>
        </row>
        <row r="630">
          <cell r="A630">
            <v>37347</v>
          </cell>
          <cell r="B630">
            <v>1076.920044</v>
          </cell>
        </row>
        <row r="631">
          <cell r="A631">
            <v>37377</v>
          </cell>
          <cell r="B631">
            <v>1067.1400149999999</v>
          </cell>
        </row>
        <row r="632">
          <cell r="A632">
            <v>37408</v>
          </cell>
          <cell r="B632">
            <v>989.82000700000003</v>
          </cell>
        </row>
        <row r="633">
          <cell r="A633">
            <v>37438</v>
          </cell>
          <cell r="B633">
            <v>911.61999500000002</v>
          </cell>
        </row>
        <row r="634">
          <cell r="A634">
            <v>37469</v>
          </cell>
          <cell r="B634">
            <v>916.07000700000003</v>
          </cell>
        </row>
        <row r="635">
          <cell r="A635">
            <v>37500</v>
          </cell>
          <cell r="B635">
            <v>815.28002900000001</v>
          </cell>
        </row>
        <row r="636">
          <cell r="A636">
            <v>37530</v>
          </cell>
          <cell r="B636">
            <v>885.76000999999997</v>
          </cell>
        </row>
        <row r="637">
          <cell r="A637">
            <v>37561</v>
          </cell>
          <cell r="B637">
            <v>936.30999799999995</v>
          </cell>
        </row>
        <row r="638">
          <cell r="A638">
            <v>37591</v>
          </cell>
          <cell r="B638">
            <v>879.82000700000003</v>
          </cell>
        </row>
        <row r="639">
          <cell r="A639">
            <v>37622</v>
          </cell>
          <cell r="B639">
            <v>855.70001200000002</v>
          </cell>
        </row>
        <row r="640">
          <cell r="A640">
            <v>37653</v>
          </cell>
          <cell r="B640">
            <v>841.15002400000003</v>
          </cell>
        </row>
        <row r="641">
          <cell r="A641">
            <v>37681</v>
          </cell>
          <cell r="B641">
            <v>848.17999299999997</v>
          </cell>
        </row>
        <row r="642">
          <cell r="A642">
            <v>37712</v>
          </cell>
          <cell r="B642">
            <v>916.919983</v>
          </cell>
        </row>
        <row r="643">
          <cell r="A643">
            <v>37742</v>
          </cell>
          <cell r="B643">
            <v>963.59002699999996</v>
          </cell>
        </row>
        <row r="644">
          <cell r="A644">
            <v>37773</v>
          </cell>
          <cell r="B644">
            <v>974.5</v>
          </cell>
        </row>
        <row r="645">
          <cell r="A645">
            <v>37803</v>
          </cell>
          <cell r="B645">
            <v>990.30999799999995</v>
          </cell>
        </row>
        <row r="646">
          <cell r="A646">
            <v>37834</v>
          </cell>
          <cell r="B646">
            <v>1008.01001</v>
          </cell>
        </row>
        <row r="647">
          <cell r="A647">
            <v>37865</v>
          </cell>
          <cell r="B647">
            <v>995.96997099999999</v>
          </cell>
        </row>
        <row r="648">
          <cell r="A648">
            <v>37895</v>
          </cell>
          <cell r="B648">
            <v>1050.709961</v>
          </cell>
        </row>
        <row r="649">
          <cell r="A649">
            <v>37926</v>
          </cell>
          <cell r="B649">
            <v>1058.1999510000001</v>
          </cell>
        </row>
        <row r="650">
          <cell r="A650">
            <v>37956</v>
          </cell>
          <cell r="B650">
            <v>1111.920044</v>
          </cell>
        </row>
        <row r="651">
          <cell r="A651">
            <v>37987</v>
          </cell>
          <cell r="B651">
            <v>1131.130005</v>
          </cell>
        </row>
        <row r="652">
          <cell r="A652">
            <v>38018</v>
          </cell>
          <cell r="B652">
            <v>1144.9399410000001</v>
          </cell>
        </row>
        <row r="653">
          <cell r="A653">
            <v>38047</v>
          </cell>
          <cell r="B653">
            <v>1126.209961</v>
          </cell>
        </row>
        <row r="654">
          <cell r="A654">
            <v>38078</v>
          </cell>
          <cell r="B654">
            <v>1107.3000489999999</v>
          </cell>
        </row>
        <row r="655">
          <cell r="A655">
            <v>38108</v>
          </cell>
          <cell r="B655">
            <v>1120.6800539999999</v>
          </cell>
        </row>
        <row r="656">
          <cell r="A656">
            <v>38139</v>
          </cell>
          <cell r="B656">
            <v>1140.839966</v>
          </cell>
        </row>
        <row r="657">
          <cell r="A657">
            <v>38169</v>
          </cell>
          <cell r="B657">
            <v>1101.719971</v>
          </cell>
        </row>
        <row r="658">
          <cell r="A658">
            <v>38200</v>
          </cell>
          <cell r="B658">
            <v>1104.23999</v>
          </cell>
        </row>
        <row r="659">
          <cell r="A659">
            <v>38231</v>
          </cell>
          <cell r="B659">
            <v>1114.579956</v>
          </cell>
        </row>
        <row r="660">
          <cell r="A660">
            <v>38261</v>
          </cell>
          <cell r="B660">
            <v>1130.1999510000001</v>
          </cell>
        </row>
        <row r="661">
          <cell r="A661">
            <v>38292</v>
          </cell>
          <cell r="B661">
            <v>1173.8199460000001</v>
          </cell>
        </row>
        <row r="662">
          <cell r="A662">
            <v>38322</v>
          </cell>
          <cell r="B662">
            <v>1211.920044</v>
          </cell>
        </row>
        <row r="663">
          <cell r="A663">
            <v>38353</v>
          </cell>
          <cell r="B663">
            <v>1181.2700199999999</v>
          </cell>
        </row>
        <row r="664">
          <cell r="A664">
            <v>38384</v>
          </cell>
          <cell r="B664">
            <v>1203.599976</v>
          </cell>
        </row>
        <row r="665">
          <cell r="A665">
            <v>38412</v>
          </cell>
          <cell r="B665">
            <v>1180.589966</v>
          </cell>
        </row>
        <row r="666">
          <cell r="A666">
            <v>38443</v>
          </cell>
          <cell r="B666">
            <v>1156.849976</v>
          </cell>
        </row>
        <row r="667">
          <cell r="A667">
            <v>38473</v>
          </cell>
          <cell r="B667">
            <v>1191.5</v>
          </cell>
        </row>
        <row r="668">
          <cell r="A668">
            <v>38504</v>
          </cell>
          <cell r="B668">
            <v>1191.329956</v>
          </cell>
        </row>
        <row r="669">
          <cell r="A669">
            <v>38534</v>
          </cell>
          <cell r="B669">
            <v>1234.1800539999999</v>
          </cell>
        </row>
        <row r="670">
          <cell r="A670">
            <v>38565</v>
          </cell>
          <cell r="B670">
            <v>1220.329956</v>
          </cell>
        </row>
        <row r="671">
          <cell r="A671">
            <v>38596</v>
          </cell>
          <cell r="B671">
            <v>1228.8100589999999</v>
          </cell>
        </row>
        <row r="672">
          <cell r="A672">
            <v>38626</v>
          </cell>
          <cell r="B672">
            <v>1207.01001</v>
          </cell>
        </row>
        <row r="673">
          <cell r="A673">
            <v>38657</v>
          </cell>
          <cell r="B673">
            <v>1249.4799800000001</v>
          </cell>
        </row>
        <row r="674">
          <cell r="A674">
            <v>38687</v>
          </cell>
          <cell r="B674">
            <v>1248.290039</v>
          </cell>
        </row>
        <row r="675">
          <cell r="A675">
            <v>38718</v>
          </cell>
          <cell r="B675">
            <v>1280.079956</v>
          </cell>
        </row>
        <row r="676">
          <cell r="A676">
            <v>38749</v>
          </cell>
          <cell r="B676">
            <v>1280.660034</v>
          </cell>
        </row>
        <row r="677">
          <cell r="A677">
            <v>38777</v>
          </cell>
          <cell r="B677">
            <v>1294.869995</v>
          </cell>
        </row>
        <row r="678">
          <cell r="A678">
            <v>38808</v>
          </cell>
          <cell r="B678">
            <v>1310.6099850000001</v>
          </cell>
        </row>
        <row r="679">
          <cell r="A679">
            <v>38838</v>
          </cell>
          <cell r="B679">
            <v>1270.089966</v>
          </cell>
        </row>
        <row r="680">
          <cell r="A680">
            <v>38869</v>
          </cell>
          <cell r="B680">
            <v>1270.1999510000001</v>
          </cell>
        </row>
        <row r="681">
          <cell r="A681">
            <v>38899</v>
          </cell>
          <cell r="B681">
            <v>1276.660034</v>
          </cell>
        </row>
        <row r="682">
          <cell r="A682">
            <v>38930</v>
          </cell>
          <cell r="B682">
            <v>1303.8199460000001</v>
          </cell>
        </row>
        <row r="683">
          <cell r="A683">
            <v>38961</v>
          </cell>
          <cell r="B683">
            <v>1335.849976</v>
          </cell>
        </row>
        <row r="684">
          <cell r="A684">
            <v>38991</v>
          </cell>
          <cell r="B684">
            <v>1377.9399410000001</v>
          </cell>
        </row>
        <row r="685">
          <cell r="A685">
            <v>39022</v>
          </cell>
          <cell r="B685">
            <v>1400.630005</v>
          </cell>
        </row>
        <row r="686">
          <cell r="A686">
            <v>39052</v>
          </cell>
          <cell r="B686">
            <v>1418.3000489999999</v>
          </cell>
        </row>
        <row r="687">
          <cell r="A687">
            <v>39083</v>
          </cell>
          <cell r="B687">
            <v>1438.23999</v>
          </cell>
        </row>
        <row r="688">
          <cell r="A688">
            <v>39114</v>
          </cell>
          <cell r="B688">
            <v>1406.8199460000001</v>
          </cell>
        </row>
        <row r="689">
          <cell r="A689">
            <v>39142</v>
          </cell>
          <cell r="B689">
            <v>1420.8599850000001</v>
          </cell>
        </row>
        <row r="690">
          <cell r="A690">
            <v>39173</v>
          </cell>
          <cell r="B690">
            <v>1482.369995</v>
          </cell>
        </row>
        <row r="691">
          <cell r="A691">
            <v>39203</v>
          </cell>
          <cell r="B691">
            <v>1530.619995</v>
          </cell>
        </row>
        <row r="692">
          <cell r="A692">
            <v>39234</v>
          </cell>
          <cell r="B692">
            <v>1503.349976</v>
          </cell>
        </row>
        <row r="693">
          <cell r="A693">
            <v>39264</v>
          </cell>
          <cell r="B693">
            <v>1455.2700199999999</v>
          </cell>
        </row>
        <row r="694">
          <cell r="A694">
            <v>39295</v>
          </cell>
          <cell r="B694">
            <v>1473.98999</v>
          </cell>
        </row>
        <row r="695">
          <cell r="A695">
            <v>39326</v>
          </cell>
          <cell r="B695">
            <v>1526.75</v>
          </cell>
        </row>
        <row r="696">
          <cell r="A696">
            <v>39356</v>
          </cell>
          <cell r="B696">
            <v>1549.380005</v>
          </cell>
        </row>
        <row r="697">
          <cell r="A697">
            <v>39387</v>
          </cell>
          <cell r="B697">
            <v>1481.1400149999999</v>
          </cell>
        </row>
        <row r="698">
          <cell r="A698">
            <v>39417</v>
          </cell>
          <cell r="B698">
            <v>1468.3599850000001</v>
          </cell>
        </row>
        <row r="699">
          <cell r="A699">
            <v>39448</v>
          </cell>
          <cell r="B699">
            <v>1378.5500489999999</v>
          </cell>
        </row>
        <row r="700">
          <cell r="A700">
            <v>39479</v>
          </cell>
          <cell r="B700">
            <v>1330.630005</v>
          </cell>
        </row>
        <row r="701">
          <cell r="A701">
            <v>39508</v>
          </cell>
          <cell r="B701">
            <v>1322.6999510000001</v>
          </cell>
        </row>
        <row r="702">
          <cell r="A702">
            <v>39539</v>
          </cell>
          <cell r="B702">
            <v>1385.589966</v>
          </cell>
        </row>
        <row r="703">
          <cell r="A703">
            <v>39569</v>
          </cell>
          <cell r="B703">
            <v>1400.380005</v>
          </cell>
        </row>
        <row r="704">
          <cell r="A704">
            <v>39600</v>
          </cell>
          <cell r="B704">
            <v>1280</v>
          </cell>
        </row>
        <row r="705">
          <cell r="A705">
            <v>39630</v>
          </cell>
          <cell r="B705">
            <v>1267.380005</v>
          </cell>
        </row>
        <row r="706">
          <cell r="A706">
            <v>39661</v>
          </cell>
          <cell r="B706">
            <v>1282.829956</v>
          </cell>
        </row>
        <row r="707">
          <cell r="A707">
            <v>39692</v>
          </cell>
          <cell r="B707">
            <v>1166.3599850000001</v>
          </cell>
        </row>
        <row r="708">
          <cell r="A708">
            <v>39722</v>
          </cell>
          <cell r="B708">
            <v>968.75</v>
          </cell>
        </row>
        <row r="709">
          <cell r="A709">
            <v>39753</v>
          </cell>
          <cell r="B709">
            <v>896.23999000000003</v>
          </cell>
        </row>
        <row r="710">
          <cell r="A710">
            <v>39783</v>
          </cell>
          <cell r="B710">
            <v>903.25</v>
          </cell>
        </row>
        <row r="711">
          <cell r="A711">
            <v>39814</v>
          </cell>
          <cell r="B711">
            <v>825.88000499999998</v>
          </cell>
        </row>
        <row r="712">
          <cell r="A712">
            <v>39845</v>
          </cell>
          <cell r="B712">
            <v>735.09002699999996</v>
          </cell>
        </row>
        <row r="713">
          <cell r="A713">
            <v>39873</v>
          </cell>
          <cell r="B713">
            <v>797.86999500000002</v>
          </cell>
        </row>
        <row r="714">
          <cell r="A714">
            <v>39904</v>
          </cell>
          <cell r="B714">
            <v>872.80999799999995</v>
          </cell>
        </row>
        <row r="715">
          <cell r="A715">
            <v>39934</v>
          </cell>
          <cell r="B715">
            <v>919.14001499999995</v>
          </cell>
        </row>
        <row r="716">
          <cell r="A716">
            <v>39965</v>
          </cell>
          <cell r="B716">
            <v>919.32000700000003</v>
          </cell>
        </row>
        <row r="717">
          <cell r="A717">
            <v>39995</v>
          </cell>
          <cell r="B717">
            <v>987.47997999999995</v>
          </cell>
        </row>
        <row r="718">
          <cell r="A718">
            <v>40026</v>
          </cell>
          <cell r="B718">
            <v>1020.619995</v>
          </cell>
        </row>
        <row r="719">
          <cell r="A719">
            <v>40057</v>
          </cell>
          <cell r="B719">
            <v>1057.079956</v>
          </cell>
        </row>
        <row r="720">
          <cell r="A720">
            <v>40087</v>
          </cell>
          <cell r="B720">
            <v>1036.1899410000001</v>
          </cell>
        </row>
        <row r="721">
          <cell r="A721">
            <v>40118</v>
          </cell>
          <cell r="B721">
            <v>1095.630005</v>
          </cell>
        </row>
        <row r="722">
          <cell r="A722">
            <v>40148</v>
          </cell>
          <cell r="B722">
            <v>1115.099976</v>
          </cell>
        </row>
        <row r="723">
          <cell r="A723">
            <v>40179</v>
          </cell>
          <cell r="B723">
            <v>1073.869995</v>
          </cell>
        </row>
        <row r="724">
          <cell r="A724">
            <v>40210</v>
          </cell>
          <cell r="B724">
            <v>1104.48999</v>
          </cell>
        </row>
        <row r="725">
          <cell r="A725">
            <v>40238</v>
          </cell>
          <cell r="B725">
            <v>1169.4300539999999</v>
          </cell>
        </row>
        <row r="726">
          <cell r="A726">
            <v>40269</v>
          </cell>
          <cell r="B726">
            <v>1186.6899410000001</v>
          </cell>
        </row>
        <row r="727">
          <cell r="A727">
            <v>40299</v>
          </cell>
          <cell r="B727">
            <v>1089.410034</v>
          </cell>
        </row>
        <row r="728">
          <cell r="A728">
            <v>40330</v>
          </cell>
          <cell r="B728">
            <v>1030.709961</v>
          </cell>
        </row>
        <row r="729">
          <cell r="A729">
            <v>40360</v>
          </cell>
          <cell r="B729">
            <v>1101.599976</v>
          </cell>
        </row>
        <row r="730">
          <cell r="A730">
            <v>40391</v>
          </cell>
          <cell r="B730">
            <v>1049.329956</v>
          </cell>
        </row>
        <row r="731">
          <cell r="A731">
            <v>40422</v>
          </cell>
          <cell r="B731">
            <v>1141.1999510000001</v>
          </cell>
        </row>
        <row r="732">
          <cell r="A732">
            <v>40452</v>
          </cell>
          <cell r="B732">
            <v>1183.26001</v>
          </cell>
        </row>
        <row r="733">
          <cell r="A733">
            <v>40483</v>
          </cell>
          <cell r="B733">
            <v>1180.5500489999999</v>
          </cell>
        </row>
        <row r="734">
          <cell r="A734">
            <v>40513</v>
          </cell>
          <cell r="B734">
            <v>1257.6400149999999</v>
          </cell>
        </row>
        <row r="735">
          <cell r="A735">
            <v>40544</v>
          </cell>
          <cell r="B735">
            <v>1286.119995</v>
          </cell>
        </row>
        <row r="736">
          <cell r="A736">
            <v>40575</v>
          </cell>
          <cell r="B736">
            <v>1327.219971</v>
          </cell>
        </row>
        <row r="737">
          <cell r="A737">
            <v>40603</v>
          </cell>
          <cell r="B737">
            <v>1325.829956</v>
          </cell>
        </row>
        <row r="738">
          <cell r="A738">
            <v>40634</v>
          </cell>
          <cell r="B738">
            <v>1363.6099850000001</v>
          </cell>
        </row>
        <row r="739">
          <cell r="A739">
            <v>40664</v>
          </cell>
          <cell r="B739">
            <v>1345.1999510000001</v>
          </cell>
        </row>
        <row r="740">
          <cell r="A740">
            <v>40695</v>
          </cell>
          <cell r="B740">
            <v>1320.6400149999999</v>
          </cell>
        </row>
        <row r="741">
          <cell r="A741">
            <v>40725</v>
          </cell>
          <cell r="B741">
            <v>1292.280029</v>
          </cell>
        </row>
        <row r="742">
          <cell r="A742">
            <v>40756</v>
          </cell>
          <cell r="B742">
            <v>1218.8900149999999</v>
          </cell>
        </row>
        <row r="743">
          <cell r="A743">
            <v>40787</v>
          </cell>
          <cell r="B743">
            <v>1131.420044</v>
          </cell>
        </row>
        <row r="744">
          <cell r="A744">
            <v>40817</v>
          </cell>
          <cell r="B744">
            <v>1253.3000489999999</v>
          </cell>
        </row>
        <row r="745">
          <cell r="A745">
            <v>40848</v>
          </cell>
          <cell r="B745">
            <v>1246.959961</v>
          </cell>
        </row>
        <row r="746">
          <cell r="A746">
            <v>40878</v>
          </cell>
          <cell r="B746">
            <v>1257.599976</v>
          </cell>
        </row>
        <row r="747">
          <cell r="A747">
            <v>40909</v>
          </cell>
          <cell r="B747">
            <v>1312.410034</v>
          </cell>
        </row>
        <row r="748">
          <cell r="A748">
            <v>40940</v>
          </cell>
          <cell r="B748">
            <v>1365.6800539999999</v>
          </cell>
        </row>
        <row r="749">
          <cell r="A749">
            <v>40969</v>
          </cell>
          <cell r="B749">
            <v>1408.469971</v>
          </cell>
        </row>
        <row r="750">
          <cell r="A750">
            <v>41000</v>
          </cell>
          <cell r="B750">
            <v>1397.910034</v>
          </cell>
        </row>
        <row r="751">
          <cell r="A751">
            <v>41030</v>
          </cell>
          <cell r="B751">
            <v>1310.329956</v>
          </cell>
        </row>
        <row r="752">
          <cell r="A752">
            <v>41061</v>
          </cell>
          <cell r="B752">
            <v>1362.160034</v>
          </cell>
        </row>
        <row r="753">
          <cell r="A753">
            <v>41091</v>
          </cell>
          <cell r="B753">
            <v>1379.3199460000001</v>
          </cell>
        </row>
        <row r="754">
          <cell r="A754">
            <v>41122</v>
          </cell>
          <cell r="B754">
            <v>1406.579956</v>
          </cell>
        </row>
        <row r="755">
          <cell r="A755">
            <v>41153</v>
          </cell>
          <cell r="B755">
            <v>1440.670044</v>
          </cell>
        </row>
        <row r="756">
          <cell r="A756">
            <v>41183</v>
          </cell>
          <cell r="B756">
            <v>1412.160034</v>
          </cell>
        </row>
        <row r="757">
          <cell r="A757">
            <v>41214</v>
          </cell>
          <cell r="B757">
            <v>1416.1800539999999</v>
          </cell>
        </row>
        <row r="758">
          <cell r="A758">
            <v>41244</v>
          </cell>
          <cell r="B758">
            <v>1426.1899410000001</v>
          </cell>
        </row>
        <row r="759">
          <cell r="A759">
            <v>41275</v>
          </cell>
          <cell r="B759">
            <v>1498.1099850000001</v>
          </cell>
        </row>
        <row r="760">
          <cell r="A760">
            <v>41306</v>
          </cell>
          <cell r="B760">
            <v>1514.6800539999999</v>
          </cell>
        </row>
        <row r="761">
          <cell r="A761">
            <v>41334</v>
          </cell>
          <cell r="B761">
            <v>1569.1899410000001</v>
          </cell>
        </row>
        <row r="762">
          <cell r="A762">
            <v>41365</v>
          </cell>
          <cell r="B762">
            <v>1597.5699460000001</v>
          </cell>
        </row>
        <row r="763">
          <cell r="A763">
            <v>41395</v>
          </cell>
          <cell r="B763">
            <v>1630.73999</v>
          </cell>
        </row>
        <row r="764">
          <cell r="A764">
            <v>41426</v>
          </cell>
          <cell r="B764">
            <v>1606.280029</v>
          </cell>
        </row>
        <row r="765">
          <cell r="A765">
            <v>41456</v>
          </cell>
          <cell r="B765">
            <v>1685.7299800000001</v>
          </cell>
        </row>
        <row r="766">
          <cell r="A766">
            <v>41487</v>
          </cell>
          <cell r="B766">
            <v>1632.969971</v>
          </cell>
        </row>
        <row r="767">
          <cell r="A767">
            <v>41518</v>
          </cell>
          <cell r="B767">
            <v>1681.5500489999999</v>
          </cell>
        </row>
        <row r="768">
          <cell r="A768">
            <v>41548</v>
          </cell>
          <cell r="B768">
            <v>1756.540039</v>
          </cell>
        </row>
        <row r="769">
          <cell r="A769">
            <v>41579</v>
          </cell>
          <cell r="B769">
            <v>1805.8100589999999</v>
          </cell>
        </row>
        <row r="770">
          <cell r="A770">
            <v>41609</v>
          </cell>
          <cell r="B770">
            <v>1848.3599850000001</v>
          </cell>
        </row>
        <row r="771">
          <cell r="A771">
            <v>41640</v>
          </cell>
          <cell r="B771">
            <v>1782.589966</v>
          </cell>
        </row>
        <row r="772">
          <cell r="A772">
            <v>41671</v>
          </cell>
          <cell r="B772">
            <v>1859.4499510000001</v>
          </cell>
        </row>
        <row r="773">
          <cell r="A773">
            <v>41699</v>
          </cell>
          <cell r="B773">
            <v>1872.339966</v>
          </cell>
        </row>
        <row r="774">
          <cell r="A774">
            <v>41730</v>
          </cell>
          <cell r="B774">
            <v>1883.9499510000001</v>
          </cell>
        </row>
        <row r="775">
          <cell r="A775">
            <v>41760</v>
          </cell>
          <cell r="B775">
            <v>1923.5699460000001</v>
          </cell>
        </row>
        <row r="776">
          <cell r="A776">
            <v>41791</v>
          </cell>
          <cell r="B776">
            <v>1960.2299800000001</v>
          </cell>
        </row>
        <row r="777">
          <cell r="A777">
            <v>41821</v>
          </cell>
          <cell r="B777">
            <v>1930.670044</v>
          </cell>
        </row>
        <row r="778">
          <cell r="A778">
            <v>41852</v>
          </cell>
          <cell r="B778">
            <v>2003.369995</v>
          </cell>
        </row>
        <row r="779">
          <cell r="A779">
            <v>41883</v>
          </cell>
          <cell r="B779">
            <v>1972.290039</v>
          </cell>
        </row>
        <row r="780">
          <cell r="A780">
            <v>41913</v>
          </cell>
          <cell r="B780">
            <v>2018.0500489999999</v>
          </cell>
        </row>
        <row r="781">
          <cell r="A781">
            <v>41944</v>
          </cell>
          <cell r="B781">
            <v>2067.5600589999999</v>
          </cell>
        </row>
        <row r="782">
          <cell r="A782">
            <v>41974</v>
          </cell>
          <cell r="B782">
            <v>2058.8999020000001</v>
          </cell>
        </row>
        <row r="783">
          <cell r="A783">
            <v>42005</v>
          </cell>
          <cell r="B783">
            <v>1994.98999</v>
          </cell>
        </row>
        <row r="784">
          <cell r="A784">
            <v>42036</v>
          </cell>
          <cell r="B784">
            <v>2104.5</v>
          </cell>
        </row>
        <row r="785">
          <cell r="A785">
            <v>42064</v>
          </cell>
          <cell r="B785">
            <v>2067.889893</v>
          </cell>
        </row>
        <row r="786">
          <cell r="A786">
            <v>42095</v>
          </cell>
          <cell r="B786">
            <v>2085.51001</v>
          </cell>
        </row>
        <row r="787">
          <cell r="A787">
            <v>42125</v>
          </cell>
          <cell r="B787">
            <v>2107.389893</v>
          </cell>
        </row>
        <row r="788">
          <cell r="A788">
            <v>42156</v>
          </cell>
          <cell r="B788">
            <v>2063.110107</v>
          </cell>
        </row>
        <row r="789">
          <cell r="A789">
            <v>42186</v>
          </cell>
          <cell r="B789">
            <v>2103.8400879999999</v>
          </cell>
        </row>
        <row r="790">
          <cell r="A790">
            <v>42217</v>
          </cell>
          <cell r="B790">
            <v>1972.1800539999999</v>
          </cell>
        </row>
        <row r="791">
          <cell r="A791">
            <v>42248</v>
          </cell>
          <cell r="B791">
            <v>1920.030029</v>
          </cell>
        </row>
        <row r="792">
          <cell r="A792">
            <v>42278</v>
          </cell>
          <cell r="B792">
            <v>2079.360107</v>
          </cell>
        </row>
        <row r="793">
          <cell r="A793">
            <v>42309</v>
          </cell>
          <cell r="B793">
            <v>2080.4099120000001</v>
          </cell>
        </row>
        <row r="794">
          <cell r="A794">
            <v>42339</v>
          </cell>
          <cell r="B794">
            <v>2043.9399410000001</v>
          </cell>
        </row>
        <row r="795">
          <cell r="A795">
            <v>42370</v>
          </cell>
          <cell r="B795">
            <v>1940.23999</v>
          </cell>
        </row>
        <row r="796">
          <cell r="A796">
            <v>42401</v>
          </cell>
          <cell r="B796">
            <v>1932.2299800000001</v>
          </cell>
        </row>
        <row r="797">
          <cell r="A797">
            <v>42430</v>
          </cell>
          <cell r="B797">
            <v>2059.73999</v>
          </cell>
        </row>
        <row r="798">
          <cell r="A798">
            <v>42461</v>
          </cell>
          <cell r="B798">
            <v>2065.3000489999999</v>
          </cell>
        </row>
        <row r="799">
          <cell r="A799">
            <v>42491</v>
          </cell>
          <cell r="B799">
            <v>2096.9499510000001</v>
          </cell>
        </row>
        <row r="800">
          <cell r="A800">
            <v>42522</v>
          </cell>
          <cell r="B800">
            <v>2098.860107</v>
          </cell>
        </row>
        <row r="801">
          <cell r="A801">
            <v>42552</v>
          </cell>
          <cell r="B801">
            <v>2173.6000979999999</v>
          </cell>
        </row>
        <row r="802">
          <cell r="A802">
            <v>42583</v>
          </cell>
          <cell r="B802">
            <v>2170.9499510000001</v>
          </cell>
        </row>
        <row r="803">
          <cell r="A803">
            <v>42614</v>
          </cell>
          <cell r="B803">
            <v>2168.2700199999999</v>
          </cell>
        </row>
        <row r="804">
          <cell r="A804">
            <v>42644</v>
          </cell>
          <cell r="B804">
            <v>2126.1499020000001</v>
          </cell>
        </row>
        <row r="805">
          <cell r="A805">
            <v>42675</v>
          </cell>
          <cell r="B805">
            <v>2198.8100589999999</v>
          </cell>
        </row>
        <row r="806">
          <cell r="A806">
            <v>42705</v>
          </cell>
          <cell r="B806">
            <v>2238.830078</v>
          </cell>
        </row>
        <row r="807">
          <cell r="A807">
            <v>42736</v>
          </cell>
          <cell r="B807">
            <v>2278.8701169999999</v>
          </cell>
        </row>
        <row r="808">
          <cell r="A808">
            <v>42767</v>
          </cell>
          <cell r="B808">
            <v>2363.639893</v>
          </cell>
        </row>
        <row r="809">
          <cell r="A809">
            <v>42795</v>
          </cell>
          <cell r="B809">
            <v>2362.719971</v>
          </cell>
        </row>
        <row r="810">
          <cell r="A810">
            <v>42826</v>
          </cell>
          <cell r="B810">
            <v>2384.1999510000001</v>
          </cell>
        </row>
        <row r="811">
          <cell r="A811">
            <v>42856</v>
          </cell>
          <cell r="B811">
            <v>2411.8000489999999</v>
          </cell>
        </row>
        <row r="812">
          <cell r="A812">
            <v>42887</v>
          </cell>
          <cell r="B812">
            <v>2423.4099120000001</v>
          </cell>
        </row>
        <row r="813">
          <cell r="A813">
            <v>42917</v>
          </cell>
          <cell r="B813">
            <v>2470.3000489999999</v>
          </cell>
        </row>
        <row r="814">
          <cell r="A814">
            <v>42948</v>
          </cell>
          <cell r="B814">
            <v>2471.6499020000001</v>
          </cell>
        </row>
        <row r="815">
          <cell r="A815">
            <v>42979</v>
          </cell>
          <cell r="B815">
            <v>2519.360107</v>
          </cell>
        </row>
        <row r="816">
          <cell r="A816">
            <v>43009</v>
          </cell>
          <cell r="B816">
            <v>2575.26001</v>
          </cell>
        </row>
        <row r="817">
          <cell r="A817">
            <v>43040</v>
          </cell>
          <cell r="B817">
            <v>2584.8400879999999</v>
          </cell>
        </row>
        <row r="818">
          <cell r="A818">
            <v>43070</v>
          </cell>
          <cell r="B818">
            <v>2673.610107</v>
          </cell>
        </row>
        <row r="819">
          <cell r="A819">
            <v>43101</v>
          </cell>
          <cell r="B819">
            <v>2823.8100589999999</v>
          </cell>
        </row>
        <row r="820">
          <cell r="A820">
            <v>43132</v>
          </cell>
          <cell r="B820">
            <v>2713.830078</v>
          </cell>
        </row>
        <row r="821">
          <cell r="A821">
            <v>43160</v>
          </cell>
          <cell r="B821">
            <v>2640.8701169999999</v>
          </cell>
        </row>
        <row r="822">
          <cell r="A822">
            <v>43191</v>
          </cell>
          <cell r="B822">
            <v>2648.0500489999999</v>
          </cell>
        </row>
        <row r="823">
          <cell r="A823">
            <v>43221</v>
          </cell>
          <cell r="B823">
            <v>2705.2700199999999</v>
          </cell>
        </row>
        <row r="824">
          <cell r="A824">
            <v>43252</v>
          </cell>
          <cell r="B824">
            <v>2718.3701169999999</v>
          </cell>
        </row>
        <row r="825">
          <cell r="A825">
            <v>43282</v>
          </cell>
          <cell r="B825">
            <v>2816.290039</v>
          </cell>
        </row>
        <row r="826">
          <cell r="A826">
            <v>43313</v>
          </cell>
          <cell r="B826">
            <v>2901.5200199999999</v>
          </cell>
        </row>
        <row r="827">
          <cell r="A827">
            <v>43344</v>
          </cell>
          <cell r="B827">
            <v>2913.9799800000001</v>
          </cell>
        </row>
        <row r="828">
          <cell r="A828">
            <v>43374</v>
          </cell>
          <cell r="B828">
            <v>2711.73999</v>
          </cell>
        </row>
        <row r="829">
          <cell r="A829">
            <v>43405</v>
          </cell>
          <cell r="B829">
            <v>2760.169922</v>
          </cell>
        </row>
        <row r="830">
          <cell r="A830">
            <v>43435</v>
          </cell>
          <cell r="B830">
            <v>2506.8500979999999</v>
          </cell>
        </row>
        <row r="831">
          <cell r="A831">
            <v>43466</v>
          </cell>
          <cell r="B831">
            <v>2704.1000979999999</v>
          </cell>
        </row>
        <row r="832">
          <cell r="A832">
            <v>43497</v>
          </cell>
          <cell r="B832">
            <v>2784.48999</v>
          </cell>
        </row>
        <row r="833">
          <cell r="A833">
            <v>43525</v>
          </cell>
          <cell r="B833">
            <v>2834.3999020000001</v>
          </cell>
        </row>
        <row r="834">
          <cell r="A834">
            <v>43556</v>
          </cell>
          <cell r="B834">
            <v>2907.4099120000001</v>
          </cell>
        </row>
        <row r="835">
          <cell r="A835">
            <v>43567</v>
          </cell>
          <cell r="B835">
            <v>2907.4099120000001</v>
          </cell>
        </row>
      </sheetData>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TI Price"/>
      <sheetName val="Sheet3"/>
      <sheetName val="MiseryIDX&amp;FEV"/>
    </sheetNames>
    <sheetDataSet>
      <sheetData sheetId="0">
        <row r="1">
          <cell r="A1" t="str">
            <v>Date</v>
          </cell>
          <cell r="B1" t="str">
            <v>WTI Crude Price</v>
          </cell>
        </row>
        <row r="2">
          <cell r="A2">
            <v>31414</v>
          </cell>
          <cell r="B2">
            <v>25.56</v>
          </cell>
        </row>
        <row r="3">
          <cell r="A3">
            <v>31415</v>
          </cell>
          <cell r="B3">
            <v>26</v>
          </cell>
        </row>
        <row r="4">
          <cell r="A4">
            <v>31418</v>
          </cell>
          <cell r="B4">
            <v>26.53</v>
          </cell>
        </row>
        <row r="5">
          <cell r="A5">
            <v>31419</v>
          </cell>
          <cell r="B5">
            <v>25.85</v>
          </cell>
        </row>
        <row r="6">
          <cell r="A6">
            <v>31420</v>
          </cell>
          <cell r="B6">
            <v>25.87</v>
          </cell>
        </row>
        <row r="7">
          <cell r="A7">
            <v>31421</v>
          </cell>
          <cell r="B7">
            <v>26.03</v>
          </cell>
        </row>
        <row r="8">
          <cell r="A8">
            <v>31422</v>
          </cell>
          <cell r="B8">
            <v>25.65</v>
          </cell>
        </row>
        <row r="9">
          <cell r="A9">
            <v>31425</v>
          </cell>
          <cell r="B9">
            <v>25.08</v>
          </cell>
        </row>
        <row r="10">
          <cell r="A10">
            <v>31426</v>
          </cell>
          <cell r="B10">
            <v>24.97</v>
          </cell>
        </row>
        <row r="11">
          <cell r="A11">
            <v>31427</v>
          </cell>
          <cell r="B11">
            <v>25.18</v>
          </cell>
        </row>
        <row r="12">
          <cell r="A12">
            <v>31428</v>
          </cell>
          <cell r="B12">
            <v>23.98</v>
          </cell>
        </row>
        <row r="13">
          <cell r="A13">
            <v>31429</v>
          </cell>
          <cell r="B13">
            <v>23.63</v>
          </cell>
        </row>
        <row r="14">
          <cell r="A14">
            <v>31432</v>
          </cell>
          <cell r="B14">
            <v>21.33</v>
          </cell>
        </row>
        <row r="15">
          <cell r="A15">
            <v>31433</v>
          </cell>
          <cell r="B15">
            <v>20.61</v>
          </cell>
        </row>
        <row r="16">
          <cell r="A16">
            <v>31434</v>
          </cell>
          <cell r="B16">
            <v>20.25</v>
          </cell>
        </row>
        <row r="17">
          <cell r="A17">
            <v>31435</v>
          </cell>
          <cell r="B17">
            <v>19.93</v>
          </cell>
        </row>
        <row r="18">
          <cell r="A18">
            <v>31436</v>
          </cell>
          <cell r="B18">
            <v>19.45</v>
          </cell>
        </row>
        <row r="19">
          <cell r="A19">
            <v>31439</v>
          </cell>
          <cell r="B19">
            <v>20.87</v>
          </cell>
        </row>
        <row r="20">
          <cell r="A20">
            <v>31440</v>
          </cell>
          <cell r="B20">
            <v>19.45</v>
          </cell>
        </row>
        <row r="21">
          <cell r="A21">
            <v>31441</v>
          </cell>
          <cell r="B21">
            <v>19.61</v>
          </cell>
        </row>
        <row r="22">
          <cell r="A22">
            <v>31442</v>
          </cell>
          <cell r="B22">
            <v>19.579999999999998</v>
          </cell>
        </row>
        <row r="23">
          <cell r="A23">
            <v>31443</v>
          </cell>
          <cell r="B23">
            <v>18.95</v>
          </cell>
        </row>
        <row r="24">
          <cell r="A24">
            <v>31446</v>
          </cell>
          <cell r="B24">
            <v>17.420000000000002</v>
          </cell>
        </row>
        <row r="25">
          <cell r="A25">
            <v>31447</v>
          </cell>
          <cell r="B25">
            <v>15.58</v>
          </cell>
        </row>
        <row r="26">
          <cell r="A26">
            <v>31448</v>
          </cell>
          <cell r="B26">
            <v>16.28</v>
          </cell>
        </row>
        <row r="27">
          <cell r="A27">
            <v>31449</v>
          </cell>
          <cell r="B27">
            <v>16.600000000000001</v>
          </cell>
        </row>
        <row r="28">
          <cell r="A28">
            <v>31450</v>
          </cell>
          <cell r="B28">
            <v>17.7</v>
          </cell>
        </row>
        <row r="29">
          <cell r="A29">
            <v>31453</v>
          </cell>
          <cell r="B29">
            <v>16.78</v>
          </cell>
        </row>
        <row r="30">
          <cell r="A30">
            <v>31454</v>
          </cell>
          <cell r="B30">
            <v>16.28</v>
          </cell>
        </row>
        <row r="31">
          <cell r="A31">
            <v>31455</v>
          </cell>
          <cell r="B31">
            <v>15.74</v>
          </cell>
        </row>
        <row r="32">
          <cell r="A32">
            <v>31456</v>
          </cell>
          <cell r="B32">
            <v>16.43</v>
          </cell>
        </row>
        <row r="33">
          <cell r="A33">
            <v>31457</v>
          </cell>
          <cell r="B33">
            <v>16.03</v>
          </cell>
        </row>
        <row r="34">
          <cell r="A34">
            <v>31461</v>
          </cell>
          <cell r="B34">
            <v>14.7</v>
          </cell>
        </row>
        <row r="35">
          <cell r="A35">
            <v>31462</v>
          </cell>
          <cell r="B35">
            <v>15.08</v>
          </cell>
        </row>
        <row r="36">
          <cell r="A36">
            <v>31463</v>
          </cell>
          <cell r="B36">
            <v>14.13</v>
          </cell>
        </row>
        <row r="37">
          <cell r="A37">
            <v>31464</v>
          </cell>
          <cell r="B37">
            <v>13.63</v>
          </cell>
        </row>
        <row r="38">
          <cell r="A38">
            <v>31467</v>
          </cell>
          <cell r="B38">
            <v>14.68</v>
          </cell>
        </row>
        <row r="39">
          <cell r="A39">
            <v>31468</v>
          </cell>
          <cell r="B39">
            <v>14.68</v>
          </cell>
        </row>
        <row r="40">
          <cell r="A40">
            <v>31469</v>
          </cell>
          <cell r="B40">
            <v>14.62</v>
          </cell>
        </row>
        <row r="41">
          <cell r="A41">
            <v>31470</v>
          </cell>
          <cell r="B41">
            <v>14.05</v>
          </cell>
        </row>
        <row r="42">
          <cell r="A42">
            <v>31471</v>
          </cell>
          <cell r="B42">
            <v>13.23</v>
          </cell>
        </row>
        <row r="43">
          <cell r="A43">
            <v>31474</v>
          </cell>
          <cell r="B43">
            <v>11.98</v>
          </cell>
        </row>
        <row r="44">
          <cell r="A44">
            <v>31475</v>
          </cell>
          <cell r="B44">
            <v>11.98</v>
          </cell>
        </row>
        <row r="45">
          <cell r="A45">
            <v>31476</v>
          </cell>
          <cell r="B45">
            <v>12.03</v>
          </cell>
        </row>
        <row r="46">
          <cell r="A46">
            <v>31477</v>
          </cell>
          <cell r="B46">
            <v>13.13</v>
          </cell>
        </row>
        <row r="47">
          <cell r="A47">
            <v>31478</v>
          </cell>
          <cell r="B47">
            <v>12.24</v>
          </cell>
        </row>
        <row r="48">
          <cell r="A48">
            <v>31481</v>
          </cell>
          <cell r="B48">
            <v>12.94</v>
          </cell>
        </row>
        <row r="49">
          <cell r="A49">
            <v>31482</v>
          </cell>
          <cell r="B49">
            <v>13.23</v>
          </cell>
        </row>
        <row r="50">
          <cell r="A50">
            <v>31483</v>
          </cell>
          <cell r="B50">
            <v>14.05</v>
          </cell>
        </row>
        <row r="51">
          <cell r="A51">
            <v>31484</v>
          </cell>
          <cell r="B51">
            <v>12.6</v>
          </cell>
        </row>
        <row r="52">
          <cell r="A52">
            <v>31485</v>
          </cell>
          <cell r="B52">
            <v>12.55</v>
          </cell>
        </row>
        <row r="53">
          <cell r="A53">
            <v>31488</v>
          </cell>
          <cell r="B53">
            <v>13.28</v>
          </cell>
        </row>
        <row r="54">
          <cell r="A54">
            <v>31489</v>
          </cell>
          <cell r="B54">
            <v>14.03</v>
          </cell>
        </row>
        <row r="55">
          <cell r="A55">
            <v>31490</v>
          </cell>
          <cell r="B55">
            <v>13.25</v>
          </cell>
        </row>
        <row r="56">
          <cell r="A56">
            <v>31491</v>
          </cell>
          <cell r="B56">
            <v>12.75</v>
          </cell>
        </row>
        <row r="57">
          <cell r="A57">
            <v>31492</v>
          </cell>
          <cell r="B57">
            <v>13.95</v>
          </cell>
        </row>
        <row r="58">
          <cell r="A58">
            <v>31495</v>
          </cell>
          <cell r="B58">
            <v>12.2</v>
          </cell>
        </row>
        <row r="59">
          <cell r="A59">
            <v>31496</v>
          </cell>
          <cell r="B59">
            <v>12.43</v>
          </cell>
        </row>
        <row r="60">
          <cell r="A60">
            <v>31497</v>
          </cell>
          <cell r="B60">
            <v>12.03</v>
          </cell>
        </row>
        <row r="61">
          <cell r="A61">
            <v>31498</v>
          </cell>
          <cell r="B61">
            <v>11.35</v>
          </cell>
        </row>
        <row r="62">
          <cell r="A62">
            <v>31502</v>
          </cell>
          <cell r="B62">
            <v>10.25</v>
          </cell>
        </row>
        <row r="63">
          <cell r="A63">
            <v>31503</v>
          </cell>
          <cell r="B63">
            <v>11.13</v>
          </cell>
        </row>
        <row r="64">
          <cell r="A64">
            <v>31504</v>
          </cell>
          <cell r="B64">
            <v>11.35</v>
          </cell>
        </row>
        <row r="65">
          <cell r="A65">
            <v>31505</v>
          </cell>
          <cell r="B65">
            <v>11.7</v>
          </cell>
        </row>
        <row r="66">
          <cell r="A66">
            <v>31506</v>
          </cell>
          <cell r="B66">
            <v>12.75</v>
          </cell>
        </row>
        <row r="67">
          <cell r="A67">
            <v>31509</v>
          </cell>
          <cell r="B67">
            <v>14.39</v>
          </cell>
        </row>
        <row r="68">
          <cell r="A68">
            <v>31510</v>
          </cell>
          <cell r="B68">
            <v>12.83</v>
          </cell>
        </row>
        <row r="69">
          <cell r="A69">
            <v>31511</v>
          </cell>
          <cell r="B69">
            <v>13</v>
          </cell>
        </row>
        <row r="70">
          <cell r="A70">
            <v>31512</v>
          </cell>
          <cell r="B70">
            <v>13.45</v>
          </cell>
        </row>
        <row r="71">
          <cell r="A71">
            <v>31513</v>
          </cell>
          <cell r="B71">
            <v>13.63</v>
          </cell>
        </row>
        <row r="72">
          <cell r="A72">
            <v>31516</v>
          </cell>
          <cell r="B72">
            <v>12.94</v>
          </cell>
        </row>
        <row r="73">
          <cell r="A73">
            <v>31517</v>
          </cell>
          <cell r="B73">
            <v>12.72</v>
          </cell>
        </row>
        <row r="74">
          <cell r="A74">
            <v>31518</v>
          </cell>
          <cell r="B74">
            <v>11.5</v>
          </cell>
        </row>
        <row r="75">
          <cell r="A75">
            <v>31519</v>
          </cell>
          <cell r="B75">
            <v>11.75</v>
          </cell>
        </row>
        <row r="76">
          <cell r="A76">
            <v>31520</v>
          </cell>
          <cell r="B76">
            <v>11.88</v>
          </cell>
        </row>
        <row r="77">
          <cell r="A77">
            <v>31523</v>
          </cell>
          <cell r="B77">
            <v>12.48</v>
          </cell>
        </row>
        <row r="78">
          <cell r="A78">
            <v>31524</v>
          </cell>
          <cell r="B78">
            <v>13.13</v>
          </cell>
        </row>
        <row r="79">
          <cell r="A79">
            <v>31525</v>
          </cell>
          <cell r="B79">
            <v>13.7</v>
          </cell>
        </row>
        <row r="80">
          <cell r="A80">
            <v>31526</v>
          </cell>
          <cell r="B80">
            <v>13.65</v>
          </cell>
        </row>
        <row r="81">
          <cell r="A81">
            <v>31527</v>
          </cell>
          <cell r="B81">
            <v>14.23</v>
          </cell>
        </row>
        <row r="82">
          <cell r="A82">
            <v>31530</v>
          </cell>
          <cell r="B82">
            <v>13.34</v>
          </cell>
        </row>
        <row r="83">
          <cell r="A83">
            <v>31531</v>
          </cell>
          <cell r="B83">
            <v>13.63</v>
          </cell>
        </row>
        <row r="84">
          <cell r="A84">
            <v>31532</v>
          </cell>
          <cell r="B84">
            <v>13.38</v>
          </cell>
        </row>
        <row r="85">
          <cell r="A85">
            <v>31533</v>
          </cell>
          <cell r="B85">
            <v>13.8</v>
          </cell>
        </row>
        <row r="86">
          <cell r="A86">
            <v>31534</v>
          </cell>
          <cell r="B86">
            <v>14.65</v>
          </cell>
        </row>
        <row r="87">
          <cell r="A87">
            <v>31537</v>
          </cell>
          <cell r="B87">
            <v>14.32</v>
          </cell>
        </row>
        <row r="88">
          <cell r="A88">
            <v>31538</v>
          </cell>
          <cell r="B88">
            <v>14.43</v>
          </cell>
        </row>
        <row r="89">
          <cell r="A89">
            <v>31539</v>
          </cell>
          <cell r="B89">
            <v>15.13</v>
          </cell>
        </row>
        <row r="90">
          <cell r="A90">
            <v>31540</v>
          </cell>
          <cell r="B90">
            <v>15.7</v>
          </cell>
        </row>
        <row r="91">
          <cell r="A91">
            <v>31541</v>
          </cell>
          <cell r="B91">
            <v>15.83</v>
          </cell>
        </row>
        <row r="92">
          <cell r="A92">
            <v>31544</v>
          </cell>
          <cell r="B92">
            <v>15.75</v>
          </cell>
        </row>
        <row r="93">
          <cell r="A93">
            <v>31545</v>
          </cell>
          <cell r="B93">
            <v>15.65</v>
          </cell>
        </row>
        <row r="94">
          <cell r="A94">
            <v>31546</v>
          </cell>
          <cell r="B94">
            <v>15.53</v>
          </cell>
        </row>
        <row r="95">
          <cell r="A95">
            <v>31547</v>
          </cell>
          <cell r="B95">
            <v>15.68</v>
          </cell>
        </row>
        <row r="96">
          <cell r="A96">
            <v>31548</v>
          </cell>
          <cell r="B96">
            <v>16.079999999999998</v>
          </cell>
        </row>
        <row r="97">
          <cell r="A97">
            <v>31551</v>
          </cell>
          <cell r="B97">
            <v>17.13</v>
          </cell>
        </row>
        <row r="98">
          <cell r="A98">
            <v>31552</v>
          </cell>
          <cell r="B98">
            <v>16.18</v>
          </cell>
        </row>
        <row r="99">
          <cell r="A99">
            <v>31553</v>
          </cell>
          <cell r="B99">
            <v>15.53</v>
          </cell>
        </row>
        <row r="100">
          <cell r="A100">
            <v>31554</v>
          </cell>
          <cell r="B100">
            <v>16.04</v>
          </cell>
        </row>
        <row r="101">
          <cell r="A101">
            <v>31555</v>
          </cell>
          <cell r="B101">
            <v>16.95</v>
          </cell>
        </row>
        <row r="102">
          <cell r="A102">
            <v>31559</v>
          </cell>
          <cell r="B102">
            <v>15.1</v>
          </cell>
        </row>
        <row r="103">
          <cell r="A103">
            <v>31560</v>
          </cell>
          <cell r="B103">
            <v>14.65</v>
          </cell>
        </row>
        <row r="104">
          <cell r="A104">
            <v>31561</v>
          </cell>
          <cell r="B104">
            <v>14.5</v>
          </cell>
        </row>
        <row r="105">
          <cell r="A105">
            <v>31562</v>
          </cell>
          <cell r="B105">
            <v>14.3</v>
          </cell>
        </row>
        <row r="106">
          <cell r="A106">
            <v>31565</v>
          </cell>
          <cell r="B106">
            <v>13.8</v>
          </cell>
        </row>
        <row r="107">
          <cell r="A107">
            <v>31566</v>
          </cell>
          <cell r="B107">
            <v>13.35</v>
          </cell>
        </row>
        <row r="108">
          <cell r="A108">
            <v>31567</v>
          </cell>
          <cell r="B108">
            <v>13.15</v>
          </cell>
        </row>
        <row r="109">
          <cell r="A109">
            <v>31568</v>
          </cell>
          <cell r="B109">
            <v>13.21</v>
          </cell>
        </row>
        <row r="110">
          <cell r="A110">
            <v>31569</v>
          </cell>
          <cell r="B110">
            <v>12.73</v>
          </cell>
        </row>
        <row r="111">
          <cell r="A111">
            <v>31572</v>
          </cell>
          <cell r="B111">
            <v>12.61</v>
          </cell>
        </row>
        <row r="112">
          <cell r="A112">
            <v>31573</v>
          </cell>
          <cell r="B112">
            <v>12.38</v>
          </cell>
        </row>
        <row r="113">
          <cell r="A113">
            <v>31574</v>
          </cell>
          <cell r="B113">
            <v>13.52</v>
          </cell>
        </row>
        <row r="114">
          <cell r="A114">
            <v>31575</v>
          </cell>
          <cell r="B114">
            <v>13.69</v>
          </cell>
        </row>
        <row r="115">
          <cell r="A115">
            <v>31576</v>
          </cell>
          <cell r="B115">
            <v>13.83</v>
          </cell>
        </row>
        <row r="116">
          <cell r="A116">
            <v>31579</v>
          </cell>
          <cell r="B116">
            <v>13.65</v>
          </cell>
        </row>
        <row r="117">
          <cell r="A117">
            <v>31580</v>
          </cell>
          <cell r="B117">
            <v>13.65</v>
          </cell>
        </row>
        <row r="118">
          <cell r="A118">
            <v>31581</v>
          </cell>
          <cell r="B118">
            <v>13.62</v>
          </cell>
        </row>
        <row r="119">
          <cell r="A119">
            <v>31582</v>
          </cell>
          <cell r="B119">
            <v>13.73</v>
          </cell>
        </row>
        <row r="120">
          <cell r="A120">
            <v>31583</v>
          </cell>
          <cell r="B120">
            <v>14.44</v>
          </cell>
        </row>
        <row r="121">
          <cell r="A121">
            <v>31586</v>
          </cell>
          <cell r="B121">
            <v>14.05</v>
          </cell>
        </row>
        <row r="122">
          <cell r="A122">
            <v>31587</v>
          </cell>
          <cell r="B122">
            <v>13.98</v>
          </cell>
        </row>
        <row r="123">
          <cell r="A123">
            <v>31588</v>
          </cell>
          <cell r="B123">
            <v>13.23</v>
          </cell>
        </row>
        <row r="124">
          <cell r="A124">
            <v>31589</v>
          </cell>
          <cell r="B124">
            <v>13.14</v>
          </cell>
        </row>
        <row r="125">
          <cell r="A125">
            <v>31590</v>
          </cell>
          <cell r="B125">
            <v>13.38</v>
          </cell>
        </row>
        <row r="126">
          <cell r="A126">
            <v>31593</v>
          </cell>
          <cell r="B126">
            <v>12.8</v>
          </cell>
        </row>
        <row r="127">
          <cell r="A127">
            <v>31594</v>
          </cell>
          <cell r="B127">
            <v>12.39</v>
          </cell>
        </row>
        <row r="128">
          <cell r="A128">
            <v>31595</v>
          </cell>
          <cell r="B128">
            <v>12.04</v>
          </cell>
        </row>
        <row r="129">
          <cell r="A129">
            <v>31596</v>
          </cell>
          <cell r="B129">
            <v>11.7</v>
          </cell>
        </row>
        <row r="130">
          <cell r="A130">
            <v>31600</v>
          </cell>
          <cell r="B130">
            <v>11.18</v>
          </cell>
        </row>
        <row r="131">
          <cell r="A131">
            <v>31601</v>
          </cell>
          <cell r="B131">
            <v>11.19</v>
          </cell>
        </row>
        <row r="132">
          <cell r="A132">
            <v>31602</v>
          </cell>
          <cell r="B132">
            <v>11</v>
          </cell>
        </row>
        <row r="133">
          <cell r="A133">
            <v>31603</v>
          </cell>
          <cell r="B133">
            <v>11.13</v>
          </cell>
        </row>
        <row r="134">
          <cell r="A134">
            <v>31604</v>
          </cell>
          <cell r="B134">
            <v>11.13</v>
          </cell>
        </row>
        <row r="135">
          <cell r="A135">
            <v>31607</v>
          </cell>
          <cell r="B135">
            <v>11.23</v>
          </cell>
        </row>
        <row r="136">
          <cell r="A136">
            <v>31608</v>
          </cell>
          <cell r="B136">
            <v>11.85</v>
          </cell>
        </row>
        <row r="137">
          <cell r="A137">
            <v>31609</v>
          </cell>
          <cell r="B137">
            <v>12.68</v>
          </cell>
        </row>
        <row r="138">
          <cell r="A138">
            <v>31610</v>
          </cell>
          <cell r="B138">
            <v>12.3</v>
          </cell>
        </row>
        <row r="139">
          <cell r="A139">
            <v>31611</v>
          </cell>
          <cell r="B139">
            <v>12.8</v>
          </cell>
        </row>
        <row r="140">
          <cell r="A140">
            <v>31614</v>
          </cell>
          <cell r="B140">
            <v>13.07</v>
          </cell>
        </row>
        <row r="141">
          <cell r="A141">
            <v>31615</v>
          </cell>
          <cell r="B141">
            <v>10.88</v>
          </cell>
        </row>
        <row r="142">
          <cell r="A142">
            <v>31616</v>
          </cell>
          <cell r="B142">
            <v>10.83</v>
          </cell>
        </row>
        <row r="143">
          <cell r="A143">
            <v>31617</v>
          </cell>
          <cell r="B143">
            <v>10.95</v>
          </cell>
        </row>
        <row r="144">
          <cell r="A144">
            <v>31618</v>
          </cell>
          <cell r="B144">
            <v>10.83</v>
          </cell>
        </row>
        <row r="145">
          <cell r="A145">
            <v>31621</v>
          </cell>
          <cell r="B145">
            <v>11.09</v>
          </cell>
        </row>
        <row r="146">
          <cell r="A146">
            <v>31622</v>
          </cell>
          <cell r="B146">
            <v>11.63</v>
          </cell>
        </row>
        <row r="147">
          <cell r="A147">
            <v>31623</v>
          </cell>
          <cell r="B147">
            <v>11.73</v>
          </cell>
        </row>
        <row r="148">
          <cell r="A148">
            <v>31624</v>
          </cell>
          <cell r="B148">
            <v>11.23</v>
          </cell>
        </row>
        <row r="149">
          <cell r="A149">
            <v>31625</v>
          </cell>
          <cell r="B149">
            <v>11.56</v>
          </cell>
        </row>
        <row r="150">
          <cell r="A150">
            <v>31628</v>
          </cell>
          <cell r="B150">
            <v>14</v>
          </cell>
        </row>
        <row r="151">
          <cell r="A151">
            <v>31629</v>
          </cell>
          <cell r="B151">
            <v>14.35</v>
          </cell>
        </row>
        <row r="152">
          <cell r="A152">
            <v>31630</v>
          </cell>
          <cell r="B152">
            <v>14.8</v>
          </cell>
        </row>
        <row r="153">
          <cell r="A153">
            <v>31631</v>
          </cell>
          <cell r="B153">
            <v>15.18</v>
          </cell>
        </row>
        <row r="154">
          <cell r="A154">
            <v>31632</v>
          </cell>
          <cell r="B154">
            <v>14.83</v>
          </cell>
        </row>
        <row r="155">
          <cell r="A155">
            <v>31635</v>
          </cell>
          <cell r="B155">
            <v>14.92</v>
          </cell>
        </row>
        <row r="156">
          <cell r="A156">
            <v>31636</v>
          </cell>
          <cell r="B156">
            <v>15.5</v>
          </cell>
        </row>
        <row r="157">
          <cell r="A157">
            <v>31637</v>
          </cell>
          <cell r="B157">
            <v>15.28</v>
          </cell>
        </row>
        <row r="158">
          <cell r="A158">
            <v>31638</v>
          </cell>
          <cell r="B158">
            <v>15.43</v>
          </cell>
        </row>
        <row r="159">
          <cell r="A159">
            <v>31639</v>
          </cell>
          <cell r="B159">
            <v>15.83</v>
          </cell>
        </row>
        <row r="160">
          <cell r="A160">
            <v>31642</v>
          </cell>
          <cell r="B160">
            <v>15.58</v>
          </cell>
        </row>
        <row r="161">
          <cell r="A161">
            <v>31643</v>
          </cell>
          <cell r="B161">
            <v>14.98</v>
          </cell>
        </row>
        <row r="162">
          <cell r="A162">
            <v>31644</v>
          </cell>
          <cell r="B162">
            <v>15.23</v>
          </cell>
        </row>
        <row r="163">
          <cell r="A163">
            <v>31645</v>
          </cell>
          <cell r="B163">
            <v>15.23</v>
          </cell>
        </row>
        <row r="164">
          <cell r="A164">
            <v>31646</v>
          </cell>
          <cell r="B164">
            <v>15.48</v>
          </cell>
        </row>
        <row r="165">
          <cell r="A165">
            <v>31649</v>
          </cell>
          <cell r="B165">
            <v>15.48</v>
          </cell>
        </row>
        <row r="166">
          <cell r="A166">
            <v>31650</v>
          </cell>
          <cell r="B166">
            <v>15.78</v>
          </cell>
        </row>
        <row r="167">
          <cell r="A167">
            <v>31651</v>
          </cell>
          <cell r="B167">
            <v>15.83</v>
          </cell>
        </row>
        <row r="168">
          <cell r="A168">
            <v>31652</v>
          </cell>
          <cell r="B168">
            <v>15.83</v>
          </cell>
        </row>
        <row r="169">
          <cell r="A169">
            <v>31653</v>
          </cell>
          <cell r="B169">
            <v>15.93</v>
          </cell>
        </row>
        <row r="170">
          <cell r="A170">
            <v>31657</v>
          </cell>
          <cell r="B170">
            <v>16.43</v>
          </cell>
        </row>
        <row r="171">
          <cell r="A171">
            <v>31658</v>
          </cell>
          <cell r="B171">
            <v>16.03</v>
          </cell>
        </row>
        <row r="172">
          <cell r="A172">
            <v>31659</v>
          </cell>
          <cell r="B172">
            <v>16.18</v>
          </cell>
        </row>
        <row r="173">
          <cell r="A173">
            <v>31660</v>
          </cell>
          <cell r="B173">
            <v>15.63</v>
          </cell>
        </row>
        <row r="174">
          <cell r="A174">
            <v>31663</v>
          </cell>
          <cell r="B174">
            <v>15.63</v>
          </cell>
        </row>
        <row r="175">
          <cell r="A175">
            <v>31664</v>
          </cell>
          <cell r="B175">
            <v>15</v>
          </cell>
        </row>
        <row r="176">
          <cell r="A176">
            <v>31665</v>
          </cell>
          <cell r="B176">
            <v>14.9</v>
          </cell>
        </row>
        <row r="177">
          <cell r="A177">
            <v>31666</v>
          </cell>
          <cell r="B177">
            <v>15.05</v>
          </cell>
        </row>
        <row r="178">
          <cell r="A178">
            <v>31667</v>
          </cell>
          <cell r="B178">
            <v>15.06</v>
          </cell>
        </row>
        <row r="179">
          <cell r="A179">
            <v>31670</v>
          </cell>
          <cell r="B179">
            <v>14.31</v>
          </cell>
        </row>
        <row r="180">
          <cell r="A180">
            <v>31671</v>
          </cell>
          <cell r="B180">
            <v>13.8</v>
          </cell>
        </row>
        <row r="181">
          <cell r="A181">
            <v>31672</v>
          </cell>
          <cell r="B181">
            <v>14.03</v>
          </cell>
        </row>
        <row r="182">
          <cell r="A182">
            <v>31673</v>
          </cell>
          <cell r="B182">
            <v>14.55</v>
          </cell>
        </row>
        <row r="183">
          <cell r="A183">
            <v>31674</v>
          </cell>
          <cell r="B183">
            <v>14.47</v>
          </cell>
        </row>
        <row r="184">
          <cell r="A184">
            <v>31677</v>
          </cell>
          <cell r="B184">
            <v>13.94</v>
          </cell>
        </row>
        <row r="185">
          <cell r="A185">
            <v>31678</v>
          </cell>
          <cell r="B185">
            <v>14.3</v>
          </cell>
        </row>
        <row r="186">
          <cell r="A186">
            <v>31679</v>
          </cell>
          <cell r="B186">
            <v>14.55</v>
          </cell>
        </row>
        <row r="187">
          <cell r="A187">
            <v>31680</v>
          </cell>
          <cell r="B187">
            <v>14.28</v>
          </cell>
        </row>
        <row r="188">
          <cell r="A188">
            <v>31681</v>
          </cell>
          <cell r="B188">
            <v>14.43</v>
          </cell>
        </row>
        <row r="189">
          <cell r="A189">
            <v>31684</v>
          </cell>
          <cell r="B189">
            <v>14.93</v>
          </cell>
        </row>
        <row r="190">
          <cell r="A190">
            <v>31685</v>
          </cell>
          <cell r="B190">
            <v>14.7</v>
          </cell>
        </row>
        <row r="191">
          <cell r="A191">
            <v>31686</v>
          </cell>
          <cell r="B191">
            <v>15.23</v>
          </cell>
        </row>
        <row r="192">
          <cell r="A192">
            <v>31687</v>
          </cell>
          <cell r="B192">
            <v>15.38</v>
          </cell>
        </row>
        <row r="193">
          <cell r="A193">
            <v>31688</v>
          </cell>
          <cell r="B193">
            <v>14.86</v>
          </cell>
        </row>
        <row r="194">
          <cell r="A194">
            <v>31691</v>
          </cell>
          <cell r="B194">
            <v>14.83</v>
          </cell>
        </row>
        <row r="195">
          <cell r="A195">
            <v>31692</v>
          </cell>
          <cell r="B195">
            <v>15.6</v>
          </cell>
        </row>
        <row r="196">
          <cell r="A196">
            <v>31693</v>
          </cell>
          <cell r="B196">
            <v>15.35</v>
          </cell>
        </row>
        <row r="197">
          <cell r="A197">
            <v>31694</v>
          </cell>
          <cell r="B197">
            <v>15.05</v>
          </cell>
        </row>
        <row r="198">
          <cell r="A198">
            <v>31695</v>
          </cell>
          <cell r="B198">
            <v>14.98</v>
          </cell>
        </row>
        <row r="199">
          <cell r="A199">
            <v>31699</v>
          </cell>
          <cell r="B199">
            <v>14.55</v>
          </cell>
        </row>
        <row r="200">
          <cell r="A200">
            <v>31700</v>
          </cell>
          <cell r="B200">
            <v>14.83</v>
          </cell>
        </row>
        <row r="201">
          <cell r="A201">
            <v>31701</v>
          </cell>
          <cell r="B201">
            <v>14.53</v>
          </cell>
        </row>
        <row r="202">
          <cell r="A202">
            <v>31702</v>
          </cell>
          <cell r="B202">
            <v>14.85</v>
          </cell>
        </row>
        <row r="203">
          <cell r="A203">
            <v>31705</v>
          </cell>
          <cell r="B203">
            <v>15.17</v>
          </cell>
        </row>
        <row r="204">
          <cell r="A204">
            <v>31706</v>
          </cell>
          <cell r="B204">
            <v>15.22</v>
          </cell>
        </row>
        <row r="205">
          <cell r="A205">
            <v>31707</v>
          </cell>
          <cell r="B205">
            <v>14.85</v>
          </cell>
        </row>
        <row r="206">
          <cell r="A206">
            <v>31708</v>
          </cell>
          <cell r="B206">
            <v>14.88</v>
          </cell>
        </row>
        <row r="207">
          <cell r="A207">
            <v>31709</v>
          </cell>
          <cell r="B207">
            <v>14.93</v>
          </cell>
        </row>
        <row r="208">
          <cell r="A208">
            <v>31712</v>
          </cell>
          <cell r="B208">
            <v>14.4</v>
          </cell>
        </row>
        <row r="209">
          <cell r="A209">
            <v>31713</v>
          </cell>
          <cell r="B209">
            <v>14.18</v>
          </cell>
        </row>
        <row r="210">
          <cell r="A210">
            <v>31714</v>
          </cell>
          <cell r="B210">
            <v>13.73</v>
          </cell>
        </row>
        <row r="211">
          <cell r="A211">
            <v>31715</v>
          </cell>
          <cell r="B211">
            <v>15.08</v>
          </cell>
        </row>
        <row r="212">
          <cell r="A212">
            <v>31716</v>
          </cell>
          <cell r="B212">
            <v>15.25</v>
          </cell>
        </row>
        <row r="213">
          <cell r="A213">
            <v>31719</v>
          </cell>
          <cell r="B213">
            <v>14.7</v>
          </cell>
        </row>
        <row r="214">
          <cell r="A214">
            <v>31720</v>
          </cell>
          <cell r="B214">
            <v>15.05</v>
          </cell>
        </row>
        <row r="215">
          <cell r="A215">
            <v>31721</v>
          </cell>
          <cell r="B215">
            <v>14.93</v>
          </cell>
        </row>
        <row r="216">
          <cell r="A216">
            <v>31722</v>
          </cell>
          <cell r="B216">
            <v>15.08</v>
          </cell>
        </row>
        <row r="217">
          <cell r="A217">
            <v>31723</v>
          </cell>
          <cell r="B217">
            <v>15.15</v>
          </cell>
        </row>
        <row r="218">
          <cell r="A218">
            <v>31726</v>
          </cell>
          <cell r="B218">
            <v>15.3</v>
          </cell>
        </row>
        <row r="219">
          <cell r="A219">
            <v>31727</v>
          </cell>
          <cell r="B219">
            <v>15.39</v>
          </cell>
        </row>
        <row r="220">
          <cell r="A220">
            <v>31728</v>
          </cell>
          <cell r="B220">
            <v>15.33</v>
          </cell>
        </row>
        <row r="221">
          <cell r="A221">
            <v>31729</v>
          </cell>
          <cell r="B221">
            <v>15.55</v>
          </cell>
        </row>
        <row r="222">
          <cell r="A222">
            <v>31730</v>
          </cell>
          <cell r="B222">
            <v>15.68</v>
          </cell>
        </row>
        <row r="223">
          <cell r="A223">
            <v>31733</v>
          </cell>
          <cell r="B223">
            <v>15.62</v>
          </cell>
        </row>
        <row r="224">
          <cell r="A224">
            <v>31734</v>
          </cell>
          <cell r="B224">
            <v>15.65</v>
          </cell>
        </row>
        <row r="225">
          <cell r="A225">
            <v>31735</v>
          </cell>
          <cell r="B225">
            <v>15.52</v>
          </cell>
        </row>
        <row r="226">
          <cell r="A226">
            <v>31736</v>
          </cell>
          <cell r="B226">
            <v>15.1</v>
          </cell>
        </row>
        <row r="227">
          <cell r="A227">
            <v>31737</v>
          </cell>
          <cell r="B227">
            <v>15.13</v>
          </cell>
        </row>
        <row r="228">
          <cell r="A228">
            <v>31740</v>
          </cell>
          <cell r="B228">
            <v>14.98</v>
          </cell>
        </row>
        <row r="229">
          <cell r="A229">
            <v>31741</v>
          </cell>
          <cell r="B229">
            <v>15.05</v>
          </cell>
        </row>
        <row r="230">
          <cell r="A230">
            <v>31742</v>
          </cell>
          <cell r="B230">
            <v>15</v>
          </cell>
        </row>
        <row r="231">
          <cell r="A231">
            <v>31744</v>
          </cell>
          <cell r="B231">
            <v>15</v>
          </cell>
        </row>
        <row r="232">
          <cell r="A232">
            <v>31747</v>
          </cell>
          <cell r="B232">
            <v>15.29</v>
          </cell>
        </row>
        <row r="233">
          <cell r="A233">
            <v>31748</v>
          </cell>
          <cell r="B233">
            <v>15.22</v>
          </cell>
        </row>
        <row r="234">
          <cell r="A234">
            <v>31749</v>
          </cell>
          <cell r="B234">
            <v>15.13</v>
          </cell>
        </row>
        <row r="235">
          <cell r="A235">
            <v>31750</v>
          </cell>
          <cell r="B235">
            <v>15.2</v>
          </cell>
        </row>
        <row r="236">
          <cell r="A236">
            <v>31751</v>
          </cell>
          <cell r="B236">
            <v>15.14</v>
          </cell>
        </row>
        <row r="237">
          <cell r="A237">
            <v>31754</v>
          </cell>
          <cell r="B237">
            <v>15.01</v>
          </cell>
        </row>
        <row r="238">
          <cell r="A238">
            <v>31755</v>
          </cell>
          <cell r="B238">
            <v>14.93</v>
          </cell>
        </row>
        <row r="239">
          <cell r="A239">
            <v>31756</v>
          </cell>
          <cell r="B239">
            <v>15.12</v>
          </cell>
        </row>
        <row r="240">
          <cell r="A240">
            <v>31757</v>
          </cell>
          <cell r="B240">
            <v>15.49</v>
          </cell>
        </row>
        <row r="241">
          <cell r="A241">
            <v>31758</v>
          </cell>
          <cell r="B241">
            <v>16.13</v>
          </cell>
        </row>
        <row r="242">
          <cell r="A242">
            <v>31761</v>
          </cell>
          <cell r="B242">
            <v>16.38</v>
          </cell>
        </row>
        <row r="243">
          <cell r="A243">
            <v>31762</v>
          </cell>
          <cell r="B243">
            <v>16.11</v>
          </cell>
        </row>
        <row r="244">
          <cell r="A244">
            <v>31763</v>
          </cell>
          <cell r="B244">
            <v>15.83</v>
          </cell>
        </row>
        <row r="245">
          <cell r="A245">
            <v>31764</v>
          </cell>
          <cell r="B245">
            <v>16.28</v>
          </cell>
        </row>
        <row r="246">
          <cell r="A246">
            <v>31765</v>
          </cell>
          <cell r="B246">
            <v>16.55</v>
          </cell>
        </row>
        <row r="247">
          <cell r="A247">
            <v>31768</v>
          </cell>
          <cell r="B247">
            <v>16.95</v>
          </cell>
        </row>
        <row r="248">
          <cell r="A248">
            <v>31769</v>
          </cell>
          <cell r="B248">
            <v>16.93</v>
          </cell>
        </row>
        <row r="249">
          <cell r="A249">
            <v>31770</v>
          </cell>
          <cell r="B249">
            <v>17.260000000000002</v>
          </cell>
        </row>
        <row r="250">
          <cell r="A250">
            <v>31775</v>
          </cell>
          <cell r="B250">
            <v>17.649999999999999</v>
          </cell>
        </row>
        <row r="251">
          <cell r="A251">
            <v>31776</v>
          </cell>
          <cell r="B251">
            <v>17.73</v>
          </cell>
        </row>
        <row r="252">
          <cell r="A252">
            <v>31777</v>
          </cell>
          <cell r="B252">
            <v>17.93</v>
          </cell>
        </row>
        <row r="253">
          <cell r="A253">
            <v>31779</v>
          </cell>
          <cell r="B253">
            <v>18.13</v>
          </cell>
        </row>
        <row r="254">
          <cell r="A254">
            <v>31782</v>
          </cell>
          <cell r="B254">
            <v>17.98</v>
          </cell>
        </row>
        <row r="255">
          <cell r="A255">
            <v>31783</v>
          </cell>
          <cell r="B255">
            <v>18.21</v>
          </cell>
        </row>
        <row r="256">
          <cell r="A256">
            <v>31784</v>
          </cell>
          <cell r="B256">
            <v>18.28</v>
          </cell>
        </row>
        <row r="257">
          <cell r="A257">
            <v>31785</v>
          </cell>
          <cell r="B257">
            <v>18.63</v>
          </cell>
        </row>
        <row r="258">
          <cell r="A258">
            <v>31786</v>
          </cell>
          <cell r="B258">
            <v>18.78</v>
          </cell>
        </row>
        <row r="259">
          <cell r="A259">
            <v>31789</v>
          </cell>
          <cell r="B259">
            <v>19</v>
          </cell>
        </row>
        <row r="260">
          <cell r="A260">
            <v>31790</v>
          </cell>
          <cell r="B260">
            <v>18.86</v>
          </cell>
        </row>
        <row r="261">
          <cell r="A261">
            <v>31791</v>
          </cell>
          <cell r="B261">
            <v>19.13</v>
          </cell>
        </row>
        <row r="262">
          <cell r="A262">
            <v>31792</v>
          </cell>
          <cell r="B262">
            <v>19.09</v>
          </cell>
        </row>
        <row r="263">
          <cell r="A263">
            <v>31793</v>
          </cell>
          <cell r="B263">
            <v>19.13</v>
          </cell>
        </row>
        <row r="264">
          <cell r="A264">
            <v>31796</v>
          </cell>
          <cell r="B264">
            <v>18.7</v>
          </cell>
        </row>
        <row r="265">
          <cell r="A265">
            <v>31797</v>
          </cell>
          <cell r="B265">
            <v>18.73</v>
          </cell>
        </row>
        <row r="266">
          <cell r="A266">
            <v>31798</v>
          </cell>
          <cell r="B266">
            <v>18.600000000000001</v>
          </cell>
        </row>
        <row r="267">
          <cell r="A267">
            <v>31799</v>
          </cell>
          <cell r="B267">
            <v>18.760000000000002</v>
          </cell>
        </row>
        <row r="268">
          <cell r="A268">
            <v>31800</v>
          </cell>
          <cell r="B268">
            <v>18.59</v>
          </cell>
        </row>
        <row r="269">
          <cell r="A269">
            <v>31803</v>
          </cell>
          <cell r="B269">
            <v>18.63</v>
          </cell>
        </row>
        <row r="270">
          <cell r="A270">
            <v>31804</v>
          </cell>
          <cell r="B270">
            <v>18.48</v>
          </cell>
        </row>
        <row r="271">
          <cell r="A271">
            <v>31805</v>
          </cell>
          <cell r="B271">
            <v>18.559999999999999</v>
          </cell>
        </row>
        <row r="272">
          <cell r="A272">
            <v>31806</v>
          </cell>
          <cell r="B272">
            <v>18.68</v>
          </cell>
        </row>
        <row r="273">
          <cell r="A273">
            <v>31807</v>
          </cell>
          <cell r="B273">
            <v>18.73</v>
          </cell>
        </row>
        <row r="274">
          <cell r="A274">
            <v>31810</v>
          </cell>
          <cell r="B274">
            <v>18.59</v>
          </cell>
        </row>
        <row r="275">
          <cell r="A275">
            <v>31811</v>
          </cell>
          <cell r="B275">
            <v>18.38</v>
          </cell>
        </row>
        <row r="276">
          <cell r="A276">
            <v>31812</v>
          </cell>
          <cell r="B276">
            <v>18.260000000000002</v>
          </cell>
        </row>
        <row r="277">
          <cell r="A277">
            <v>31813</v>
          </cell>
          <cell r="B277">
            <v>18.559999999999999</v>
          </cell>
        </row>
        <row r="278">
          <cell r="A278">
            <v>31814</v>
          </cell>
          <cell r="B278">
            <v>18.440000000000001</v>
          </cell>
        </row>
        <row r="279">
          <cell r="A279">
            <v>31817</v>
          </cell>
          <cell r="B279">
            <v>18.37</v>
          </cell>
        </row>
        <row r="280">
          <cell r="A280">
            <v>31818</v>
          </cell>
          <cell r="B280">
            <v>18.43</v>
          </cell>
        </row>
        <row r="281">
          <cell r="A281">
            <v>31819</v>
          </cell>
          <cell r="B281">
            <v>18.03</v>
          </cell>
        </row>
        <row r="282">
          <cell r="A282">
            <v>31820</v>
          </cell>
          <cell r="B282">
            <v>18.05</v>
          </cell>
        </row>
        <row r="283">
          <cell r="A283">
            <v>31821</v>
          </cell>
          <cell r="B283">
            <v>17.829999999999998</v>
          </cell>
        </row>
        <row r="284">
          <cell r="A284">
            <v>31825</v>
          </cell>
          <cell r="B284">
            <v>17.78</v>
          </cell>
        </row>
        <row r="285">
          <cell r="A285">
            <v>31826</v>
          </cell>
          <cell r="B285">
            <v>17.440000000000001</v>
          </cell>
        </row>
        <row r="286">
          <cell r="A286">
            <v>31827</v>
          </cell>
          <cell r="B286">
            <v>17.48</v>
          </cell>
        </row>
        <row r="287">
          <cell r="A287">
            <v>31828</v>
          </cell>
          <cell r="B287">
            <v>17.829999999999998</v>
          </cell>
        </row>
        <row r="288">
          <cell r="A288">
            <v>31831</v>
          </cell>
          <cell r="B288">
            <v>17.149999999999999</v>
          </cell>
        </row>
        <row r="289">
          <cell r="A289">
            <v>31832</v>
          </cell>
          <cell r="B289">
            <v>16.75</v>
          </cell>
        </row>
        <row r="290">
          <cell r="A290">
            <v>31833</v>
          </cell>
          <cell r="B290">
            <v>16.43</v>
          </cell>
        </row>
        <row r="291">
          <cell r="A291">
            <v>31834</v>
          </cell>
          <cell r="B291">
            <v>16.98</v>
          </cell>
        </row>
        <row r="292">
          <cell r="A292">
            <v>31835</v>
          </cell>
          <cell r="B292">
            <v>16.45</v>
          </cell>
        </row>
        <row r="293">
          <cell r="A293">
            <v>31838</v>
          </cell>
          <cell r="B293">
            <v>16.43</v>
          </cell>
        </row>
        <row r="294">
          <cell r="A294">
            <v>31839</v>
          </cell>
          <cell r="B294">
            <v>17.399999999999999</v>
          </cell>
        </row>
        <row r="295">
          <cell r="A295">
            <v>31840</v>
          </cell>
          <cell r="B295">
            <v>17.399999999999999</v>
          </cell>
        </row>
        <row r="296">
          <cell r="A296">
            <v>31841</v>
          </cell>
          <cell r="B296">
            <v>18</v>
          </cell>
        </row>
        <row r="297">
          <cell r="A297">
            <v>31842</v>
          </cell>
          <cell r="B297">
            <v>18.13</v>
          </cell>
        </row>
        <row r="298">
          <cell r="A298">
            <v>31845</v>
          </cell>
          <cell r="B298">
            <v>18.13</v>
          </cell>
        </row>
        <row r="299">
          <cell r="A299">
            <v>31846</v>
          </cell>
          <cell r="B299">
            <v>18.27</v>
          </cell>
        </row>
        <row r="300">
          <cell r="A300">
            <v>31847</v>
          </cell>
          <cell r="B300">
            <v>18.329999999999998</v>
          </cell>
        </row>
        <row r="301">
          <cell r="A301">
            <v>31848</v>
          </cell>
          <cell r="B301">
            <v>18.420000000000002</v>
          </cell>
        </row>
        <row r="302">
          <cell r="A302">
            <v>31849</v>
          </cell>
          <cell r="B302">
            <v>18.39</v>
          </cell>
        </row>
        <row r="303">
          <cell r="A303">
            <v>31852</v>
          </cell>
          <cell r="B303">
            <v>18.61</v>
          </cell>
        </row>
        <row r="304">
          <cell r="A304">
            <v>31853</v>
          </cell>
          <cell r="B304">
            <v>18.940000000000001</v>
          </cell>
        </row>
        <row r="305">
          <cell r="A305">
            <v>31854</v>
          </cell>
          <cell r="B305">
            <v>18.75</v>
          </cell>
        </row>
        <row r="306">
          <cell r="A306">
            <v>31855</v>
          </cell>
          <cell r="B306">
            <v>18.61</v>
          </cell>
        </row>
        <row r="307">
          <cell r="A307">
            <v>31856</v>
          </cell>
          <cell r="B307">
            <v>18.7</v>
          </cell>
        </row>
        <row r="308">
          <cell r="A308">
            <v>31859</v>
          </cell>
          <cell r="B308">
            <v>18.600000000000001</v>
          </cell>
        </row>
        <row r="309">
          <cell r="A309">
            <v>31861</v>
          </cell>
          <cell r="B309">
            <v>18.48</v>
          </cell>
        </row>
        <row r="310">
          <cell r="A310">
            <v>31862</v>
          </cell>
          <cell r="B310">
            <v>18.63</v>
          </cell>
        </row>
        <row r="311">
          <cell r="A311">
            <v>31863</v>
          </cell>
          <cell r="B311">
            <v>18.649999999999999</v>
          </cell>
        </row>
        <row r="312">
          <cell r="A312">
            <v>31866</v>
          </cell>
          <cell r="B312">
            <v>18.670000000000002</v>
          </cell>
        </row>
        <row r="313">
          <cell r="A313">
            <v>31867</v>
          </cell>
          <cell r="B313">
            <v>18.82</v>
          </cell>
        </row>
        <row r="314">
          <cell r="A314">
            <v>31868</v>
          </cell>
          <cell r="B314">
            <v>18.78</v>
          </cell>
        </row>
        <row r="315">
          <cell r="A315">
            <v>31869</v>
          </cell>
          <cell r="B315">
            <v>18.899999999999999</v>
          </cell>
        </row>
        <row r="316">
          <cell r="A316">
            <v>31870</v>
          </cell>
          <cell r="B316">
            <v>18.68</v>
          </cell>
        </row>
        <row r="317">
          <cell r="A317">
            <v>31873</v>
          </cell>
          <cell r="B317">
            <v>18.71</v>
          </cell>
        </row>
        <row r="318">
          <cell r="A318">
            <v>31874</v>
          </cell>
          <cell r="B318">
            <v>18.690000000000001</v>
          </cell>
        </row>
        <row r="319">
          <cell r="A319">
            <v>31875</v>
          </cell>
          <cell r="B319">
            <v>18.68</v>
          </cell>
        </row>
        <row r="320">
          <cell r="A320">
            <v>31876</v>
          </cell>
          <cell r="B320">
            <v>18.64</v>
          </cell>
        </row>
        <row r="321">
          <cell r="A321">
            <v>31877</v>
          </cell>
          <cell r="B321">
            <v>18.260000000000002</v>
          </cell>
        </row>
        <row r="322">
          <cell r="A322">
            <v>31880</v>
          </cell>
          <cell r="B322">
            <v>18.07</v>
          </cell>
        </row>
        <row r="323">
          <cell r="A323">
            <v>31881</v>
          </cell>
          <cell r="B323">
            <v>18.09</v>
          </cell>
        </row>
        <row r="324">
          <cell r="A324">
            <v>31882</v>
          </cell>
          <cell r="B324">
            <v>18.46</v>
          </cell>
        </row>
        <row r="325">
          <cell r="A325">
            <v>31883</v>
          </cell>
          <cell r="B325">
            <v>18.579999999999998</v>
          </cell>
        </row>
        <row r="326">
          <cell r="A326">
            <v>31887</v>
          </cell>
          <cell r="B326">
            <v>18.66</v>
          </cell>
        </row>
        <row r="327">
          <cell r="A327">
            <v>31888</v>
          </cell>
          <cell r="B327">
            <v>18.97</v>
          </cell>
        </row>
        <row r="328">
          <cell r="A328">
            <v>31889</v>
          </cell>
          <cell r="B328">
            <v>19.03</v>
          </cell>
        </row>
        <row r="329">
          <cell r="A329">
            <v>31890</v>
          </cell>
          <cell r="B329">
            <v>19.03</v>
          </cell>
        </row>
        <row r="330">
          <cell r="A330">
            <v>31891</v>
          </cell>
          <cell r="B330">
            <v>19.010000000000002</v>
          </cell>
        </row>
        <row r="331">
          <cell r="A331">
            <v>31894</v>
          </cell>
          <cell r="B331">
            <v>18.829999999999998</v>
          </cell>
        </row>
        <row r="332">
          <cell r="A332">
            <v>31895</v>
          </cell>
          <cell r="B332">
            <v>18.73</v>
          </cell>
        </row>
        <row r="333">
          <cell r="A333">
            <v>31896</v>
          </cell>
          <cell r="B333">
            <v>18.66</v>
          </cell>
        </row>
        <row r="334">
          <cell r="A334">
            <v>31897</v>
          </cell>
          <cell r="B334">
            <v>18.760000000000002</v>
          </cell>
        </row>
        <row r="335">
          <cell r="A335">
            <v>31898</v>
          </cell>
          <cell r="B335">
            <v>18.84</v>
          </cell>
        </row>
        <row r="336">
          <cell r="A336">
            <v>31901</v>
          </cell>
          <cell r="B336">
            <v>18.93</v>
          </cell>
        </row>
        <row r="337">
          <cell r="A337">
            <v>31902</v>
          </cell>
          <cell r="B337">
            <v>19.18</v>
          </cell>
        </row>
        <row r="338">
          <cell r="A338">
            <v>31903</v>
          </cell>
          <cell r="B338">
            <v>19.22</v>
          </cell>
        </row>
        <row r="339">
          <cell r="A339">
            <v>31904</v>
          </cell>
          <cell r="B339">
            <v>19.079999999999998</v>
          </cell>
        </row>
        <row r="340">
          <cell r="A340">
            <v>31905</v>
          </cell>
          <cell r="B340">
            <v>19.28</v>
          </cell>
        </row>
        <row r="341">
          <cell r="A341">
            <v>31908</v>
          </cell>
          <cell r="B341">
            <v>19.43</v>
          </cell>
        </row>
        <row r="342">
          <cell r="A342">
            <v>31909</v>
          </cell>
          <cell r="B342">
            <v>19.37</v>
          </cell>
        </row>
        <row r="343">
          <cell r="A343">
            <v>31910</v>
          </cell>
          <cell r="B343">
            <v>19.39</v>
          </cell>
        </row>
        <row r="344">
          <cell r="A344">
            <v>31911</v>
          </cell>
          <cell r="B344">
            <v>19.559999999999999</v>
          </cell>
        </row>
        <row r="345">
          <cell r="A345">
            <v>31912</v>
          </cell>
          <cell r="B345">
            <v>19.84</v>
          </cell>
        </row>
        <row r="346">
          <cell r="A346">
            <v>31915</v>
          </cell>
          <cell r="B346">
            <v>19.91</v>
          </cell>
        </row>
        <row r="347">
          <cell r="A347">
            <v>31916</v>
          </cell>
          <cell r="B347">
            <v>19.97</v>
          </cell>
        </row>
        <row r="348">
          <cell r="A348">
            <v>31917</v>
          </cell>
          <cell r="B348">
            <v>19.75</v>
          </cell>
        </row>
        <row r="349">
          <cell r="A349">
            <v>31918</v>
          </cell>
          <cell r="B349">
            <v>19.95</v>
          </cell>
        </row>
        <row r="350">
          <cell r="A350">
            <v>31919</v>
          </cell>
          <cell r="B350">
            <v>19.68</v>
          </cell>
        </row>
        <row r="351">
          <cell r="A351">
            <v>31923</v>
          </cell>
          <cell r="B351">
            <v>19.350000000000001</v>
          </cell>
        </row>
        <row r="352">
          <cell r="A352">
            <v>31924</v>
          </cell>
          <cell r="B352">
            <v>19.38</v>
          </cell>
        </row>
        <row r="353">
          <cell r="A353">
            <v>31925</v>
          </cell>
          <cell r="B353">
            <v>19.28</v>
          </cell>
        </row>
        <row r="354">
          <cell r="A354">
            <v>31926</v>
          </cell>
          <cell r="B354">
            <v>19.36</v>
          </cell>
        </row>
        <row r="355">
          <cell r="A355">
            <v>31929</v>
          </cell>
          <cell r="B355">
            <v>19.55</v>
          </cell>
        </row>
        <row r="356">
          <cell r="A356">
            <v>31930</v>
          </cell>
          <cell r="B356">
            <v>19.7</v>
          </cell>
        </row>
        <row r="357">
          <cell r="A357">
            <v>31931</v>
          </cell>
          <cell r="B357">
            <v>19.87</v>
          </cell>
        </row>
        <row r="358">
          <cell r="A358">
            <v>31932</v>
          </cell>
          <cell r="B358">
            <v>19.75</v>
          </cell>
        </row>
        <row r="359">
          <cell r="A359">
            <v>31933</v>
          </cell>
          <cell r="B359">
            <v>19.79</v>
          </cell>
        </row>
        <row r="360">
          <cell r="A360">
            <v>31936</v>
          </cell>
          <cell r="B360">
            <v>19.940000000000001</v>
          </cell>
        </row>
        <row r="361">
          <cell r="A361">
            <v>31937</v>
          </cell>
          <cell r="B361">
            <v>19.84</v>
          </cell>
        </row>
        <row r="362">
          <cell r="A362">
            <v>31938</v>
          </cell>
          <cell r="B362">
            <v>19.829999999999998</v>
          </cell>
        </row>
        <row r="363">
          <cell r="A363">
            <v>31939</v>
          </cell>
          <cell r="B363">
            <v>19.850000000000001</v>
          </cell>
        </row>
        <row r="364">
          <cell r="A364">
            <v>31940</v>
          </cell>
          <cell r="B364">
            <v>19.93</v>
          </cell>
        </row>
        <row r="365">
          <cell r="A365">
            <v>31943</v>
          </cell>
          <cell r="B365">
            <v>20.07</v>
          </cell>
        </row>
        <row r="366">
          <cell r="A366">
            <v>31944</v>
          </cell>
          <cell r="B366">
            <v>20.27</v>
          </cell>
        </row>
        <row r="367">
          <cell r="A367">
            <v>31945</v>
          </cell>
          <cell r="B367">
            <v>20.41</v>
          </cell>
        </row>
        <row r="368">
          <cell r="A368">
            <v>31946</v>
          </cell>
          <cell r="B368">
            <v>20.5</v>
          </cell>
        </row>
        <row r="369">
          <cell r="A369">
            <v>31947</v>
          </cell>
          <cell r="B369">
            <v>20.65</v>
          </cell>
        </row>
        <row r="370">
          <cell r="A370">
            <v>31950</v>
          </cell>
          <cell r="B370">
            <v>20.49</v>
          </cell>
        </row>
        <row r="371">
          <cell r="A371">
            <v>31951</v>
          </cell>
          <cell r="B371">
            <v>19.95</v>
          </cell>
        </row>
        <row r="372">
          <cell r="A372">
            <v>31952</v>
          </cell>
          <cell r="B372">
            <v>20.13</v>
          </cell>
        </row>
        <row r="373">
          <cell r="A373">
            <v>31953</v>
          </cell>
          <cell r="B373">
            <v>20.149999999999999</v>
          </cell>
        </row>
        <row r="374">
          <cell r="A374">
            <v>31954</v>
          </cell>
          <cell r="B374">
            <v>20.34</v>
          </cell>
        </row>
        <row r="375">
          <cell r="A375">
            <v>31957</v>
          </cell>
          <cell r="B375">
            <v>20.38</v>
          </cell>
        </row>
        <row r="376">
          <cell r="A376">
            <v>31958</v>
          </cell>
          <cell r="B376">
            <v>20.22</v>
          </cell>
        </row>
        <row r="377">
          <cell r="A377">
            <v>31959</v>
          </cell>
          <cell r="B377">
            <v>20.47</v>
          </cell>
        </row>
        <row r="378">
          <cell r="A378">
            <v>31960</v>
          </cell>
          <cell r="B378">
            <v>20.61</v>
          </cell>
        </row>
        <row r="379">
          <cell r="A379">
            <v>31961</v>
          </cell>
          <cell r="B379">
            <v>20.61</v>
          </cell>
        </row>
        <row r="380">
          <cell r="A380">
            <v>31964</v>
          </cell>
          <cell r="B380">
            <v>20.92</v>
          </cell>
        </row>
        <row r="381">
          <cell r="A381">
            <v>31965</v>
          </cell>
          <cell r="B381">
            <v>20.76</v>
          </cell>
        </row>
        <row r="382">
          <cell r="A382">
            <v>31966</v>
          </cell>
          <cell r="B382">
            <v>20.94</v>
          </cell>
        </row>
        <row r="383">
          <cell r="A383">
            <v>31967</v>
          </cell>
          <cell r="B383">
            <v>21.32</v>
          </cell>
        </row>
        <row r="384">
          <cell r="A384">
            <v>31968</v>
          </cell>
          <cell r="B384">
            <v>21.34</v>
          </cell>
        </row>
        <row r="385">
          <cell r="A385">
            <v>31971</v>
          </cell>
          <cell r="B385">
            <v>21.38</v>
          </cell>
        </row>
        <row r="386">
          <cell r="A386">
            <v>31972</v>
          </cell>
          <cell r="B386">
            <v>21.65</v>
          </cell>
        </row>
        <row r="387">
          <cell r="A387">
            <v>31973</v>
          </cell>
          <cell r="B387">
            <v>22.23</v>
          </cell>
        </row>
        <row r="388">
          <cell r="A388">
            <v>31974</v>
          </cell>
          <cell r="B388">
            <v>22.44</v>
          </cell>
        </row>
        <row r="389">
          <cell r="A389">
            <v>31975</v>
          </cell>
          <cell r="B389">
            <v>22.44</v>
          </cell>
        </row>
        <row r="390">
          <cell r="A390">
            <v>31978</v>
          </cell>
          <cell r="B390">
            <v>22.23</v>
          </cell>
        </row>
        <row r="391">
          <cell r="A391">
            <v>31979</v>
          </cell>
          <cell r="B391">
            <v>21.75</v>
          </cell>
        </row>
        <row r="392">
          <cell r="A392">
            <v>31980</v>
          </cell>
          <cell r="B392">
            <v>21.73</v>
          </cell>
        </row>
        <row r="393">
          <cell r="A393">
            <v>31981</v>
          </cell>
          <cell r="B393">
            <v>21.23</v>
          </cell>
        </row>
        <row r="394">
          <cell r="A394">
            <v>31982</v>
          </cell>
          <cell r="B394">
            <v>20.58</v>
          </cell>
        </row>
        <row r="395">
          <cell r="A395">
            <v>31985</v>
          </cell>
          <cell r="B395">
            <v>20.5</v>
          </cell>
        </row>
        <row r="396">
          <cell r="A396">
            <v>31986</v>
          </cell>
          <cell r="B396">
            <v>21.35</v>
          </cell>
        </row>
        <row r="397">
          <cell r="A397">
            <v>31987</v>
          </cell>
          <cell r="B397">
            <v>21.49</v>
          </cell>
        </row>
        <row r="398">
          <cell r="A398">
            <v>31988</v>
          </cell>
          <cell r="B398">
            <v>21.47</v>
          </cell>
        </row>
        <row r="399">
          <cell r="A399">
            <v>31989</v>
          </cell>
          <cell r="B399">
            <v>21.43</v>
          </cell>
        </row>
        <row r="400">
          <cell r="A400">
            <v>31992</v>
          </cell>
          <cell r="B400">
            <v>22.21</v>
          </cell>
        </row>
        <row r="401">
          <cell r="A401">
            <v>31993</v>
          </cell>
          <cell r="B401">
            <v>21.82</v>
          </cell>
        </row>
        <row r="402">
          <cell r="A402">
            <v>31994</v>
          </cell>
          <cell r="B402">
            <v>21.37</v>
          </cell>
        </row>
        <row r="403">
          <cell r="A403">
            <v>31995</v>
          </cell>
          <cell r="B403">
            <v>21.17</v>
          </cell>
        </row>
        <row r="404">
          <cell r="A404">
            <v>31996</v>
          </cell>
          <cell r="B404">
            <v>21.01</v>
          </cell>
        </row>
        <row r="405">
          <cell r="A405">
            <v>31999</v>
          </cell>
          <cell r="B405">
            <v>20.7</v>
          </cell>
        </row>
        <row r="406">
          <cell r="A406">
            <v>32000</v>
          </cell>
          <cell r="B406">
            <v>21.07</v>
          </cell>
        </row>
        <row r="407">
          <cell r="A407">
            <v>32001</v>
          </cell>
          <cell r="B407">
            <v>20.96</v>
          </cell>
        </row>
        <row r="408">
          <cell r="A408">
            <v>32002</v>
          </cell>
          <cell r="B408">
            <v>20.76</v>
          </cell>
        </row>
        <row r="409">
          <cell r="A409">
            <v>32003</v>
          </cell>
          <cell r="B409">
            <v>20.53</v>
          </cell>
        </row>
        <row r="410">
          <cell r="A410">
            <v>32006</v>
          </cell>
          <cell r="B410">
            <v>19.850000000000001</v>
          </cell>
        </row>
        <row r="411">
          <cell r="A411">
            <v>32007</v>
          </cell>
          <cell r="B411">
            <v>19.84</v>
          </cell>
        </row>
        <row r="412">
          <cell r="A412">
            <v>32008</v>
          </cell>
          <cell r="B412">
            <v>19.71</v>
          </cell>
        </row>
        <row r="413">
          <cell r="A413">
            <v>32009</v>
          </cell>
          <cell r="B413">
            <v>19.47</v>
          </cell>
        </row>
        <row r="414">
          <cell r="A414">
            <v>32010</v>
          </cell>
          <cell r="B414">
            <v>19.2</v>
          </cell>
        </row>
        <row r="415">
          <cell r="A415">
            <v>32013</v>
          </cell>
          <cell r="B415">
            <v>19.18</v>
          </cell>
        </row>
        <row r="416">
          <cell r="A416">
            <v>32014</v>
          </cell>
          <cell r="B416">
            <v>19.3</v>
          </cell>
        </row>
        <row r="417">
          <cell r="A417">
            <v>32015</v>
          </cell>
          <cell r="B417">
            <v>19.489999999999998</v>
          </cell>
        </row>
        <row r="418">
          <cell r="A418">
            <v>32016</v>
          </cell>
          <cell r="B418">
            <v>19.690000000000001</v>
          </cell>
        </row>
        <row r="419">
          <cell r="A419">
            <v>32017</v>
          </cell>
          <cell r="B419">
            <v>19.440000000000001</v>
          </cell>
        </row>
        <row r="420">
          <cell r="A420">
            <v>32020</v>
          </cell>
          <cell r="B420">
            <v>19.760000000000002</v>
          </cell>
        </row>
        <row r="421">
          <cell r="A421">
            <v>32021</v>
          </cell>
          <cell r="B421">
            <v>19.61</v>
          </cell>
        </row>
        <row r="422">
          <cell r="A422">
            <v>32022</v>
          </cell>
          <cell r="B422">
            <v>19.62</v>
          </cell>
        </row>
        <row r="423">
          <cell r="A423">
            <v>32023</v>
          </cell>
          <cell r="B423">
            <v>19.48</v>
          </cell>
        </row>
        <row r="424">
          <cell r="A424">
            <v>32024</v>
          </cell>
          <cell r="B424">
            <v>19.34</v>
          </cell>
        </row>
        <row r="425">
          <cell r="A425">
            <v>32027</v>
          </cell>
          <cell r="B425">
            <v>19.34</v>
          </cell>
        </row>
        <row r="426">
          <cell r="A426">
            <v>32028</v>
          </cell>
          <cell r="B426">
            <v>18.989999999999998</v>
          </cell>
        </row>
        <row r="427">
          <cell r="A427">
            <v>32029</v>
          </cell>
          <cell r="B427">
            <v>19.43</v>
          </cell>
        </row>
        <row r="428">
          <cell r="A428">
            <v>32030</v>
          </cell>
          <cell r="B428">
            <v>19.72</v>
          </cell>
        </row>
        <row r="429">
          <cell r="A429">
            <v>32031</v>
          </cell>
          <cell r="B429">
            <v>19.420000000000002</v>
          </cell>
        </row>
        <row r="430">
          <cell r="A430">
            <v>32034</v>
          </cell>
          <cell r="B430">
            <v>19.64</v>
          </cell>
        </row>
        <row r="431">
          <cell r="A431">
            <v>32035</v>
          </cell>
          <cell r="B431">
            <v>19.66</v>
          </cell>
        </row>
        <row r="432">
          <cell r="A432">
            <v>32036</v>
          </cell>
          <cell r="B432">
            <v>19.71</v>
          </cell>
        </row>
        <row r="433">
          <cell r="A433">
            <v>32037</v>
          </cell>
          <cell r="B433">
            <v>19.579999999999998</v>
          </cell>
        </row>
        <row r="434">
          <cell r="A434">
            <v>32038</v>
          </cell>
          <cell r="B434">
            <v>19.579999999999998</v>
          </cell>
        </row>
        <row r="435">
          <cell r="A435">
            <v>32041</v>
          </cell>
          <cell r="B435">
            <v>19.77</v>
          </cell>
        </row>
        <row r="436">
          <cell r="A436">
            <v>32042</v>
          </cell>
          <cell r="B436">
            <v>19.350000000000001</v>
          </cell>
        </row>
        <row r="437">
          <cell r="A437">
            <v>32043</v>
          </cell>
          <cell r="B437">
            <v>19.66</v>
          </cell>
        </row>
        <row r="438">
          <cell r="A438">
            <v>32044</v>
          </cell>
          <cell r="B438">
            <v>19.61</v>
          </cell>
        </row>
        <row r="439">
          <cell r="A439">
            <v>32045</v>
          </cell>
          <cell r="B439">
            <v>19.47</v>
          </cell>
        </row>
        <row r="440">
          <cell r="A440">
            <v>32048</v>
          </cell>
          <cell r="B440">
            <v>19.48</v>
          </cell>
        </row>
        <row r="441">
          <cell r="A441">
            <v>32049</v>
          </cell>
          <cell r="B441">
            <v>19.579999999999998</v>
          </cell>
        </row>
        <row r="442">
          <cell r="A442">
            <v>32050</v>
          </cell>
          <cell r="B442">
            <v>19.62</v>
          </cell>
        </row>
        <row r="443">
          <cell r="A443">
            <v>32051</v>
          </cell>
          <cell r="B443">
            <v>19.62</v>
          </cell>
        </row>
        <row r="444">
          <cell r="A444">
            <v>32052</v>
          </cell>
          <cell r="B444">
            <v>19.88</v>
          </cell>
        </row>
        <row r="445">
          <cell r="A445">
            <v>32055</v>
          </cell>
          <cell r="B445">
            <v>19.809999999999999</v>
          </cell>
        </row>
        <row r="446">
          <cell r="A446">
            <v>32056</v>
          </cell>
          <cell r="B446">
            <v>19.329999999999998</v>
          </cell>
        </row>
        <row r="447">
          <cell r="A447">
            <v>32057</v>
          </cell>
          <cell r="B447">
            <v>19.68</v>
          </cell>
        </row>
        <row r="448">
          <cell r="A448">
            <v>32058</v>
          </cell>
          <cell r="B448">
            <v>19.77</v>
          </cell>
        </row>
        <row r="449">
          <cell r="A449">
            <v>32059</v>
          </cell>
          <cell r="B449">
            <v>19.670000000000002</v>
          </cell>
        </row>
        <row r="450">
          <cell r="A450">
            <v>32062</v>
          </cell>
          <cell r="B450">
            <v>19.670000000000002</v>
          </cell>
        </row>
        <row r="451">
          <cell r="A451">
            <v>32063</v>
          </cell>
          <cell r="B451">
            <v>19.66</v>
          </cell>
        </row>
        <row r="452">
          <cell r="A452">
            <v>32064</v>
          </cell>
          <cell r="B452">
            <v>19.79</v>
          </cell>
        </row>
        <row r="453">
          <cell r="A453">
            <v>32065</v>
          </cell>
          <cell r="B453">
            <v>19.77</v>
          </cell>
        </row>
        <row r="454">
          <cell r="A454">
            <v>32066</v>
          </cell>
          <cell r="B454">
            <v>20.23</v>
          </cell>
        </row>
        <row r="455">
          <cell r="A455">
            <v>32069</v>
          </cell>
          <cell r="B455">
            <v>19.79</v>
          </cell>
        </row>
        <row r="456">
          <cell r="A456">
            <v>32070</v>
          </cell>
          <cell r="B456">
            <v>19.79</v>
          </cell>
        </row>
        <row r="457">
          <cell r="A457">
            <v>32071</v>
          </cell>
          <cell r="B457">
            <v>19.93</v>
          </cell>
        </row>
        <row r="458">
          <cell r="A458">
            <v>32072</v>
          </cell>
          <cell r="B458">
            <v>20.190000000000001</v>
          </cell>
        </row>
        <row r="459">
          <cell r="A459">
            <v>32073</v>
          </cell>
          <cell r="B459">
            <v>20.18</v>
          </cell>
        </row>
        <row r="460">
          <cell r="A460">
            <v>32076</v>
          </cell>
          <cell r="B460">
            <v>20</v>
          </cell>
        </row>
        <row r="461">
          <cell r="A461">
            <v>32077</v>
          </cell>
          <cell r="B461">
            <v>20.149999999999999</v>
          </cell>
        </row>
        <row r="462">
          <cell r="A462">
            <v>32078</v>
          </cell>
          <cell r="B462">
            <v>20.100000000000001</v>
          </cell>
        </row>
        <row r="463">
          <cell r="A463">
            <v>32079</v>
          </cell>
          <cell r="B463">
            <v>19.93</v>
          </cell>
        </row>
        <row r="464">
          <cell r="A464">
            <v>32080</v>
          </cell>
          <cell r="B464">
            <v>19.96</v>
          </cell>
        </row>
        <row r="465">
          <cell r="A465">
            <v>32083</v>
          </cell>
          <cell r="B465">
            <v>19.64</v>
          </cell>
        </row>
        <row r="466">
          <cell r="A466">
            <v>32084</v>
          </cell>
          <cell r="B466">
            <v>19.39</v>
          </cell>
        </row>
        <row r="467">
          <cell r="A467">
            <v>32085</v>
          </cell>
          <cell r="B467">
            <v>19.09</v>
          </cell>
        </row>
        <row r="468">
          <cell r="A468">
            <v>32086</v>
          </cell>
          <cell r="B468">
            <v>19.02</v>
          </cell>
        </row>
        <row r="469">
          <cell r="A469">
            <v>32087</v>
          </cell>
          <cell r="B469">
            <v>18.73</v>
          </cell>
        </row>
        <row r="470">
          <cell r="A470">
            <v>32090</v>
          </cell>
          <cell r="B470">
            <v>18.66</v>
          </cell>
        </row>
        <row r="471">
          <cell r="A471">
            <v>32091</v>
          </cell>
          <cell r="B471">
            <v>18.98</v>
          </cell>
        </row>
        <row r="472">
          <cell r="A472">
            <v>32092</v>
          </cell>
          <cell r="B472">
            <v>18.920000000000002</v>
          </cell>
        </row>
        <row r="473">
          <cell r="A473">
            <v>32093</v>
          </cell>
          <cell r="B473">
            <v>18.93</v>
          </cell>
        </row>
        <row r="474">
          <cell r="A474">
            <v>32094</v>
          </cell>
          <cell r="B474">
            <v>18.89</v>
          </cell>
        </row>
        <row r="475">
          <cell r="A475">
            <v>32097</v>
          </cell>
          <cell r="B475">
            <v>18.690000000000001</v>
          </cell>
        </row>
        <row r="476">
          <cell r="A476">
            <v>32098</v>
          </cell>
          <cell r="B476">
            <v>18.28</v>
          </cell>
        </row>
        <row r="477">
          <cell r="A477">
            <v>32099</v>
          </cell>
          <cell r="B477">
            <v>18.62</v>
          </cell>
        </row>
        <row r="478">
          <cell r="A478">
            <v>32100</v>
          </cell>
          <cell r="B478">
            <v>18.55</v>
          </cell>
        </row>
        <row r="479">
          <cell r="A479">
            <v>32101</v>
          </cell>
          <cell r="B479">
            <v>18.87</v>
          </cell>
        </row>
        <row r="480">
          <cell r="A480">
            <v>32104</v>
          </cell>
          <cell r="B480">
            <v>19.309999999999999</v>
          </cell>
        </row>
        <row r="481">
          <cell r="A481">
            <v>32105</v>
          </cell>
          <cell r="B481">
            <v>18.73</v>
          </cell>
        </row>
        <row r="482">
          <cell r="A482">
            <v>32106</v>
          </cell>
          <cell r="B482">
            <v>18.63</v>
          </cell>
        </row>
        <row r="483">
          <cell r="A483">
            <v>32108</v>
          </cell>
          <cell r="B483">
            <v>18.63</v>
          </cell>
        </row>
        <row r="484">
          <cell r="A484">
            <v>32111</v>
          </cell>
          <cell r="B484">
            <v>18.52</v>
          </cell>
        </row>
        <row r="485">
          <cell r="A485">
            <v>32112</v>
          </cell>
          <cell r="B485">
            <v>18.440000000000001</v>
          </cell>
        </row>
        <row r="486">
          <cell r="A486">
            <v>32113</v>
          </cell>
          <cell r="B486">
            <v>18.59</v>
          </cell>
        </row>
        <row r="487">
          <cell r="A487">
            <v>32114</v>
          </cell>
          <cell r="B487">
            <v>18.87</v>
          </cell>
        </row>
        <row r="488">
          <cell r="A488">
            <v>32115</v>
          </cell>
          <cell r="B488">
            <v>18.68</v>
          </cell>
        </row>
        <row r="489">
          <cell r="A489">
            <v>32118</v>
          </cell>
          <cell r="B489">
            <v>18.3</v>
          </cell>
        </row>
        <row r="490">
          <cell r="A490">
            <v>32119</v>
          </cell>
          <cell r="B490">
            <v>18.059999999999999</v>
          </cell>
        </row>
        <row r="491">
          <cell r="A491">
            <v>32120</v>
          </cell>
          <cell r="B491">
            <v>18.53</v>
          </cell>
        </row>
        <row r="492">
          <cell r="A492">
            <v>32121</v>
          </cell>
          <cell r="B492">
            <v>18.510000000000002</v>
          </cell>
        </row>
        <row r="493">
          <cell r="A493">
            <v>32122</v>
          </cell>
          <cell r="B493">
            <v>18.309999999999999</v>
          </cell>
        </row>
        <row r="494">
          <cell r="A494">
            <v>32125</v>
          </cell>
          <cell r="B494">
            <v>17.47</v>
          </cell>
        </row>
        <row r="495">
          <cell r="A495">
            <v>32126</v>
          </cell>
          <cell r="B495">
            <v>16.75</v>
          </cell>
        </row>
        <row r="496">
          <cell r="A496">
            <v>32127</v>
          </cell>
          <cell r="B496">
            <v>15.97</v>
          </cell>
        </row>
        <row r="497">
          <cell r="A497">
            <v>32128</v>
          </cell>
          <cell r="B497">
            <v>15.97</v>
          </cell>
        </row>
        <row r="498">
          <cell r="A498">
            <v>32129</v>
          </cell>
          <cell r="B498">
            <v>15.57</v>
          </cell>
        </row>
        <row r="499">
          <cell r="A499">
            <v>32132</v>
          </cell>
          <cell r="B499">
            <v>15.12</v>
          </cell>
        </row>
        <row r="500">
          <cell r="A500">
            <v>32133</v>
          </cell>
          <cell r="B500">
            <v>16.600000000000001</v>
          </cell>
        </row>
        <row r="501">
          <cell r="A501">
            <v>32134</v>
          </cell>
          <cell r="B501">
            <v>16.64</v>
          </cell>
        </row>
        <row r="502">
          <cell r="A502">
            <v>32135</v>
          </cell>
          <cell r="B502">
            <v>16.54</v>
          </cell>
        </row>
        <row r="503">
          <cell r="A503">
            <v>32139</v>
          </cell>
          <cell r="B503">
            <v>16.46</v>
          </cell>
        </row>
        <row r="504">
          <cell r="A504">
            <v>32140</v>
          </cell>
          <cell r="B504">
            <v>16.95</v>
          </cell>
        </row>
        <row r="505">
          <cell r="A505">
            <v>32141</v>
          </cell>
          <cell r="B505">
            <v>16.97</v>
          </cell>
        </row>
        <row r="506">
          <cell r="A506">
            <v>32142</v>
          </cell>
          <cell r="B506">
            <v>16.739999999999998</v>
          </cell>
        </row>
        <row r="507">
          <cell r="A507">
            <v>32146</v>
          </cell>
          <cell r="B507">
            <v>17.77</v>
          </cell>
        </row>
        <row r="508">
          <cell r="A508">
            <v>32147</v>
          </cell>
          <cell r="B508">
            <v>17.89</v>
          </cell>
        </row>
        <row r="509">
          <cell r="A509">
            <v>32148</v>
          </cell>
          <cell r="B509">
            <v>17.73</v>
          </cell>
        </row>
        <row r="510">
          <cell r="A510">
            <v>32149</v>
          </cell>
          <cell r="B510">
            <v>17.3</v>
          </cell>
        </row>
        <row r="511">
          <cell r="A511">
            <v>32150</v>
          </cell>
          <cell r="B511">
            <v>17.329999999999998</v>
          </cell>
        </row>
        <row r="512">
          <cell r="A512">
            <v>32153</v>
          </cell>
          <cell r="B512">
            <v>16.63</v>
          </cell>
        </row>
        <row r="513">
          <cell r="A513">
            <v>32154</v>
          </cell>
          <cell r="B513">
            <v>16.760000000000002</v>
          </cell>
        </row>
        <row r="514">
          <cell r="A514">
            <v>32155</v>
          </cell>
          <cell r="B514">
            <v>16.559999999999999</v>
          </cell>
        </row>
        <row r="515">
          <cell r="A515">
            <v>32156</v>
          </cell>
          <cell r="B515">
            <v>17.100000000000001</v>
          </cell>
        </row>
        <row r="516">
          <cell r="A516">
            <v>32157</v>
          </cell>
          <cell r="B516">
            <v>16.920000000000002</v>
          </cell>
        </row>
        <row r="517">
          <cell r="A517">
            <v>32160</v>
          </cell>
          <cell r="B517">
            <v>17.28</v>
          </cell>
        </row>
        <row r="518">
          <cell r="A518">
            <v>32161</v>
          </cell>
          <cell r="B518">
            <v>17.3</v>
          </cell>
        </row>
        <row r="519">
          <cell r="A519">
            <v>32162</v>
          </cell>
          <cell r="B519">
            <v>17.2</v>
          </cell>
        </row>
        <row r="520">
          <cell r="A520">
            <v>32163</v>
          </cell>
          <cell r="B520">
            <v>17.21</v>
          </cell>
        </row>
        <row r="521">
          <cell r="A521">
            <v>32164</v>
          </cell>
          <cell r="B521">
            <v>16.989999999999998</v>
          </cell>
        </row>
        <row r="522">
          <cell r="A522">
            <v>32167</v>
          </cell>
          <cell r="B522">
            <v>17.11</v>
          </cell>
        </row>
        <row r="523">
          <cell r="A523">
            <v>32168</v>
          </cell>
          <cell r="B523">
            <v>16.96</v>
          </cell>
        </row>
        <row r="524">
          <cell r="A524">
            <v>32169</v>
          </cell>
          <cell r="B524">
            <v>16.64</v>
          </cell>
        </row>
        <row r="525">
          <cell r="A525">
            <v>32170</v>
          </cell>
          <cell r="B525">
            <v>16.940000000000001</v>
          </cell>
        </row>
        <row r="526">
          <cell r="A526">
            <v>32171</v>
          </cell>
          <cell r="B526">
            <v>16.97</v>
          </cell>
        </row>
        <row r="527">
          <cell r="A527">
            <v>32174</v>
          </cell>
          <cell r="B527">
            <v>16.829999999999998</v>
          </cell>
        </row>
        <row r="528">
          <cell r="A528">
            <v>32175</v>
          </cell>
          <cell r="B528">
            <v>16.920000000000002</v>
          </cell>
        </row>
        <row r="529">
          <cell r="A529">
            <v>32176</v>
          </cell>
          <cell r="B529">
            <v>17.12</v>
          </cell>
        </row>
        <row r="530">
          <cell r="A530">
            <v>32177</v>
          </cell>
          <cell r="B530">
            <v>17.170000000000002</v>
          </cell>
        </row>
        <row r="531">
          <cell r="A531">
            <v>32178</v>
          </cell>
          <cell r="B531">
            <v>17.34</v>
          </cell>
        </row>
        <row r="532">
          <cell r="A532">
            <v>32181</v>
          </cell>
          <cell r="B532">
            <v>17.7</v>
          </cell>
        </row>
        <row r="533">
          <cell r="A533">
            <v>32182</v>
          </cell>
          <cell r="B533">
            <v>17.38</v>
          </cell>
        </row>
        <row r="534">
          <cell r="A534">
            <v>32183</v>
          </cell>
          <cell r="B534">
            <v>17.12</v>
          </cell>
        </row>
        <row r="535">
          <cell r="A535">
            <v>32184</v>
          </cell>
          <cell r="B535">
            <v>17.170000000000002</v>
          </cell>
        </row>
        <row r="536">
          <cell r="A536">
            <v>32185</v>
          </cell>
          <cell r="B536">
            <v>16.84</v>
          </cell>
        </row>
        <row r="537">
          <cell r="A537">
            <v>32188</v>
          </cell>
          <cell r="B537">
            <v>16.84</v>
          </cell>
        </row>
        <row r="538">
          <cell r="A538">
            <v>32189</v>
          </cell>
          <cell r="B538">
            <v>16.8</v>
          </cell>
        </row>
        <row r="539">
          <cell r="A539">
            <v>32190</v>
          </cell>
          <cell r="B539">
            <v>16.62</v>
          </cell>
        </row>
        <row r="540">
          <cell r="A540">
            <v>32191</v>
          </cell>
          <cell r="B540">
            <v>16.5</v>
          </cell>
        </row>
        <row r="541">
          <cell r="A541">
            <v>32192</v>
          </cell>
          <cell r="B541">
            <v>16.73</v>
          </cell>
        </row>
        <row r="542">
          <cell r="A542">
            <v>32195</v>
          </cell>
          <cell r="B542">
            <v>16.64</v>
          </cell>
        </row>
        <row r="543">
          <cell r="A543">
            <v>32196</v>
          </cell>
          <cell r="B543">
            <v>16.8</v>
          </cell>
        </row>
        <row r="544">
          <cell r="A544">
            <v>32197</v>
          </cell>
          <cell r="B544">
            <v>16.579999999999998</v>
          </cell>
        </row>
        <row r="545">
          <cell r="A545">
            <v>32198</v>
          </cell>
          <cell r="B545">
            <v>15.86</v>
          </cell>
        </row>
        <row r="546">
          <cell r="A546">
            <v>32199</v>
          </cell>
          <cell r="B546">
            <v>15.77</v>
          </cell>
        </row>
        <row r="547">
          <cell r="A547">
            <v>32202</v>
          </cell>
          <cell r="B547">
            <v>15.98</v>
          </cell>
        </row>
        <row r="548">
          <cell r="A548">
            <v>32203</v>
          </cell>
          <cell r="B548">
            <v>15.57</v>
          </cell>
        </row>
        <row r="549">
          <cell r="A549">
            <v>32204</v>
          </cell>
          <cell r="B549">
            <v>15.69</v>
          </cell>
        </row>
        <row r="550">
          <cell r="A550">
            <v>32205</v>
          </cell>
          <cell r="B550">
            <v>15.35</v>
          </cell>
        </row>
        <row r="551">
          <cell r="A551">
            <v>32206</v>
          </cell>
          <cell r="B551">
            <v>15.63</v>
          </cell>
        </row>
        <row r="552">
          <cell r="A552">
            <v>32209</v>
          </cell>
          <cell r="B552">
            <v>15.35</v>
          </cell>
        </row>
        <row r="553">
          <cell r="A553">
            <v>32210</v>
          </cell>
          <cell r="B553">
            <v>15.58</v>
          </cell>
        </row>
        <row r="554">
          <cell r="A554">
            <v>32211</v>
          </cell>
          <cell r="B554">
            <v>15.52</v>
          </cell>
        </row>
        <row r="555">
          <cell r="A555">
            <v>32212</v>
          </cell>
          <cell r="B555">
            <v>16.04</v>
          </cell>
        </row>
        <row r="556">
          <cell r="A556">
            <v>32213</v>
          </cell>
          <cell r="B556">
            <v>16.2</v>
          </cell>
        </row>
        <row r="557">
          <cell r="A557">
            <v>32216</v>
          </cell>
          <cell r="B557">
            <v>15.57</v>
          </cell>
        </row>
        <row r="558">
          <cell r="A558">
            <v>32217</v>
          </cell>
          <cell r="B558">
            <v>15.81</v>
          </cell>
        </row>
        <row r="559">
          <cell r="A559">
            <v>32218</v>
          </cell>
          <cell r="B559">
            <v>16.03</v>
          </cell>
        </row>
        <row r="560">
          <cell r="A560">
            <v>32219</v>
          </cell>
          <cell r="B560">
            <v>16.39</v>
          </cell>
        </row>
        <row r="561">
          <cell r="A561">
            <v>32220</v>
          </cell>
          <cell r="B561">
            <v>16.61</v>
          </cell>
        </row>
        <row r="562">
          <cell r="A562">
            <v>32223</v>
          </cell>
          <cell r="B562">
            <v>16.52</v>
          </cell>
        </row>
        <row r="563">
          <cell r="A563">
            <v>32224</v>
          </cell>
          <cell r="B563">
            <v>16.02</v>
          </cell>
        </row>
        <row r="564">
          <cell r="A564">
            <v>32225</v>
          </cell>
          <cell r="B564">
            <v>16.579999999999998</v>
          </cell>
        </row>
        <row r="565">
          <cell r="A565">
            <v>32226</v>
          </cell>
          <cell r="B565">
            <v>16.73</v>
          </cell>
        </row>
        <row r="566">
          <cell r="A566">
            <v>32227</v>
          </cell>
          <cell r="B566">
            <v>17.07</v>
          </cell>
        </row>
        <row r="567">
          <cell r="A567">
            <v>32230</v>
          </cell>
          <cell r="B567">
            <v>17.05</v>
          </cell>
        </row>
        <row r="568">
          <cell r="A568">
            <v>32231</v>
          </cell>
          <cell r="B568">
            <v>17.079999999999998</v>
          </cell>
        </row>
        <row r="569">
          <cell r="A569">
            <v>32232</v>
          </cell>
          <cell r="B569">
            <v>17.059999999999999</v>
          </cell>
        </row>
        <row r="570">
          <cell r="A570">
            <v>32233</v>
          </cell>
          <cell r="B570">
            <v>17.09</v>
          </cell>
        </row>
        <row r="571">
          <cell r="A571">
            <v>32237</v>
          </cell>
          <cell r="B571">
            <v>16.989999999999998</v>
          </cell>
        </row>
        <row r="572">
          <cell r="A572">
            <v>32238</v>
          </cell>
          <cell r="B572">
            <v>16.72</v>
          </cell>
        </row>
        <row r="573">
          <cell r="A573">
            <v>32239</v>
          </cell>
          <cell r="B573">
            <v>16.8</v>
          </cell>
        </row>
        <row r="574">
          <cell r="A574">
            <v>32240</v>
          </cell>
          <cell r="B574">
            <v>17.05</v>
          </cell>
        </row>
        <row r="575">
          <cell r="A575">
            <v>32241</v>
          </cell>
          <cell r="B575">
            <v>16.87</v>
          </cell>
        </row>
        <row r="576">
          <cell r="A576">
            <v>32244</v>
          </cell>
          <cell r="B576">
            <v>17.87</v>
          </cell>
        </row>
        <row r="577">
          <cell r="A577">
            <v>32245</v>
          </cell>
          <cell r="B577">
            <v>18.059999999999999</v>
          </cell>
        </row>
        <row r="578">
          <cell r="A578">
            <v>32246</v>
          </cell>
          <cell r="B578">
            <v>18.12</v>
          </cell>
        </row>
        <row r="579">
          <cell r="A579">
            <v>32247</v>
          </cell>
          <cell r="B579">
            <v>18.399999999999999</v>
          </cell>
        </row>
        <row r="580">
          <cell r="A580">
            <v>32248</v>
          </cell>
          <cell r="B580">
            <v>18.32</v>
          </cell>
        </row>
        <row r="581">
          <cell r="A581">
            <v>32251</v>
          </cell>
          <cell r="B581">
            <v>18.5</v>
          </cell>
        </row>
        <row r="582">
          <cell r="A582">
            <v>32252</v>
          </cell>
          <cell r="B582">
            <v>17.920000000000002</v>
          </cell>
        </row>
        <row r="583">
          <cell r="A583">
            <v>32253</v>
          </cell>
          <cell r="B583">
            <v>17.93</v>
          </cell>
        </row>
        <row r="584">
          <cell r="A584">
            <v>32254</v>
          </cell>
          <cell r="B584">
            <v>18.34</v>
          </cell>
        </row>
        <row r="585">
          <cell r="A585">
            <v>32255</v>
          </cell>
          <cell r="B585">
            <v>18.13</v>
          </cell>
        </row>
        <row r="586">
          <cell r="A586">
            <v>32258</v>
          </cell>
          <cell r="B586">
            <v>18.36</v>
          </cell>
        </row>
        <row r="587">
          <cell r="A587">
            <v>32259</v>
          </cell>
          <cell r="B587">
            <v>18.54</v>
          </cell>
        </row>
        <row r="588">
          <cell r="A588">
            <v>32260</v>
          </cell>
          <cell r="B588">
            <v>18.32</v>
          </cell>
        </row>
        <row r="589">
          <cell r="A589">
            <v>32261</v>
          </cell>
          <cell r="B589">
            <v>17.91</v>
          </cell>
        </row>
        <row r="590">
          <cell r="A590">
            <v>32262</v>
          </cell>
          <cell r="B590">
            <v>18.100000000000001</v>
          </cell>
        </row>
        <row r="591">
          <cell r="A591">
            <v>32265</v>
          </cell>
          <cell r="B591">
            <v>17.12</v>
          </cell>
        </row>
        <row r="592">
          <cell r="A592">
            <v>32266</v>
          </cell>
          <cell r="B592">
            <v>17.3</v>
          </cell>
        </row>
        <row r="593">
          <cell r="A593">
            <v>32267</v>
          </cell>
          <cell r="B593">
            <v>17.23</v>
          </cell>
        </row>
        <row r="594">
          <cell r="A594">
            <v>32268</v>
          </cell>
          <cell r="B594">
            <v>17.41</v>
          </cell>
        </row>
        <row r="595">
          <cell r="A595">
            <v>32269</v>
          </cell>
          <cell r="B595">
            <v>17.63</v>
          </cell>
        </row>
        <row r="596">
          <cell r="A596">
            <v>32272</v>
          </cell>
          <cell r="B596">
            <v>17.559999999999999</v>
          </cell>
        </row>
        <row r="597">
          <cell r="A597">
            <v>32273</v>
          </cell>
          <cell r="B597">
            <v>17.5</v>
          </cell>
        </row>
        <row r="598">
          <cell r="A598">
            <v>32274</v>
          </cell>
          <cell r="B598">
            <v>17.48</v>
          </cell>
        </row>
        <row r="599">
          <cell r="A599">
            <v>32275</v>
          </cell>
          <cell r="B599">
            <v>17.489999999999998</v>
          </cell>
        </row>
        <row r="600">
          <cell r="A600">
            <v>32276</v>
          </cell>
          <cell r="B600">
            <v>17.53</v>
          </cell>
        </row>
        <row r="601">
          <cell r="A601">
            <v>32279</v>
          </cell>
          <cell r="B601">
            <v>17.7</v>
          </cell>
        </row>
        <row r="602">
          <cell r="A602">
            <v>32280</v>
          </cell>
          <cell r="B602">
            <v>17.72</v>
          </cell>
        </row>
        <row r="603">
          <cell r="A603">
            <v>32281</v>
          </cell>
          <cell r="B603">
            <v>17.39</v>
          </cell>
        </row>
        <row r="604">
          <cell r="A604">
            <v>32282</v>
          </cell>
          <cell r="B604">
            <v>17.43</v>
          </cell>
        </row>
        <row r="605">
          <cell r="A605">
            <v>32283</v>
          </cell>
          <cell r="B605">
            <v>17.41</v>
          </cell>
        </row>
        <row r="606">
          <cell r="A606">
            <v>32286</v>
          </cell>
          <cell r="B606">
            <v>17.010000000000002</v>
          </cell>
        </row>
        <row r="607">
          <cell r="A607">
            <v>32287</v>
          </cell>
          <cell r="B607">
            <v>17.04</v>
          </cell>
        </row>
        <row r="608">
          <cell r="A608">
            <v>32288</v>
          </cell>
          <cell r="B608">
            <v>17.39</v>
          </cell>
        </row>
        <row r="609">
          <cell r="A609">
            <v>32289</v>
          </cell>
          <cell r="B609">
            <v>17.54</v>
          </cell>
        </row>
        <row r="610">
          <cell r="A610">
            <v>32290</v>
          </cell>
          <cell r="B610">
            <v>17.45</v>
          </cell>
        </row>
        <row r="611">
          <cell r="A611">
            <v>32293</v>
          </cell>
          <cell r="B611">
            <v>17.45</v>
          </cell>
        </row>
        <row r="612">
          <cell r="A612">
            <v>32294</v>
          </cell>
          <cell r="B612">
            <v>17.54</v>
          </cell>
        </row>
        <row r="613">
          <cell r="A613">
            <v>32295</v>
          </cell>
          <cell r="B613">
            <v>17.600000000000001</v>
          </cell>
        </row>
        <row r="614">
          <cell r="A614">
            <v>32296</v>
          </cell>
          <cell r="B614">
            <v>17.670000000000002</v>
          </cell>
        </row>
        <row r="615">
          <cell r="A615">
            <v>32297</v>
          </cell>
          <cell r="B615">
            <v>17.510000000000002</v>
          </cell>
        </row>
        <row r="616">
          <cell r="A616">
            <v>32300</v>
          </cell>
          <cell r="B616">
            <v>17.28</v>
          </cell>
        </row>
        <row r="617">
          <cell r="A617">
            <v>32301</v>
          </cell>
          <cell r="B617">
            <v>17.32</v>
          </cell>
        </row>
        <row r="618">
          <cell r="A618">
            <v>32302</v>
          </cell>
          <cell r="B618">
            <v>17.350000000000001</v>
          </cell>
        </row>
        <row r="619">
          <cell r="A619">
            <v>32303</v>
          </cell>
          <cell r="B619">
            <v>17.09</v>
          </cell>
        </row>
        <row r="620">
          <cell r="A620">
            <v>32304</v>
          </cell>
          <cell r="B620">
            <v>16.7</v>
          </cell>
        </row>
        <row r="621">
          <cell r="A621">
            <v>32307</v>
          </cell>
          <cell r="B621">
            <v>16.43</v>
          </cell>
        </row>
        <row r="622">
          <cell r="A622">
            <v>32308</v>
          </cell>
          <cell r="B622">
            <v>16.850000000000001</v>
          </cell>
        </row>
        <row r="623">
          <cell r="A623">
            <v>32309</v>
          </cell>
          <cell r="B623">
            <v>16.559999999999999</v>
          </cell>
        </row>
        <row r="624">
          <cell r="A624">
            <v>32310</v>
          </cell>
          <cell r="B624">
            <v>16.62</v>
          </cell>
        </row>
        <row r="625">
          <cell r="A625">
            <v>32311</v>
          </cell>
          <cell r="B625">
            <v>16.43</v>
          </cell>
        </row>
        <row r="626">
          <cell r="A626">
            <v>32314</v>
          </cell>
          <cell r="B626">
            <v>16.02</v>
          </cell>
        </row>
        <row r="627">
          <cell r="A627">
            <v>32315</v>
          </cell>
          <cell r="B627">
            <v>15.82</v>
          </cell>
        </row>
        <row r="628">
          <cell r="A628">
            <v>32316</v>
          </cell>
          <cell r="B628">
            <v>16.03</v>
          </cell>
        </row>
        <row r="629">
          <cell r="A629">
            <v>32317</v>
          </cell>
          <cell r="B629">
            <v>15.86</v>
          </cell>
        </row>
        <row r="630">
          <cell r="A630">
            <v>32318</v>
          </cell>
          <cell r="B630">
            <v>16.03</v>
          </cell>
        </row>
        <row r="631">
          <cell r="A631">
            <v>32321</v>
          </cell>
          <cell r="B631">
            <v>15.86</v>
          </cell>
        </row>
        <row r="632">
          <cell r="A632">
            <v>32322</v>
          </cell>
          <cell r="B632">
            <v>16.010000000000002</v>
          </cell>
        </row>
        <row r="633">
          <cell r="A633">
            <v>32323</v>
          </cell>
          <cell r="B633">
            <v>15.37</v>
          </cell>
        </row>
        <row r="634">
          <cell r="A634">
            <v>32324</v>
          </cell>
          <cell r="B634">
            <v>15.2</v>
          </cell>
        </row>
        <row r="635">
          <cell r="A635">
            <v>32325</v>
          </cell>
          <cell r="B635">
            <v>14.92</v>
          </cell>
        </row>
        <row r="636">
          <cell r="A636">
            <v>32329</v>
          </cell>
          <cell r="B636">
            <v>15.11</v>
          </cell>
        </row>
        <row r="637">
          <cell r="A637">
            <v>32330</v>
          </cell>
          <cell r="B637">
            <v>15.44</v>
          </cell>
        </row>
        <row r="638">
          <cell r="A638">
            <v>32331</v>
          </cell>
          <cell r="B638">
            <v>15.83</v>
          </cell>
        </row>
        <row r="639">
          <cell r="A639">
            <v>32332</v>
          </cell>
          <cell r="B639">
            <v>15.42</v>
          </cell>
        </row>
        <row r="640">
          <cell r="A640">
            <v>32335</v>
          </cell>
          <cell r="B640">
            <v>14.56</v>
          </cell>
        </row>
        <row r="641">
          <cell r="A641">
            <v>32336</v>
          </cell>
          <cell r="B641">
            <v>14.61</v>
          </cell>
        </row>
        <row r="642">
          <cell r="A642">
            <v>32337</v>
          </cell>
          <cell r="B642">
            <v>14.35</v>
          </cell>
        </row>
        <row r="643">
          <cell r="A643">
            <v>32338</v>
          </cell>
          <cell r="B643">
            <v>14.84</v>
          </cell>
        </row>
        <row r="644">
          <cell r="A644">
            <v>32339</v>
          </cell>
          <cell r="B644">
            <v>14.85</v>
          </cell>
        </row>
        <row r="645">
          <cell r="A645">
            <v>32342</v>
          </cell>
          <cell r="B645">
            <v>15.84</v>
          </cell>
        </row>
        <row r="646">
          <cell r="A646">
            <v>32343</v>
          </cell>
          <cell r="B646">
            <v>15.16</v>
          </cell>
        </row>
        <row r="647">
          <cell r="A647">
            <v>32344</v>
          </cell>
          <cell r="B647">
            <v>15.76</v>
          </cell>
        </row>
        <row r="648">
          <cell r="A648">
            <v>32345</v>
          </cell>
          <cell r="B648">
            <v>16.28</v>
          </cell>
        </row>
        <row r="649">
          <cell r="A649">
            <v>32346</v>
          </cell>
          <cell r="B649">
            <v>16.27</v>
          </cell>
        </row>
        <row r="650">
          <cell r="A650">
            <v>32349</v>
          </cell>
          <cell r="B650">
            <v>16.09</v>
          </cell>
        </row>
        <row r="651">
          <cell r="A651">
            <v>32350</v>
          </cell>
          <cell r="B651">
            <v>15.99</v>
          </cell>
        </row>
        <row r="652">
          <cell r="A652">
            <v>32351</v>
          </cell>
          <cell r="B652">
            <v>16.18</v>
          </cell>
        </row>
        <row r="653">
          <cell r="A653">
            <v>32352</v>
          </cell>
          <cell r="B653">
            <v>16.079999999999998</v>
          </cell>
        </row>
        <row r="654">
          <cell r="A654">
            <v>32353</v>
          </cell>
          <cell r="B654">
            <v>16.37</v>
          </cell>
        </row>
        <row r="655">
          <cell r="A655">
            <v>32356</v>
          </cell>
          <cell r="B655">
            <v>16.07</v>
          </cell>
        </row>
        <row r="656">
          <cell r="A656">
            <v>32357</v>
          </cell>
          <cell r="B656">
            <v>15.57</v>
          </cell>
        </row>
        <row r="657">
          <cell r="A657">
            <v>32358</v>
          </cell>
          <cell r="B657">
            <v>15.2</v>
          </cell>
        </row>
        <row r="658">
          <cell r="A658">
            <v>32359</v>
          </cell>
          <cell r="B658">
            <v>15.12</v>
          </cell>
        </row>
        <row r="659">
          <cell r="A659">
            <v>32360</v>
          </cell>
          <cell r="B659">
            <v>15.31</v>
          </cell>
        </row>
        <row r="660">
          <cell r="A660">
            <v>32363</v>
          </cell>
          <cell r="B660">
            <v>15.84</v>
          </cell>
        </row>
        <row r="661">
          <cell r="A661">
            <v>32364</v>
          </cell>
          <cell r="B661">
            <v>15.56</v>
          </cell>
        </row>
        <row r="662">
          <cell r="A662">
            <v>32365</v>
          </cell>
          <cell r="B662">
            <v>15.65</v>
          </cell>
        </row>
        <row r="663">
          <cell r="A663">
            <v>32366</v>
          </cell>
          <cell r="B663">
            <v>15.75</v>
          </cell>
        </row>
        <row r="664">
          <cell r="A664">
            <v>32367</v>
          </cell>
          <cell r="B664">
            <v>15.54</v>
          </cell>
        </row>
        <row r="665">
          <cell r="A665">
            <v>32370</v>
          </cell>
          <cell r="B665">
            <v>15.59</v>
          </cell>
        </row>
        <row r="666">
          <cell r="A666">
            <v>32371</v>
          </cell>
          <cell r="B666">
            <v>15.51</v>
          </cell>
        </row>
        <row r="667">
          <cell r="A667">
            <v>32372</v>
          </cell>
          <cell r="B667">
            <v>15.46</v>
          </cell>
        </row>
        <row r="668">
          <cell r="A668">
            <v>32373</v>
          </cell>
          <cell r="B668">
            <v>15.59</v>
          </cell>
        </row>
        <row r="669">
          <cell r="A669">
            <v>32374</v>
          </cell>
          <cell r="B669">
            <v>15.77</v>
          </cell>
        </row>
        <row r="670">
          <cell r="A670">
            <v>32377</v>
          </cell>
          <cell r="B670">
            <v>15.75</v>
          </cell>
        </row>
        <row r="671">
          <cell r="A671">
            <v>32378</v>
          </cell>
          <cell r="B671">
            <v>15.71</v>
          </cell>
        </row>
        <row r="672">
          <cell r="A672">
            <v>32379</v>
          </cell>
          <cell r="B672">
            <v>15.55</v>
          </cell>
        </row>
        <row r="673">
          <cell r="A673">
            <v>32380</v>
          </cell>
          <cell r="B673">
            <v>15.33</v>
          </cell>
        </row>
        <row r="674">
          <cell r="A674">
            <v>32381</v>
          </cell>
          <cell r="B674">
            <v>15.35</v>
          </cell>
        </row>
        <row r="675">
          <cell r="A675">
            <v>32384</v>
          </cell>
          <cell r="B675">
            <v>15.24</v>
          </cell>
        </row>
        <row r="676">
          <cell r="A676">
            <v>32385</v>
          </cell>
          <cell r="B676">
            <v>15.39</v>
          </cell>
        </row>
        <row r="677">
          <cell r="A677">
            <v>32386</v>
          </cell>
          <cell r="B677">
            <v>15.19</v>
          </cell>
        </row>
        <row r="678">
          <cell r="A678">
            <v>32387</v>
          </cell>
          <cell r="B678">
            <v>15.05</v>
          </cell>
        </row>
        <row r="679">
          <cell r="A679">
            <v>32388</v>
          </cell>
          <cell r="B679">
            <v>14.79</v>
          </cell>
        </row>
        <row r="680">
          <cell r="A680">
            <v>32391</v>
          </cell>
          <cell r="B680">
            <v>14.79</v>
          </cell>
        </row>
        <row r="681">
          <cell r="A681">
            <v>32392</v>
          </cell>
          <cell r="B681">
            <v>14.25</v>
          </cell>
        </row>
        <row r="682">
          <cell r="A682">
            <v>32393</v>
          </cell>
          <cell r="B682">
            <v>14.29</v>
          </cell>
        </row>
        <row r="683">
          <cell r="A683">
            <v>32394</v>
          </cell>
          <cell r="B683">
            <v>14.51</v>
          </cell>
        </row>
        <row r="684">
          <cell r="A684">
            <v>32395</v>
          </cell>
          <cell r="B684">
            <v>14.14</v>
          </cell>
        </row>
        <row r="685">
          <cell r="A685">
            <v>32398</v>
          </cell>
          <cell r="B685">
            <v>14.48</v>
          </cell>
        </row>
        <row r="686">
          <cell r="A686">
            <v>32399</v>
          </cell>
          <cell r="B686">
            <v>14.55</v>
          </cell>
        </row>
        <row r="687">
          <cell r="A687">
            <v>32400</v>
          </cell>
          <cell r="B687">
            <v>15.38</v>
          </cell>
        </row>
        <row r="688">
          <cell r="A688">
            <v>32401</v>
          </cell>
          <cell r="B688">
            <v>14.86</v>
          </cell>
        </row>
        <row r="689">
          <cell r="A689">
            <v>32402</v>
          </cell>
          <cell r="B689">
            <v>14.5</v>
          </cell>
        </row>
        <row r="690">
          <cell r="A690">
            <v>32405</v>
          </cell>
          <cell r="B690">
            <v>14.72</v>
          </cell>
        </row>
        <row r="691">
          <cell r="A691">
            <v>32406</v>
          </cell>
          <cell r="B691">
            <v>15.08</v>
          </cell>
        </row>
        <row r="692">
          <cell r="A692">
            <v>32407</v>
          </cell>
          <cell r="B692">
            <v>15.19</v>
          </cell>
        </row>
        <row r="693">
          <cell r="A693">
            <v>32408</v>
          </cell>
          <cell r="B693">
            <v>15.25</v>
          </cell>
        </row>
        <row r="694">
          <cell r="A694">
            <v>32409</v>
          </cell>
          <cell r="B694">
            <v>14.26</v>
          </cell>
        </row>
        <row r="695">
          <cell r="A695">
            <v>32412</v>
          </cell>
          <cell r="B695">
            <v>14.16</v>
          </cell>
        </row>
        <row r="696">
          <cell r="A696">
            <v>32413</v>
          </cell>
          <cell r="B696">
            <v>14.22</v>
          </cell>
        </row>
        <row r="697">
          <cell r="A697">
            <v>32414</v>
          </cell>
          <cell r="B697">
            <v>14.07</v>
          </cell>
        </row>
        <row r="698">
          <cell r="A698">
            <v>32415</v>
          </cell>
          <cell r="B698">
            <v>13.91</v>
          </cell>
        </row>
        <row r="699">
          <cell r="A699">
            <v>32416</v>
          </cell>
          <cell r="B699">
            <v>13.33</v>
          </cell>
        </row>
        <row r="700">
          <cell r="A700">
            <v>32419</v>
          </cell>
          <cell r="B700">
            <v>13.03</v>
          </cell>
        </row>
        <row r="701">
          <cell r="A701">
            <v>32420</v>
          </cell>
          <cell r="B701">
            <v>13.03</v>
          </cell>
        </row>
        <row r="702">
          <cell r="A702">
            <v>32421</v>
          </cell>
          <cell r="B702">
            <v>12.58</v>
          </cell>
        </row>
        <row r="703">
          <cell r="A703">
            <v>32422</v>
          </cell>
          <cell r="B703">
            <v>12.62</v>
          </cell>
        </row>
        <row r="704">
          <cell r="A704">
            <v>32423</v>
          </cell>
          <cell r="B704">
            <v>12.99</v>
          </cell>
        </row>
        <row r="705">
          <cell r="A705">
            <v>32426</v>
          </cell>
          <cell r="B705">
            <v>13.59</v>
          </cell>
        </row>
        <row r="706">
          <cell r="A706">
            <v>32427</v>
          </cell>
          <cell r="B706">
            <v>13.63</v>
          </cell>
        </row>
        <row r="707">
          <cell r="A707">
            <v>32428</v>
          </cell>
          <cell r="B707">
            <v>14.02</v>
          </cell>
        </row>
        <row r="708">
          <cell r="A708">
            <v>32429</v>
          </cell>
          <cell r="B708">
            <v>14.26</v>
          </cell>
        </row>
        <row r="709">
          <cell r="A709">
            <v>32430</v>
          </cell>
          <cell r="B709">
            <v>14.9</v>
          </cell>
        </row>
        <row r="710">
          <cell r="A710">
            <v>32433</v>
          </cell>
          <cell r="B710">
            <v>15.16</v>
          </cell>
        </row>
        <row r="711">
          <cell r="A711">
            <v>32434</v>
          </cell>
          <cell r="B711">
            <v>14.63</v>
          </cell>
        </row>
        <row r="712">
          <cell r="A712">
            <v>32435</v>
          </cell>
          <cell r="B712">
            <v>15.33</v>
          </cell>
        </row>
        <row r="713">
          <cell r="A713">
            <v>32436</v>
          </cell>
          <cell r="B713">
            <v>14.44</v>
          </cell>
        </row>
        <row r="714">
          <cell r="A714">
            <v>32437</v>
          </cell>
          <cell r="B714">
            <v>14.22</v>
          </cell>
        </row>
        <row r="715">
          <cell r="A715">
            <v>32440</v>
          </cell>
          <cell r="B715">
            <v>12.94</v>
          </cell>
        </row>
        <row r="716">
          <cell r="A716">
            <v>32441</v>
          </cell>
          <cell r="B716">
            <v>13.36</v>
          </cell>
        </row>
        <row r="717">
          <cell r="A717">
            <v>32442</v>
          </cell>
          <cell r="B717">
            <v>13.45</v>
          </cell>
        </row>
        <row r="718">
          <cell r="A718">
            <v>32443</v>
          </cell>
          <cell r="B718">
            <v>13.67</v>
          </cell>
        </row>
        <row r="719">
          <cell r="A719">
            <v>32444</v>
          </cell>
          <cell r="B719">
            <v>13.79</v>
          </cell>
        </row>
        <row r="720">
          <cell r="A720">
            <v>32447</v>
          </cell>
          <cell r="B720">
            <v>13.54</v>
          </cell>
        </row>
        <row r="721">
          <cell r="A721">
            <v>32448</v>
          </cell>
          <cell r="B721">
            <v>13.52</v>
          </cell>
        </row>
        <row r="722">
          <cell r="A722">
            <v>32449</v>
          </cell>
          <cell r="B722">
            <v>13.78</v>
          </cell>
        </row>
        <row r="723">
          <cell r="A723">
            <v>32450</v>
          </cell>
          <cell r="B723">
            <v>13.89</v>
          </cell>
        </row>
        <row r="724">
          <cell r="A724">
            <v>32451</v>
          </cell>
          <cell r="B724">
            <v>14.04</v>
          </cell>
        </row>
        <row r="725">
          <cell r="A725">
            <v>32454</v>
          </cell>
          <cell r="B725">
            <v>14.08</v>
          </cell>
        </row>
        <row r="726">
          <cell r="A726">
            <v>32455</v>
          </cell>
          <cell r="B726">
            <v>13.7</v>
          </cell>
        </row>
        <row r="727">
          <cell r="A727">
            <v>32456</v>
          </cell>
          <cell r="B727">
            <v>13.88</v>
          </cell>
        </row>
        <row r="728">
          <cell r="A728">
            <v>32457</v>
          </cell>
          <cell r="B728">
            <v>13.99</v>
          </cell>
        </row>
        <row r="729">
          <cell r="A729">
            <v>32458</v>
          </cell>
          <cell r="B729">
            <v>13.99</v>
          </cell>
        </row>
        <row r="730">
          <cell r="A730">
            <v>32461</v>
          </cell>
          <cell r="B730">
            <v>14.25</v>
          </cell>
        </row>
        <row r="731">
          <cell r="A731">
            <v>32462</v>
          </cell>
          <cell r="B731">
            <v>14.03</v>
          </cell>
        </row>
        <row r="732">
          <cell r="A732">
            <v>32463</v>
          </cell>
          <cell r="B732">
            <v>13.68</v>
          </cell>
        </row>
        <row r="733">
          <cell r="A733">
            <v>32464</v>
          </cell>
          <cell r="B733">
            <v>13.3</v>
          </cell>
        </row>
        <row r="734">
          <cell r="A734">
            <v>32465</v>
          </cell>
          <cell r="B734">
            <v>13.47</v>
          </cell>
        </row>
        <row r="735">
          <cell r="A735">
            <v>32468</v>
          </cell>
          <cell r="B735">
            <v>13.73</v>
          </cell>
        </row>
        <row r="736">
          <cell r="A736">
            <v>32469</v>
          </cell>
          <cell r="B736">
            <v>14.78</v>
          </cell>
        </row>
        <row r="737">
          <cell r="A737">
            <v>32470</v>
          </cell>
          <cell r="B737">
            <v>14.11</v>
          </cell>
        </row>
        <row r="738">
          <cell r="A738">
            <v>32471</v>
          </cell>
          <cell r="B738">
            <v>14.11</v>
          </cell>
        </row>
        <row r="739">
          <cell r="A739">
            <v>32472</v>
          </cell>
          <cell r="B739">
            <v>15.43</v>
          </cell>
        </row>
        <row r="740">
          <cell r="A740">
            <v>32475</v>
          </cell>
          <cell r="B740">
            <v>14.93</v>
          </cell>
        </row>
        <row r="741">
          <cell r="A741">
            <v>32476</v>
          </cell>
          <cell r="B741">
            <v>15</v>
          </cell>
        </row>
        <row r="742">
          <cell r="A742">
            <v>32477</v>
          </cell>
          <cell r="B742">
            <v>15.42</v>
          </cell>
        </row>
        <row r="743">
          <cell r="A743">
            <v>32478</v>
          </cell>
          <cell r="B743">
            <v>15.63</v>
          </cell>
        </row>
        <row r="744">
          <cell r="A744">
            <v>32479</v>
          </cell>
          <cell r="B744">
            <v>15.69</v>
          </cell>
        </row>
        <row r="745">
          <cell r="A745">
            <v>32482</v>
          </cell>
          <cell r="B745">
            <v>15.36</v>
          </cell>
        </row>
        <row r="746">
          <cell r="A746">
            <v>32483</v>
          </cell>
          <cell r="B746">
            <v>15.51</v>
          </cell>
        </row>
        <row r="747">
          <cell r="A747">
            <v>32484</v>
          </cell>
          <cell r="B747">
            <v>15.8</v>
          </cell>
        </row>
        <row r="748">
          <cell r="A748">
            <v>32485</v>
          </cell>
          <cell r="B748">
            <v>15.48</v>
          </cell>
        </row>
        <row r="749">
          <cell r="A749">
            <v>32486</v>
          </cell>
          <cell r="B749">
            <v>15.9</v>
          </cell>
        </row>
        <row r="750">
          <cell r="A750">
            <v>32489</v>
          </cell>
          <cell r="B750">
            <v>16.079999999999998</v>
          </cell>
        </row>
        <row r="751">
          <cell r="A751">
            <v>32490</v>
          </cell>
          <cell r="B751">
            <v>15.93</v>
          </cell>
        </row>
        <row r="752">
          <cell r="A752">
            <v>32491</v>
          </cell>
          <cell r="B752">
            <v>16.329999999999998</v>
          </cell>
        </row>
        <row r="753">
          <cell r="A753">
            <v>32492</v>
          </cell>
          <cell r="B753">
            <v>16.39</v>
          </cell>
        </row>
        <row r="754">
          <cell r="A754">
            <v>32493</v>
          </cell>
          <cell r="B754">
            <v>16.809999999999999</v>
          </cell>
        </row>
        <row r="755">
          <cell r="A755">
            <v>32496</v>
          </cell>
          <cell r="B755">
            <v>16.239999999999998</v>
          </cell>
        </row>
        <row r="756">
          <cell r="A756">
            <v>32497</v>
          </cell>
          <cell r="B756">
            <v>17.68</v>
          </cell>
        </row>
        <row r="757">
          <cell r="A757">
            <v>32498</v>
          </cell>
          <cell r="B757">
            <v>17.27</v>
          </cell>
        </row>
        <row r="758">
          <cell r="A758">
            <v>32499</v>
          </cell>
          <cell r="B758">
            <v>17.36</v>
          </cell>
        </row>
        <row r="759">
          <cell r="A759">
            <v>32500</v>
          </cell>
          <cell r="B759">
            <v>16.63</v>
          </cell>
        </row>
        <row r="760">
          <cell r="A760">
            <v>32504</v>
          </cell>
          <cell r="B760">
            <v>16.98</v>
          </cell>
        </row>
        <row r="761">
          <cell r="A761">
            <v>32505</v>
          </cell>
          <cell r="B761">
            <v>17.03</v>
          </cell>
        </row>
        <row r="762">
          <cell r="A762">
            <v>32506</v>
          </cell>
          <cell r="B762">
            <v>16.809999999999999</v>
          </cell>
        </row>
        <row r="763">
          <cell r="A763">
            <v>32507</v>
          </cell>
          <cell r="B763">
            <v>17.12</v>
          </cell>
        </row>
        <row r="764">
          <cell r="A764">
            <v>32511</v>
          </cell>
          <cell r="B764">
            <v>17.38</v>
          </cell>
        </row>
        <row r="765">
          <cell r="A765">
            <v>32512</v>
          </cell>
          <cell r="B765">
            <v>16.989999999999998</v>
          </cell>
        </row>
        <row r="766">
          <cell r="A766">
            <v>32513</v>
          </cell>
          <cell r="B766">
            <v>17.45</v>
          </cell>
        </row>
        <row r="767">
          <cell r="A767">
            <v>32514</v>
          </cell>
          <cell r="B767">
            <v>17.559999999999999</v>
          </cell>
        </row>
        <row r="768">
          <cell r="A768">
            <v>32517</v>
          </cell>
          <cell r="B768">
            <v>17.739999999999998</v>
          </cell>
        </row>
        <row r="769">
          <cell r="A769">
            <v>32518</v>
          </cell>
          <cell r="B769">
            <v>17.8</v>
          </cell>
        </row>
        <row r="770">
          <cell r="A770">
            <v>32519</v>
          </cell>
          <cell r="B770">
            <v>18.16</v>
          </cell>
        </row>
        <row r="771">
          <cell r="A771">
            <v>32520</v>
          </cell>
          <cell r="B771">
            <v>18.11</v>
          </cell>
        </row>
        <row r="772">
          <cell r="A772">
            <v>32521</v>
          </cell>
          <cell r="B772">
            <v>18.489999999999998</v>
          </cell>
        </row>
        <row r="773">
          <cell r="A773">
            <v>32524</v>
          </cell>
          <cell r="B773">
            <v>18.88</v>
          </cell>
        </row>
        <row r="774">
          <cell r="A774">
            <v>32525</v>
          </cell>
          <cell r="B774">
            <v>19.03</v>
          </cell>
        </row>
        <row r="775">
          <cell r="A775">
            <v>32526</v>
          </cell>
          <cell r="B775">
            <v>19.2</v>
          </cell>
        </row>
        <row r="776">
          <cell r="A776">
            <v>32527</v>
          </cell>
          <cell r="B776">
            <v>19.28</v>
          </cell>
        </row>
        <row r="777">
          <cell r="A777">
            <v>32528</v>
          </cell>
          <cell r="B777">
            <v>18.850000000000001</v>
          </cell>
        </row>
        <row r="778">
          <cell r="A778">
            <v>32531</v>
          </cell>
          <cell r="B778">
            <v>17.66</v>
          </cell>
        </row>
        <row r="779">
          <cell r="A779">
            <v>32532</v>
          </cell>
          <cell r="B779">
            <v>17.96</v>
          </cell>
        </row>
        <row r="780">
          <cell r="A780">
            <v>32533</v>
          </cell>
          <cell r="B780">
            <v>18.23</v>
          </cell>
        </row>
        <row r="781">
          <cell r="A781">
            <v>32534</v>
          </cell>
          <cell r="B781">
            <v>17.68</v>
          </cell>
        </row>
        <row r="782">
          <cell r="A782">
            <v>32535</v>
          </cell>
          <cell r="B782">
            <v>17.739999999999998</v>
          </cell>
        </row>
        <row r="783">
          <cell r="A783">
            <v>32538</v>
          </cell>
          <cell r="B783">
            <v>17.32</v>
          </cell>
        </row>
        <row r="784">
          <cell r="A784">
            <v>32539</v>
          </cell>
          <cell r="B784">
            <v>17</v>
          </cell>
        </row>
        <row r="785">
          <cell r="A785">
            <v>32540</v>
          </cell>
          <cell r="B785">
            <v>17.5</v>
          </cell>
        </row>
        <row r="786">
          <cell r="A786">
            <v>32541</v>
          </cell>
          <cell r="B786">
            <v>17.72</v>
          </cell>
        </row>
        <row r="787">
          <cell r="A787">
            <v>32542</v>
          </cell>
          <cell r="B787">
            <v>17.510000000000002</v>
          </cell>
        </row>
        <row r="788">
          <cell r="A788">
            <v>32545</v>
          </cell>
          <cell r="B788">
            <v>17.38</v>
          </cell>
        </row>
        <row r="789">
          <cell r="A789">
            <v>32546</v>
          </cell>
          <cell r="B789">
            <v>17.55</v>
          </cell>
        </row>
        <row r="790">
          <cell r="A790">
            <v>32547</v>
          </cell>
          <cell r="B790">
            <v>17.489999999999998</v>
          </cell>
        </row>
        <row r="791">
          <cell r="A791">
            <v>32548</v>
          </cell>
          <cell r="B791">
            <v>17.420000000000002</v>
          </cell>
        </row>
        <row r="792">
          <cell r="A792">
            <v>32549</v>
          </cell>
          <cell r="B792">
            <v>17.11</v>
          </cell>
        </row>
        <row r="793">
          <cell r="A793">
            <v>32552</v>
          </cell>
          <cell r="B793">
            <v>17.61</v>
          </cell>
        </row>
        <row r="794">
          <cell r="A794">
            <v>32553</v>
          </cell>
          <cell r="B794">
            <v>17.600000000000001</v>
          </cell>
        </row>
        <row r="795">
          <cell r="A795">
            <v>32554</v>
          </cell>
          <cell r="B795">
            <v>18.23</v>
          </cell>
        </row>
        <row r="796">
          <cell r="A796">
            <v>32555</v>
          </cell>
          <cell r="B796">
            <v>18.350000000000001</v>
          </cell>
        </row>
        <row r="797">
          <cell r="A797">
            <v>32556</v>
          </cell>
          <cell r="B797">
            <v>18.600000000000001</v>
          </cell>
        </row>
        <row r="798">
          <cell r="A798">
            <v>32559</v>
          </cell>
          <cell r="B798">
            <v>18.600000000000001</v>
          </cell>
        </row>
        <row r="799">
          <cell r="A799">
            <v>32560</v>
          </cell>
          <cell r="B799">
            <v>18.64</v>
          </cell>
        </row>
        <row r="800">
          <cell r="A800">
            <v>32561</v>
          </cell>
          <cell r="B800">
            <v>18.5</v>
          </cell>
        </row>
        <row r="801">
          <cell r="A801">
            <v>32562</v>
          </cell>
          <cell r="B801">
            <v>18.489999999999998</v>
          </cell>
        </row>
        <row r="802">
          <cell r="A802">
            <v>32563</v>
          </cell>
          <cell r="B802">
            <v>18.059999999999999</v>
          </cell>
        </row>
        <row r="803">
          <cell r="A803">
            <v>32566</v>
          </cell>
          <cell r="B803">
            <v>18.16</v>
          </cell>
        </row>
        <row r="804">
          <cell r="A804">
            <v>32567</v>
          </cell>
          <cell r="B804">
            <v>18.21</v>
          </cell>
        </row>
        <row r="805">
          <cell r="A805">
            <v>32568</v>
          </cell>
          <cell r="B805">
            <v>18.3</v>
          </cell>
        </row>
        <row r="806">
          <cell r="A806">
            <v>32569</v>
          </cell>
          <cell r="B806">
            <v>18.68</v>
          </cell>
        </row>
        <row r="807">
          <cell r="A807">
            <v>32570</v>
          </cell>
          <cell r="B807">
            <v>18.670000000000002</v>
          </cell>
        </row>
        <row r="808">
          <cell r="A808">
            <v>32573</v>
          </cell>
          <cell r="B808">
            <v>18.73</v>
          </cell>
        </row>
        <row r="809">
          <cell r="A809">
            <v>32574</v>
          </cell>
          <cell r="B809">
            <v>18.12</v>
          </cell>
        </row>
        <row r="810">
          <cell r="A810">
            <v>32575</v>
          </cell>
          <cell r="B810">
            <v>18.57</v>
          </cell>
        </row>
        <row r="811">
          <cell r="A811">
            <v>32576</v>
          </cell>
          <cell r="B811">
            <v>18.53</v>
          </cell>
        </row>
        <row r="812">
          <cell r="A812">
            <v>32577</v>
          </cell>
          <cell r="B812">
            <v>18.53</v>
          </cell>
        </row>
        <row r="813">
          <cell r="A813">
            <v>32580</v>
          </cell>
          <cell r="B813">
            <v>19.05</v>
          </cell>
        </row>
        <row r="814">
          <cell r="A814">
            <v>32581</v>
          </cell>
          <cell r="B814">
            <v>19.47</v>
          </cell>
        </row>
        <row r="815">
          <cell r="A815">
            <v>32582</v>
          </cell>
          <cell r="B815">
            <v>19.84</v>
          </cell>
        </row>
        <row r="816">
          <cell r="A816">
            <v>32583</v>
          </cell>
          <cell r="B816">
            <v>19.86</v>
          </cell>
        </row>
        <row r="817">
          <cell r="A817">
            <v>32584</v>
          </cell>
          <cell r="B817">
            <v>20.34</v>
          </cell>
        </row>
        <row r="818">
          <cell r="A818">
            <v>32587</v>
          </cell>
          <cell r="B818">
            <v>19.53</v>
          </cell>
        </row>
        <row r="819">
          <cell r="A819">
            <v>32588</v>
          </cell>
          <cell r="B819">
            <v>20.079999999999998</v>
          </cell>
        </row>
        <row r="820">
          <cell r="A820">
            <v>32589</v>
          </cell>
          <cell r="B820">
            <v>20.21</v>
          </cell>
        </row>
        <row r="821">
          <cell r="A821">
            <v>32590</v>
          </cell>
          <cell r="B821">
            <v>20.16</v>
          </cell>
        </row>
        <row r="822">
          <cell r="A822">
            <v>32594</v>
          </cell>
          <cell r="B822">
            <v>20.55</v>
          </cell>
        </row>
        <row r="823">
          <cell r="A823">
            <v>32595</v>
          </cell>
          <cell r="B823">
            <v>19.93</v>
          </cell>
        </row>
        <row r="824">
          <cell r="A824">
            <v>32596</v>
          </cell>
          <cell r="B824">
            <v>20.2</v>
          </cell>
        </row>
        <row r="825">
          <cell r="A825">
            <v>32597</v>
          </cell>
          <cell r="B825">
            <v>21.03</v>
          </cell>
        </row>
        <row r="826">
          <cell r="A826">
            <v>32598</v>
          </cell>
          <cell r="B826">
            <v>20.27</v>
          </cell>
        </row>
        <row r="827">
          <cell r="A827">
            <v>32601</v>
          </cell>
          <cell r="B827">
            <v>20.03</v>
          </cell>
        </row>
        <row r="828">
          <cell r="A828">
            <v>32602</v>
          </cell>
          <cell r="B828">
            <v>20.59</v>
          </cell>
        </row>
        <row r="829">
          <cell r="A829">
            <v>32603</v>
          </cell>
          <cell r="B829">
            <v>20.07</v>
          </cell>
        </row>
        <row r="830">
          <cell r="A830">
            <v>32604</v>
          </cell>
          <cell r="B830">
            <v>19.850000000000001</v>
          </cell>
        </row>
        <row r="831">
          <cell r="A831">
            <v>32605</v>
          </cell>
          <cell r="B831">
            <v>20.03</v>
          </cell>
        </row>
        <row r="832">
          <cell r="A832">
            <v>32608</v>
          </cell>
          <cell r="B832">
            <v>20.65</v>
          </cell>
        </row>
        <row r="833">
          <cell r="A833">
            <v>32609</v>
          </cell>
          <cell r="B833">
            <v>20.56</v>
          </cell>
        </row>
        <row r="834">
          <cell r="A834">
            <v>32610</v>
          </cell>
          <cell r="B834">
            <v>20.66</v>
          </cell>
        </row>
        <row r="835">
          <cell r="A835">
            <v>32611</v>
          </cell>
          <cell r="B835">
            <v>20.260000000000002</v>
          </cell>
        </row>
        <row r="836">
          <cell r="A836">
            <v>32612</v>
          </cell>
          <cell r="B836">
            <v>20.68</v>
          </cell>
        </row>
        <row r="837">
          <cell r="A837">
            <v>32615</v>
          </cell>
          <cell r="B837">
            <v>21.23</v>
          </cell>
        </row>
        <row r="838">
          <cell r="A838">
            <v>32616</v>
          </cell>
          <cell r="B838">
            <v>21.74</v>
          </cell>
        </row>
        <row r="839">
          <cell r="A839">
            <v>32617</v>
          </cell>
          <cell r="B839">
            <v>22.66</v>
          </cell>
        </row>
        <row r="840">
          <cell r="A840">
            <v>32618</v>
          </cell>
          <cell r="B840">
            <v>24.62</v>
          </cell>
        </row>
        <row r="841">
          <cell r="A841">
            <v>32619</v>
          </cell>
          <cell r="B841">
            <v>23.38</v>
          </cell>
        </row>
        <row r="842">
          <cell r="A842">
            <v>32622</v>
          </cell>
          <cell r="B842">
            <v>20.64</v>
          </cell>
        </row>
        <row r="843">
          <cell r="A843">
            <v>32623</v>
          </cell>
          <cell r="B843">
            <v>21.32</v>
          </cell>
        </row>
        <row r="844">
          <cell r="A844">
            <v>32624</v>
          </cell>
          <cell r="B844">
            <v>21.2</v>
          </cell>
        </row>
        <row r="845">
          <cell r="A845">
            <v>32625</v>
          </cell>
          <cell r="B845">
            <v>20.83</v>
          </cell>
        </row>
        <row r="846">
          <cell r="A846">
            <v>32626</v>
          </cell>
          <cell r="B846">
            <v>20.38</v>
          </cell>
        </row>
        <row r="847">
          <cell r="A847">
            <v>32629</v>
          </cell>
          <cell r="B847">
            <v>20.66</v>
          </cell>
        </row>
        <row r="848">
          <cell r="A848">
            <v>32630</v>
          </cell>
          <cell r="B848">
            <v>19.73</v>
          </cell>
        </row>
        <row r="849">
          <cell r="A849">
            <v>32631</v>
          </cell>
          <cell r="B849">
            <v>20.13</v>
          </cell>
        </row>
        <row r="850">
          <cell r="A850">
            <v>32632</v>
          </cell>
          <cell r="B850">
            <v>20.57</v>
          </cell>
        </row>
        <row r="851">
          <cell r="A851">
            <v>32633</v>
          </cell>
          <cell r="B851">
            <v>20.079999999999998</v>
          </cell>
        </row>
        <row r="852">
          <cell r="A852">
            <v>32636</v>
          </cell>
          <cell r="B852">
            <v>19.41</v>
          </cell>
        </row>
        <row r="853">
          <cell r="A853">
            <v>32637</v>
          </cell>
          <cell r="B853">
            <v>19.54</v>
          </cell>
        </row>
        <row r="854">
          <cell r="A854">
            <v>32638</v>
          </cell>
          <cell r="B854">
            <v>19.559999999999999</v>
          </cell>
        </row>
        <row r="855">
          <cell r="A855">
            <v>32639</v>
          </cell>
          <cell r="B855">
            <v>20.13</v>
          </cell>
        </row>
        <row r="856">
          <cell r="A856">
            <v>32640</v>
          </cell>
          <cell r="B856">
            <v>20.12</v>
          </cell>
        </row>
        <row r="857">
          <cell r="A857">
            <v>32643</v>
          </cell>
          <cell r="B857">
            <v>20.53</v>
          </cell>
        </row>
        <row r="858">
          <cell r="A858">
            <v>32644</v>
          </cell>
          <cell r="B858">
            <v>20.58</v>
          </cell>
        </row>
        <row r="859">
          <cell r="A859">
            <v>32645</v>
          </cell>
          <cell r="B859">
            <v>20.149999999999999</v>
          </cell>
        </row>
        <row r="860">
          <cell r="A860">
            <v>32646</v>
          </cell>
          <cell r="B860">
            <v>20.25</v>
          </cell>
        </row>
        <row r="861">
          <cell r="A861">
            <v>32647</v>
          </cell>
          <cell r="B861">
            <v>20.58</v>
          </cell>
        </row>
        <row r="862">
          <cell r="A862">
            <v>32650</v>
          </cell>
          <cell r="B862">
            <v>20.92</v>
          </cell>
        </row>
        <row r="863">
          <cell r="A863">
            <v>32651</v>
          </cell>
          <cell r="B863">
            <v>21.77</v>
          </cell>
        </row>
        <row r="864">
          <cell r="A864">
            <v>32652</v>
          </cell>
          <cell r="B864">
            <v>19.68</v>
          </cell>
        </row>
        <row r="865">
          <cell r="A865">
            <v>32653</v>
          </cell>
          <cell r="B865">
            <v>19.46</v>
          </cell>
        </row>
        <row r="866">
          <cell r="A866">
            <v>32654</v>
          </cell>
          <cell r="B866">
            <v>19.55</v>
          </cell>
        </row>
        <row r="867">
          <cell r="A867">
            <v>32657</v>
          </cell>
          <cell r="B867">
            <v>19.55</v>
          </cell>
        </row>
        <row r="868">
          <cell r="A868">
            <v>32658</v>
          </cell>
          <cell r="B868">
            <v>19.96</v>
          </cell>
        </row>
        <row r="869">
          <cell r="A869">
            <v>32659</v>
          </cell>
          <cell r="B869">
            <v>19.93</v>
          </cell>
        </row>
        <row r="870">
          <cell r="A870">
            <v>32660</v>
          </cell>
          <cell r="B870">
            <v>19.829999999999998</v>
          </cell>
        </row>
        <row r="871">
          <cell r="A871">
            <v>32661</v>
          </cell>
          <cell r="B871">
            <v>20.18</v>
          </cell>
        </row>
        <row r="872">
          <cell r="A872">
            <v>32664</v>
          </cell>
          <cell r="B872">
            <v>20.5</v>
          </cell>
        </row>
        <row r="873">
          <cell r="A873">
            <v>32665</v>
          </cell>
          <cell r="B873">
            <v>20.38</v>
          </cell>
        </row>
        <row r="874">
          <cell r="A874">
            <v>32666</v>
          </cell>
          <cell r="B874">
            <v>19.7</v>
          </cell>
        </row>
        <row r="875">
          <cell r="A875">
            <v>32667</v>
          </cell>
          <cell r="B875">
            <v>19.940000000000001</v>
          </cell>
        </row>
        <row r="876">
          <cell r="A876">
            <v>32668</v>
          </cell>
          <cell r="B876">
            <v>19.87</v>
          </cell>
        </row>
        <row r="877">
          <cell r="A877">
            <v>32671</v>
          </cell>
          <cell r="B877">
            <v>19.3</v>
          </cell>
        </row>
        <row r="878">
          <cell r="A878">
            <v>32672</v>
          </cell>
          <cell r="B878">
            <v>19.5</v>
          </cell>
        </row>
        <row r="879">
          <cell r="A879">
            <v>32673</v>
          </cell>
          <cell r="B879">
            <v>20.37</v>
          </cell>
        </row>
        <row r="880">
          <cell r="A880">
            <v>32674</v>
          </cell>
          <cell r="B880">
            <v>20.56</v>
          </cell>
        </row>
        <row r="881">
          <cell r="A881">
            <v>32675</v>
          </cell>
          <cell r="B881">
            <v>19.98</v>
          </cell>
        </row>
        <row r="882">
          <cell r="A882">
            <v>32678</v>
          </cell>
          <cell r="B882">
            <v>20.88</v>
          </cell>
        </row>
        <row r="883">
          <cell r="A883">
            <v>32679</v>
          </cell>
          <cell r="B883">
            <v>19.88</v>
          </cell>
        </row>
        <row r="884">
          <cell r="A884">
            <v>32680</v>
          </cell>
          <cell r="B884">
            <v>19.739999999999998</v>
          </cell>
        </row>
        <row r="885">
          <cell r="A885">
            <v>32681</v>
          </cell>
          <cell r="B885">
            <v>19.53</v>
          </cell>
        </row>
        <row r="886">
          <cell r="A886">
            <v>32682</v>
          </cell>
          <cell r="B886">
            <v>19.71</v>
          </cell>
        </row>
        <row r="887">
          <cell r="A887">
            <v>32685</v>
          </cell>
          <cell r="B887">
            <v>20.28</v>
          </cell>
        </row>
        <row r="888">
          <cell r="A888">
            <v>32686</v>
          </cell>
          <cell r="B888">
            <v>20.38</v>
          </cell>
        </row>
        <row r="889">
          <cell r="A889">
            <v>32687</v>
          </cell>
          <cell r="B889">
            <v>20.04</v>
          </cell>
        </row>
        <row r="890">
          <cell r="A890">
            <v>32688</v>
          </cell>
          <cell r="B890">
            <v>20.27</v>
          </cell>
        </row>
        <row r="891">
          <cell r="A891">
            <v>32689</v>
          </cell>
          <cell r="B891">
            <v>20.29</v>
          </cell>
        </row>
        <row r="892">
          <cell r="A892">
            <v>32692</v>
          </cell>
          <cell r="B892">
            <v>20.55</v>
          </cell>
        </row>
        <row r="893">
          <cell r="A893">
            <v>32693</v>
          </cell>
          <cell r="B893">
            <v>20.29</v>
          </cell>
        </row>
        <row r="894">
          <cell r="A894">
            <v>32694</v>
          </cell>
          <cell r="B894">
            <v>20.98</v>
          </cell>
        </row>
        <row r="895">
          <cell r="A895">
            <v>32695</v>
          </cell>
          <cell r="B895">
            <v>20.350000000000001</v>
          </cell>
        </row>
        <row r="896">
          <cell r="A896">
            <v>32696</v>
          </cell>
          <cell r="B896">
            <v>20.78</v>
          </cell>
        </row>
        <row r="897">
          <cell r="A897">
            <v>32699</v>
          </cell>
          <cell r="B897">
            <v>20.38</v>
          </cell>
        </row>
        <row r="898">
          <cell r="A898">
            <v>32700</v>
          </cell>
          <cell r="B898">
            <v>20.75</v>
          </cell>
        </row>
        <row r="899">
          <cell r="A899">
            <v>32701</v>
          </cell>
          <cell r="B899">
            <v>20.2</v>
          </cell>
        </row>
        <row r="900">
          <cell r="A900">
            <v>32702</v>
          </cell>
          <cell r="B900">
            <v>20.420000000000002</v>
          </cell>
        </row>
        <row r="901">
          <cell r="A901">
            <v>32703</v>
          </cell>
          <cell r="B901">
            <v>20.36</v>
          </cell>
        </row>
        <row r="902">
          <cell r="A902">
            <v>32706</v>
          </cell>
          <cell r="B902">
            <v>20.49</v>
          </cell>
        </row>
        <row r="903">
          <cell r="A903">
            <v>32707</v>
          </cell>
          <cell r="B903">
            <v>20.21</v>
          </cell>
        </row>
        <row r="904">
          <cell r="A904">
            <v>32708</v>
          </cell>
          <cell r="B904">
            <v>19.829999999999998</v>
          </cell>
        </row>
        <row r="905">
          <cell r="A905">
            <v>32709</v>
          </cell>
          <cell r="B905">
            <v>19.920000000000002</v>
          </cell>
        </row>
        <row r="906">
          <cell r="A906">
            <v>32710</v>
          </cell>
          <cell r="B906">
            <v>19.86</v>
          </cell>
        </row>
        <row r="907">
          <cell r="A907">
            <v>32713</v>
          </cell>
          <cell r="B907">
            <v>18.760000000000002</v>
          </cell>
        </row>
        <row r="908">
          <cell r="A908">
            <v>32714</v>
          </cell>
          <cell r="B908">
            <v>18.52</v>
          </cell>
        </row>
        <row r="909">
          <cell r="A909">
            <v>32715</v>
          </cell>
          <cell r="B909">
            <v>18.32</v>
          </cell>
        </row>
        <row r="910">
          <cell r="A910">
            <v>32716</v>
          </cell>
          <cell r="B910">
            <v>18.149999999999999</v>
          </cell>
        </row>
        <row r="911">
          <cell r="A911">
            <v>32717</v>
          </cell>
          <cell r="B911">
            <v>17.96</v>
          </cell>
        </row>
        <row r="912">
          <cell r="A912">
            <v>32720</v>
          </cell>
          <cell r="B912">
            <v>18.329999999999998</v>
          </cell>
        </row>
        <row r="913">
          <cell r="A913">
            <v>32721</v>
          </cell>
          <cell r="B913">
            <v>17.91</v>
          </cell>
        </row>
        <row r="914">
          <cell r="A914">
            <v>32722</v>
          </cell>
          <cell r="B914">
            <v>18.28</v>
          </cell>
        </row>
        <row r="915">
          <cell r="A915">
            <v>32723</v>
          </cell>
          <cell r="B915">
            <v>18.18</v>
          </cell>
        </row>
        <row r="916">
          <cell r="A916">
            <v>32724</v>
          </cell>
          <cell r="B916">
            <v>18.05</v>
          </cell>
        </row>
        <row r="917">
          <cell r="A917">
            <v>32727</v>
          </cell>
          <cell r="B917">
            <v>17.91</v>
          </cell>
        </row>
        <row r="918">
          <cell r="A918">
            <v>32728</v>
          </cell>
          <cell r="B918">
            <v>18.059999999999999</v>
          </cell>
        </row>
        <row r="919">
          <cell r="A919">
            <v>32729</v>
          </cell>
          <cell r="B919">
            <v>18.23</v>
          </cell>
        </row>
        <row r="920">
          <cell r="A920">
            <v>32730</v>
          </cell>
          <cell r="B920">
            <v>18.579999999999998</v>
          </cell>
        </row>
        <row r="921">
          <cell r="A921">
            <v>32731</v>
          </cell>
          <cell r="B921">
            <v>18.46</v>
          </cell>
        </row>
        <row r="922">
          <cell r="A922">
            <v>32734</v>
          </cell>
          <cell r="B922">
            <v>18.600000000000001</v>
          </cell>
        </row>
        <row r="923">
          <cell r="A923">
            <v>32735</v>
          </cell>
          <cell r="B923">
            <v>18.78</v>
          </cell>
        </row>
        <row r="924">
          <cell r="A924">
            <v>32736</v>
          </cell>
          <cell r="B924">
            <v>18.989999999999998</v>
          </cell>
        </row>
        <row r="925">
          <cell r="A925">
            <v>32737</v>
          </cell>
          <cell r="B925">
            <v>18.670000000000002</v>
          </cell>
        </row>
        <row r="926">
          <cell r="A926">
            <v>32738</v>
          </cell>
          <cell r="B926">
            <v>18.82</v>
          </cell>
        </row>
        <row r="927">
          <cell r="A927">
            <v>32741</v>
          </cell>
          <cell r="B927">
            <v>19.100000000000001</v>
          </cell>
        </row>
        <row r="928">
          <cell r="A928">
            <v>32742</v>
          </cell>
          <cell r="B928">
            <v>19.010000000000002</v>
          </cell>
        </row>
        <row r="929">
          <cell r="A929">
            <v>32743</v>
          </cell>
          <cell r="B929">
            <v>19.149999999999999</v>
          </cell>
        </row>
        <row r="930">
          <cell r="A930">
            <v>32744</v>
          </cell>
          <cell r="B930">
            <v>19.02</v>
          </cell>
        </row>
        <row r="931">
          <cell r="A931">
            <v>32745</v>
          </cell>
          <cell r="B931">
            <v>18.53</v>
          </cell>
        </row>
        <row r="932">
          <cell r="A932">
            <v>32748</v>
          </cell>
          <cell r="B932">
            <v>18.690000000000001</v>
          </cell>
        </row>
        <row r="933">
          <cell r="A933">
            <v>32749</v>
          </cell>
          <cell r="B933">
            <v>18.59</v>
          </cell>
        </row>
        <row r="934">
          <cell r="A934">
            <v>32750</v>
          </cell>
          <cell r="B934">
            <v>18.850000000000001</v>
          </cell>
        </row>
        <row r="935">
          <cell r="A935">
            <v>32751</v>
          </cell>
          <cell r="B935">
            <v>18.829999999999998</v>
          </cell>
        </row>
        <row r="936">
          <cell r="A936">
            <v>32752</v>
          </cell>
          <cell r="B936">
            <v>18.88</v>
          </cell>
        </row>
        <row r="937">
          <cell r="A937">
            <v>32755</v>
          </cell>
          <cell r="B937">
            <v>18.88</v>
          </cell>
        </row>
        <row r="938">
          <cell r="A938">
            <v>32756</v>
          </cell>
          <cell r="B938">
            <v>19.079999999999998</v>
          </cell>
        </row>
        <row r="939">
          <cell r="A939">
            <v>32757</v>
          </cell>
          <cell r="B939">
            <v>19.41</v>
          </cell>
        </row>
        <row r="940">
          <cell r="A940">
            <v>32758</v>
          </cell>
          <cell r="B940">
            <v>19.399999999999999</v>
          </cell>
        </row>
        <row r="941">
          <cell r="A941">
            <v>32759</v>
          </cell>
          <cell r="B941">
            <v>19.77</v>
          </cell>
        </row>
        <row r="942">
          <cell r="A942">
            <v>32762</v>
          </cell>
          <cell r="B942">
            <v>19.77</v>
          </cell>
        </row>
        <row r="943">
          <cell r="A943">
            <v>32763</v>
          </cell>
          <cell r="B943">
            <v>19.68</v>
          </cell>
        </row>
        <row r="944">
          <cell r="A944">
            <v>32764</v>
          </cell>
          <cell r="B944">
            <v>19.87</v>
          </cell>
        </row>
        <row r="945">
          <cell r="A945">
            <v>32765</v>
          </cell>
          <cell r="B945">
            <v>19.73</v>
          </cell>
        </row>
        <row r="946">
          <cell r="A946">
            <v>32766</v>
          </cell>
          <cell r="B946">
            <v>19.96</v>
          </cell>
        </row>
        <row r="947">
          <cell r="A947">
            <v>32769</v>
          </cell>
          <cell r="B947">
            <v>19.87</v>
          </cell>
        </row>
        <row r="948">
          <cell r="A948">
            <v>32770</v>
          </cell>
          <cell r="B948">
            <v>19.68</v>
          </cell>
        </row>
        <row r="949">
          <cell r="A949">
            <v>32771</v>
          </cell>
          <cell r="B949">
            <v>19.68</v>
          </cell>
        </row>
        <row r="950">
          <cell r="A950">
            <v>32772</v>
          </cell>
          <cell r="B950">
            <v>19.690000000000001</v>
          </cell>
        </row>
        <row r="951">
          <cell r="A951">
            <v>32773</v>
          </cell>
          <cell r="B951">
            <v>19.21</v>
          </cell>
        </row>
        <row r="952">
          <cell r="A952">
            <v>32776</v>
          </cell>
          <cell r="B952">
            <v>19.489999999999998</v>
          </cell>
        </row>
        <row r="953">
          <cell r="A953">
            <v>32777</v>
          </cell>
          <cell r="B953">
            <v>19.62</v>
          </cell>
        </row>
        <row r="954">
          <cell r="A954">
            <v>32778</v>
          </cell>
          <cell r="B954">
            <v>19.61</v>
          </cell>
        </row>
        <row r="955">
          <cell r="A955">
            <v>32779</v>
          </cell>
          <cell r="B955">
            <v>19.989999999999998</v>
          </cell>
        </row>
        <row r="956">
          <cell r="A956">
            <v>32780</v>
          </cell>
          <cell r="B956">
            <v>20.149999999999999</v>
          </cell>
        </row>
        <row r="957">
          <cell r="A957">
            <v>32783</v>
          </cell>
          <cell r="B957">
            <v>19.989999999999998</v>
          </cell>
        </row>
        <row r="958">
          <cell r="A958">
            <v>32784</v>
          </cell>
          <cell r="B958">
            <v>20.149999999999999</v>
          </cell>
        </row>
        <row r="959">
          <cell r="A959">
            <v>32785</v>
          </cell>
          <cell r="B959">
            <v>20.170000000000002</v>
          </cell>
        </row>
        <row r="960">
          <cell r="A960">
            <v>32786</v>
          </cell>
          <cell r="B960">
            <v>19.95</v>
          </cell>
        </row>
        <row r="961">
          <cell r="A961">
            <v>32787</v>
          </cell>
          <cell r="B961">
            <v>19.89</v>
          </cell>
        </row>
        <row r="962">
          <cell r="A962">
            <v>32790</v>
          </cell>
          <cell r="B962">
            <v>20.04</v>
          </cell>
        </row>
        <row r="963">
          <cell r="A963">
            <v>32791</v>
          </cell>
          <cell r="B963">
            <v>20.21</v>
          </cell>
        </row>
        <row r="964">
          <cell r="A964">
            <v>32792</v>
          </cell>
          <cell r="B964">
            <v>20.18</v>
          </cell>
        </row>
        <row r="965">
          <cell r="A965">
            <v>32793</v>
          </cell>
          <cell r="B965">
            <v>20.49</v>
          </cell>
        </row>
        <row r="966">
          <cell r="A966">
            <v>32794</v>
          </cell>
          <cell r="B966">
            <v>20.91</v>
          </cell>
        </row>
        <row r="967">
          <cell r="A967">
            <v>32797</v>
          </cell>
          <cell r="B967">
            <v>20.64</v>
          </cell>
        </row>
        <row r="968">
          <cell r="A968">
            <v>32798</v>
          </cell>
          <cell r="B968">
            <v>20.68</v>
          </cell>
        </row>
        <row r="969">
          <cell r="A969">
            <v>32799</v>
          </cell>
          <cell r="B969">
            <v>20.58</v>
          </cell>
        </row>
        <row r="970">
          <cell r="A970">
            <v>32800</v>
          </cell>
          <cell r="B970">
            <v>20.37</v>
          </cell>
        </row>
        <row r="971">
          <cell r="A971">
            <v>32801</v>
          </cell>
          <cell r="B971">
            <v>20.04</v>
          </cell>
        </row>
        <row r="972">
          <cell r="A972">
            <v>32804</v>
          </cell>
          <cell r="B972">
            <v>19.670000000000002</v>
          </cell>
        </row>
        <row r="973">
          <cell r="A973">
            <v>32805</v>
          </cell>
          <cell r="B973">
            <v>19.7</v>
          </cell>
        </row>
        <row r="974">
          <cell r="A974">
            <v>32806</v>
          </cell>
          <cell r="B974">
            <v>19.600000000000001</v>
          </cell>
        </row>
        <row r="975">
          <cell r="A975">
            <v>32807</v>
          </cell>
          <cell r="B975">
            <v>19.48</v>
          </cell>
        </row>
        <row r="976">
          <cell r="A976">
            <v>32808</v>
          </cell>
          <cell r="B976">
            <v>19.79</v>
          </cell>
        </row>
        <row r="977">
          <cell r="A977">
            <v>32811</v>
          </cell>
          <cell r="B977">
            <v>19.739999999999998</v>
          </cell>
        </row>
        <row r="978">
          <cell r="A978">
            <v>32812</v>
          </cell>
          <cell r="B978">
            <v>19.88</v>
          </cell>
        </row>
        <row r="979">
          <cell r="A979">
            <v>32813</v>
          </cell>
          <cell r="B979">
            <v>20.09</v>
          </cell>
        </row>
        <row r="980">
          <cell r="A980">
            <v>32814</v>
          </cell>
          <cell r="B980">
            <v>20.010000000000002</v>
          </cell>
        </row>
        <row r="981">
          <cell r="A981">
            <v>32815</v>
          </cell>
          <cell r="B981">
            <v>20.23</v>
          </cell>
        </row>
        <row r="982">
          <cell r="A982">
            <v>32818</v>
          </cell>
          <cell r="B982">
            <v>20.059999999999999</v>
          </cell>
        </row>
        <row r="983">
          <cell r="A983">
            <v>32819</v>
          </cell>
          <cell r="B983">
            <v>19.97</v>
          </cell>
        </row>
        <row r="984">
          <cell r="A984">
            <v>32820</v>
          </cell>
          <cell r="B984">
            <v>19.97</v>
          </cell>
        </row>
        <row r="985">
          <cell r="A985">
            <v>32821</v>
          </cell>
          <cell r="B985">
            <v>19.62</v>
          </cell>
        </row>
        <row r="986">
          <cell r="A986">
            <v>32822</v>
          </cell>
          <cell r="B986">
            <v>19.84</v>
          </cell>
        </row>
        <row r="987">
          <cell r="A987">
            <v>32825</v>
          </cell>
          <cell r="B987">
            <v>19.62</v>
          </cell>
        </row>
        <row r="988">
          <cell r="A988">
            <v>32826</v>
          </cell>
          <cell r="B988">
            <v>19.579999999999998</v>
          </cell>
        </row>
        <row r="989">
          <cell r="A989">
            <v>32827</v>
          </cell>
          <cell r="B989">
            <v>19.690000000000001</v>
          </cell>
        </row>
        <row r="990">
          <cell r="A990">
            <v>32828</v>
          </cell>
          <cell r="B990">
            <v>19.88</v>
          </cell>
        </row>
        <row r="991">
          <cell r="A991">
            <v>32829</v>
          </cell>
          <cell r="B991">
            <v>19.93</v>
          </cell>
        </row>
        <row r="992">
          <cell r="A992">
            <v>32832</v>
          </cell>
          <cell r="B992">
            <v>20.13</v>
          </cell>
        </row>
        <row r="993">
          <cell r="A993">
            <v>32833</v>
          </cell>
          <cell r="B993">
            <v>20.52</v>
          </cell>
        </row>
        <row r="994">
          <cell r="A994">
            <v>32834</v>
          </cell>
          <cell r="B994">
            <v>19.8</v>
          </cell>
        </row>
        <row r="995">
          <cell r="A995">
            <v>32835</v>
          </cell>
          <cell r="B995">
            <v>19.8</v>
          </cell>
        </row>
        <row r="996">
          <cell r="A996">
            <v>32836</v>
          </cell>
          <cell r="B996">
            <v>19.84</v>
          </cell>
        </row>
        <row r="997">
          <cell r="A997">
            <v>32839</v>
          </cell>
          <cell r="B997">
            <v>19.649999999999999</v>
          </cell>
        </row>
        <row r="998">
          <cell r="A998">
            <v>32840</v>
          </cell>
          <cell r="B998">
            <v>19.329999999999998</v>
          </cell>
        </row>
        <row r="999">
          <cell r="A999">
            <v>32841</v>
          </cell>
          <cell r="B999">
            <v>19.399999999999999</v>
          </cell>
        </row>
        <row r="1000">
          <cell r="A1000">
            <v>32842</v>
          </cell>
          <cell r="B1000">
            <v>19.87</v>
          </cell>
        </row>
        <row r="1001">
          <cell r="A1001">
            <v>32843</v>
          </cell>
          <cell r="B1001">
            <v>20.260000000000002</v>
          </cell>
        </row>
        <row r="1002">
          <cell r="A1002">
            <v>32846</v>
          </cell>
          <cell r="B1002">
            <v>20.239999999999998</v>
          </cell>
        </row>
        <row r="1003">
          <cell r="A1003">
            <v>32847</v>
          </cell>
          <cell r="B1003">
            <v>20.22</v>
          </cell>
        </row>
        <row r="1004">
          <cell r="A1004">
            <v>32848</v>
          </cell>
          <cell r="B1004">
            <v>20.46</v>
          </cell>
        </row>
        <row r="1005">
          <cell r="A1005">
            <v>32849</v>
          </cell>
          <cell r="B1005">
            <v>20.45</v>
          </cell>
        </row>
        <row r="1006">
          <cell r="A1006">
            <v>32850</v>
          </cell>
          <cell r="B1006">
            <v>20.41</v>
          </cell>
        </row>
        <row r="1007">
          <cell r="A1007">
            <v>32853</v>
          </cell>
          <cell r="B1007">
            <v>20.69</v>
          </cell>
        </row>
        <row r="1008">
          <cell r="A1008">
            <v>32854</v>
          </cell>
          <cell r="B1008">
            <v>20.8</v>
          </cell>
        </row>
        <row r="1009">
          <cell r="A1009">
            <v>32855</v>
          </cell>
          <cell r="B1009">
            <v>20.75</v>
          </cell>
        </row>
        <row r="1010">
          <cell r="A1010">
            <v>32856</v>
          </cell>
          <cell r="B1010">
            <v>20.67</v>
          </cell>
        </row>
        <row r="1011">
          <cell r="A1011">
            <v>32857</v>
          </cell>
          <cell r="B1011">
            <v>21.13</v>
          </cell>
        </row>
        <row r="1012">
          <cell r="A1012">
            <v>32860</v>
          </cell>
          <cell r="B1012">
            <v>22.2</v>
          </cell>
        </row>
        <row r="1013">
          <cell r="A1013">
            <v>32861</v>
          </cell>
          <cell r="B1013">
            <v>22.17</v>
          </cell>
        </row>
        <row r="1014">
          <cell r="A1014">
            <v>32862</v>
          </cell>
          <cell r="B1014">
            <v>21.58</v>
          </cell>
        </row>
        <row r="1015">
          <cell r="A1015">
            <v>32863</v>
          </cell>
          <cell r="B1015">
            <v>21.53</v>
          </cell>
        </row>
        <row r="1016">
          <cell r="A1016">
            <v>32864</v>
          </cell>
          <cell r="B1016">
            <v>21.31</v>
          </cell>
        </row>
        <row r="1017">
          <cell r="A1017">
            <v>32868</v>
          </cell>
          <cell r="B1017">
            <v>21.91</v>
          </cell>
        </row>
        <row r="1018">
          <cell r="A1018">
            <v>32869</v>
          </cell>
          <cell r="B1018">
            <v>21.78</v>
          </cell>
        </row>
        <row r="1019">
          <cell r="A1019">
            <v>32870</v>
          </cell>
          <cell r="B1019">
            <v>21.6</v>
          </cell>
        </row>
        <row r="1020">
          <cell r="A1020">
            <v>32871</v>
          </cell>
          <cell r="B1020">
            <v>21.84</v>
          </cell>
        </row>
        <row r="1021">
          <cell r="A1021">
            <v>32875</v>
          </cell>
          <cell r="B1021">
            <v>22.88</v>
          </cell>
        </row>
        <row r="1022">
          <cell r="A1022">
            <v>32876</v>
          </cell>
          <cell r="B1022">
            <v>23.81</v>
          </cell>
        </row>
        <row r="1023">
          <cell r="A1023">
            <v>32877</v>
          </cell>
          <cell r="B1023">
            <v>23.41</v>
          </cell>
        </row>
        <row r="1024">
          <cell r="A1024">
            <v>32878</v>
          </cell>
          <cell r="B1024">
            <v>23.07</v>
          </cell>
        </row>
        <row r="1025">
          <cell r="A1025">
            <v>32881</v>
          </cell>
          <cell r="B1025">
            <v>21.64</v>
          </cell>
        </row>
        <row r="1026">
          <cell r="A1026">
            <v>32882</v>
          </cell>
          <cell r="B1026">
            <v>22.25</v>
          </cell>
        </row>
        <row r="1027">
          <cell r="A1027">
            <v>32883</v>
          </cell>
          <cell r="B1027">
            <v>22.9</v>
          </cell>
        </row>
        <row r="1028">
          <cell r="A1028">
            <v>32884</v>
          </cell>
          <cell r="B1028">
            <v>23.15</v>
          </cell>
        </row>
        <row r="1029">
          <cell r="A1029">
            <v>32885</v>
          </cell>
          <cell r="B1029">
            <v>23.17</v>
          </cell>
        </row>
        <row r="1030">
          <cell r="A1030">
            <v>32888</v>
          </cell>
          <cell r="B1030">
            <v>22.36</v>
          </cell>
        </row>
        <row r="1031">
          <cell r="A1031">
            <v>32889</v>
          </cell>
          <cell r="B1031">
            <v>22.61</v>
          </cell>
        </row>
        <row r="1032">
          <cell r="A1032">
            <v>32890</v>
          </cell>
          <cell r="B1032">
            <v>22.11</v>
          </cell>
        </row>
        <row r="1033">
          <cell r="A1033">
            <v>32891</v>
          </cell>
          <cell r="B1033">
            <v>22.78</v>
          </cell>
        </row>
        <row r="1034">
          <cell r="A1034">
            <v>32892</v>
          </cell>
          <cell r="B1034">
            <v>23.7</v>
          </cell>
        </row>
        <row r="1035">
          <cell r="A1035">
            <v>32895</v>
          </cell>
          <cell r="B1035">
            <v>22.57</v>
          </cell>
        </row>
        <row r="1036">
          <cell r="A1036">
            <v>32896</v>
          </cell>
          <cell r="B1036">
            <v>22.34</v>
          </cell>
        </row>
        <row r="1037">
          <cell r="A1037">
            <v>32897</v>
          </cell>
          <cell r="B1037">
            <v>23.43</v>
          </cell>
        </row>
        <row r="1038">
          <cell r="A1038">
            <v>32898</v>
          </cell>
          <cell r="B1038">
            <v>24.48</v>
          </cell>
        </row>
        <row r="1039">
          <cell r="A1039">
            <v>32899</v>
          </cell>
          <cell r="B1039">
            <v>22.56</v>
          </cell>
        </row>
        <row r="1040">
          <cell r="A1040">
            <v>32902</v>
          </cell>
          <cell r="B1040">
            <v>22.79</v>
          </cell>
        </row>
        <row r="1041">
          <cell r="A1041">
            <v>32903</v>
          </cell>
          <cell r="B1041">
            <v>22.29</v>
          </cell>
        </row>
        <row r="1042">
          <cell r="A1042">
            <v>32904</v>
          </cell>
          <cell r="B1042">
            <v>22.69</v>
          </cell>
        </row>
        <row r="1043">
          <cell r="A1043">
            <v>32905</v>
          </cell>
          <cell r="B1043">
            <v>22.71</v>
          </cell>
        </row>
        <row r="1044">
          <cell r="A1044">
            <v>32906</v>
          </cell>
          <cell r="B1044">
            <v>23.04</v>
          </cell>
        </row>
        <row r="1045">
          <cell r="A1045">
            <v>32909</v>
          </cell>
          <cell r="B1045">
            <v>22.44</v>
          </cell>
        </row>
        <row r="1046">
          <cell r="A1046">
            <v>32910</v>
          </cell>
          <cell r="B1046">
            <v>22.36</v>
          </cell>
        </row>
        <row r="1047">
          <cell r="A1047">
            <v>32911</v>
          </cell>
          <cell r="B1047">
            <v>22.4</v>
          </cell>
        </row>
        <row r="1048">
          <cell r="A1048">
            <v>32912</v>
          </cell>
          <cell r="B1048">
            <v>22.11</v>
          </cell>
        </row>
        <row r="1049">
          <cell r="A1049">
            <v>32913</v>
          </cell>
          <cell r="B1049">
            <v>21.82</v>
          </cell>
        </row>
        <row r="1050">
          <cell r="A1050">
            <v>32916</v>
          </cell>
          <cell r="B1050">
            <v>22.02</v>
          </cell>
        </row>
        <row r="1051">
          <cell r="A1051">
            <v>32917</v>
          </cell>
          <cell r="B1051">
            <v>21.88</v>
          </cell>
        </row>
        <row r="1052">
          <cell r="A1052">
            <v>32918</v>
          </cell>
          <cell r="B1052">
            <v>22.12</v>
          </cell>
        </row>
        <row r="1053">
          <cell r="A1053">
            <v>32919</v>
          </cell>
          <cell r="B1053">
            <v>22.86</v>
          </cell>
        </row>
        <row r="1054">
          <cell r="A1054">
            <v>32920</v>
          </cell>
          <cell r="B1054">
            <v>22.46</v>
          </cell>
        </row>
        <row r="1055">
          <cell r="A1055">
            <v>32923</v>
          </cell>
          <cell r="B1055">
            <v>22.46</v>
          </cell>
        </row>
        <row r="1056">
          <cell r="A1056">
            <v>32924</v>
          </cell>
          <cell r="B1056">
            <v>22.2</v>
          </cell>
        </row>
        <row r="1057">
          <cell r="A1057">
            <v>32925</v>
          </cell>
          <cell r="B1057">
            <v>21.87</v>
          </cell>
        </row>
        <row r="1058">
          <cell r="A1058">
            <v>32926</v>
          </cell>
          <cell r="B1058">
            <v>21.4</v>
          </cell>
        </row>
        <row r="1059">
          <cell r="A1059">
            <v>32927</v>
          </cell>
          <cell r="B1059">
            <v>21.13</v>
          </cell>
        </row>
        <row r="1060">
          <cell r="A1060">
            <v>32930</v>
          </cell>
          <cell r="B1060">
            <v>21.81</v>
          </cell>
        </row>
        <row r="1061">
          <cell r="A1061">
            <v>32931</v>
          </cell>
          <cell r="B1061">
            <v>21.62</v>
          </cell>
        </row>
        <row r="1062">
          <cell r="A1062">
            <v>32932</v>
          </cell>
          <cell r="B1062">
            <v>21.55</v>
          </cell>
        </row>
        <row r="1063">
          <cell r="A1063">
            <v>32933</v>
          </cell>
          <cell r="B1063">
            <v>21.19</v>
          </cell>
        </row>
        <row r="1064">
          <cell r="A1064">
            <v>32934</v>
          </cell>
          <cell r="B1064">
            <v>21.36</v>
          </cell>
        </row>
        <row r="1065">
          <cell r="A1065">
            <v>32937</v>
          </cell>
          <cell r="B1065">
            <v>21.62</v>
          </cell>
        </row>
        <row r="1066">
          <cell r="A1066">
            <v>32938</v>
          </cell>
          <cell r="B1066">
            <v>21.3</v>
          </cell>
        </row>
        <row r="1067">
          <cell r="A1067">
            <v>32939</v>
          </cell>
          <cell r="B1067">
            <v>20.93</v>
          </cell>
        </row>
        <row r="1068">
          <cell r="A1068">
            <v>32940</v>
          </cell>
          <cell r="B1068">
            <v>20.8</v>
          </cell>
        </row>
        <row r="1069">
          <cell r="A1069">
            <v>32941</v>
          </cell>
          <cell r="B1069">
            <v>20.420000000000002</v>
          </cell>
        </row>
        <row r="1070">
          <cell r="A1070">
            <v>32944</v>
          </cell>
          <cell r="B1070">
            <v>20.260000000000002</v>
          </cell>
        </row>
        <row r="1071">
          <cell r="A1071">
            <v>32945</v>
          </cell>
          <cell r="B1071">
            <v>20.149999999999999</v>
          </cell>
        </row>
        <row r="1072">
          <cell r="A1072">
            <v>32946</v>
          </cell>
          <cell r="B1072">
            <v>20.07</v>
          </cell>
        </row>
        <row r="1073">
          <cell r="A1073">
            <v>32947</v>
          </cell>
          <cell r="B1073">
            <v>20.38</v>
          </cell>
        </row>
        <row r="1074">
          <cell r="A1074">
            <v>32948</v>
          </cell>
          <cell r="B1074">
            <v>20.09</v>
          </cell>
        </row>
        <row r="1075">
          <cell r="A1075">
            <v>32951</v>
          </cell>
          <cell r="B1075">
            <v>19.600000000000001</v>
          </cell>
        </row>
        <row r="1076">
          <cell r="A1076">
            <v>32952</v>
          </cell>
          <cell r="B1076">
            <v>19.34</v>
          </cell>
        </row>
        <row r="1077">
          <cell r="A1077">
            <v>32953</v>
          </cell>
          <cell r="B1077">
            <v>19.59</v>
          </cell>
        </row>
        <row r="1078">
          <cell r="A1078">
            <v>32954</v>
          </cell>
          <cell r="B1078">
            <v>19.850000000000001</v>
          </cell>
        </row>
        <row r="1079">
          <cell r="A1079">
            <v>32955</v>
          </cell>
          <cell r="B1079">
            <v>20.28</v>
          </cell>
        </row>
        <row r="1080">
          <cell r="A1080">
            <v>32958</v>
          </cell>
          <cell r="B1080">
            <v>20.48</v>
          </cell>
        </row>
        <row r="1081">
          <cell r="A1081">
            <v>32959</v>
          </cell>
          <cell r="B1081">
            <v>20.36</v>
          </cell>
        </row>
        <row r="1082">
          <cell r="A1082">
            <v>32960</v>
          </cell>
          <cell r="B1082">
            <v>20.09</v>
          </cell>
        </row>
        <row r="1083">
          <cell r="A1083">
            <v>32961</v>
          </cell>
          <cell r="B1083">
            <v>20.03</v>
          </cell>
        </row>
        <row r="1084">
          <cell r="A1084">
            <v>32962</v>
          </cell>
          <cell r="B1084">
            <v>20.34</v>
          </cell>
        </row>
        <row r="1085">
          <cell r="A1085">
            <v>32965</v>
          </cell>
          <cell r="B1085">
            <v>20.51</v>
          </cell>
        </row>
        <row r="1086">
          <cell r="A1086">
            <v>32966</v>
          </cell>
          <cell r="B1086">
            <v>20.23</v>
          </cell>
        </row>
        <row r="1087">
          <cell r="A1087">
            <v>32967</v>
          </cell>
          <cell r="B1087">
            <v>19.78</v>
          </cell>
        </row>
        <row r="1088">
          <cell r="A1088">
            <v>32968</v>
          </cell>
          <cell r="B1088">
            <v>19.48</v>
          </cell>
        </row>
        <row r="1089">
          <cell r="A1089">
            <v>32969</v>
          </cell>
          <cell r="B1089">
            <v>19.149999999999999</v>
          </cell>
        </row>
        <row r="1090">
          <cell r="A1090">
            <v>32972</v>
          </cell>
          <cell r="B1090">
            <v>18.32</v>
          </cell>
        </row>
        <row r="1091">
          <cell r="A1091">
            <v>32973</v>
          </cell>
          <cell r="B1091">
            <v>17.559999999999999</v>
          </cell>
        </row>
        <row r="1092">
          <cell r="A1092">
            <v>32974</v>
          </cell>
          <cell r="B1092">
            <v>18.190000000000001</v>
          </cell>
        </row>
        <row r="1093">
          <cell r="A1093">
            <v>32975</v>
          </cell>
          <cell r="B1093">
            <v>17.760000000000002</v>
          </cell>
        </row>
        <row r="1094">
          <cell r="A1094">
            <v>32979</v>
          </cell>
          <cell r="B1094">
            <v>17.87</v>
          </cell>
        </row>
        <row r="1095">
          <cell r="A1095">
            <v>32980</v>
          </cell>
          <cell r="B1095">
            <v>17.37</v>
          </cell>
        </row>
        <row r="1096">
          <cell r="A1096">
            <v>32981</v>
          </cell>
          <cell r="B1096">
            <v>16.95</v>
          </cell>
        </row>
        <row r="1097">
          <cell r="A1097">
            <v>32982</v>
          </cell>
          <cell r="B1097">
            <v>17.93</v>
          </cell>
        </row>
        <row r="1098">
          <cell r="A1098">
            <v>32983</v>
          </cell>
          <cell r="B1098">
            <v>17.899999999999999</v>
          </cell>
        </row>
        <row r="1099">
          <cell r="A1099">
            <v>32986</v>
          </cell>
          <cell r="B1099">
            <v>18.600000000000001</v>
          </cell>
        </row>
        <row r="1100">
          <cell r="A1100">
            <v>32987</v>
          </cell>
          <cell r="B1100">
            <v>17.850000000000001</v>
          </cell>
        </row>
        <row r="1101">
          <cell r="A1101">
            <v>32988</v>
          </cell>
          <cell r="B1101">
            <v>17.489999999999998</v>
          </cell>
        </row>
        <row r="1102">
          <cell r="A1102">
            <v>32989</v>
          </cell>
          <cell r="B1102">
            <v>18.5</v>
          </cell>
        </row>
        <row r="1103">
          <cell r="A1103">
            <v>32990</v>
          </cell>
          <cell r="B1103">
            <v>18.57</v>
          </cell>
        </row>
        <row r="1104">
          <cell r="A1104">
            <v>32993</v>
          </cell>
          <cell r="B1104">
            <v>18.5</v>
          </cell>
        </row>
        <row r="1105">
          <cell r="A1105">
            <v>32994</v>
          </cell>
          <cell r="B1105">
            <v>18.760000000000002</v>
          </cell>
        </row>
        <row r="1106">
          <cell r="A1106">
            <v>32995</v>
          </cell>
          <cell r="B1106">
            <v>18.63</v>
          </cell>
        </row>
        <row r="1107">
          <cell r="A1107">
            <v>32996</v>
          </cell>
          <cell r="B1107">
            <v>17.98</v>
          </cell>
        </row>
        <row r="1108">
          <cell r="A1108">
            <v>32997</v>
          </cell>
          <cell r="B1108">
            <v>17.98</v>
          </cell>
        </row>
        <row r="1109">
          <cell r="A1109">
            <v>33000</v>
          </cell>
          <cell r="B1109">
            <v>18.3</v>
          </cell>
        </row>
        <row r="1110">
          <cell r="A1110">
            <v>33001</v>
          </cell>
          <cell r="B1110">
            <v>18.260000000000002</v>
          </cell>
        </row>
        <row r="1111">
          <cell r="A1111">
            <v>33002</v>
          </cell>
          <cell r="B1111">
            <v>19.010000000000002</v>
          </cell>
        </row>
        <row r="1112">
          <cell r="A1112">
            <v>33003</v>
          </cell>
          <cell r="B1112">
            <v>19.03</v>
          </cell>
        </row>
        <row r="1113">
          <cell r="A1113">
            <v>33004</v>
          </cell>
          <cell r="B1113">
            <v>18.96</v>
          </cell>
        </row>
        <row r="1114">
          <cell r="A1114">
            <v>33007</v>
          </cell>
          <cell r="B1114">
            <v>19.73</v>
          </cell>
        </row>
        <row r="1115">
          <cell r="A1115">
            <v>33008</v>
          </cell>
          <cell r="B1115">
            <v>19.52</v>
          </cell>
        </row>
        <row r="1116">
          <cell r="A1116">
            <v>33009</v>
          </cell>
          <cell r="B1116">
            <v>19.05</v>
          </cell>
        </row>
        <row r="1117">
          <cell r="A1117">
            <v>33010</v>
          </cell>
          <cell r="B1117">
            <v>18.89</v>
          </cell>
        </row>
        <row r="1118">
          <cell r="A1118">
            <v>33011</v>
          </cell>
          <cell r="B1118">
            <v>18.78</v>
          </cell>
        </row>
        <row r="1119">
          <cell r="A1119">
            <v>33014</v>
          </cell>
          <cell r="B1119">
            <v>18.260000000000002</v>
          </cell>
        </row>
        <row r="1120">
          <cell r="A1120">
            <v>33015</v>
          </cell>
          <cell r="B1120">
            <v>17.510000000000002</v>
          </cell>
        </row>
        <row r="1121">
          <cell r="A1121">
            <v>33016</v>
          </cell>
          <cell r="B1121">
            <v>16.25</v>
          </cell>
        </row>
        <row r="1122">
          <cell r="A1122">
            <v>33017</v>
          </cell>
          <cell r="B1122">
            <v>16.02</v>
          </cell>
        </row>
        <row r="1123">
          <cell r="A1123">
            <v>33018</v>
          </cell>
          <cell r="B1123">
            <v>16.12</v>
          </cell>
        </row>
        <row r="1124">
          <cell r="A1124">
            <v>33022</v>
          </cell>
          <cell r="B1124">
            <v>18</v>
          </cell>
        </row>
        <row r="1125">
          <cell r="A1125">
            <v>33023</v>
          </cell>
          <cell r="B1125">
            <v>17.88</v>
          </cell>
        </row>
        <row r="1126">
          <cell r="A1126">
            <v>33024</v>
          </cell>
          <cell r="B1126">
            <v>17.47</v>
          </cell>
        </row>
        <row r="1127">
          <cell r="A1127">
            <v>33025</v>
          </cell>
          <cell r="B1127">
            <v>17.510000000000002</v>
          </cell>
        </row>
        <row r="1128">
          <cell r="A1128">
            <v>33028</v>
          </cell>
          <cell r="B1128">
            <v>17.09</v>
          </cell>
        </row>
        <row r="1129">
          <cell r="A1129">
            <v>33029</v>
          </cell>
          <cell r="B1129">
            <v>16.41</v>
          </cell>
        </row>
        <row r="1130">
          <cell r="A1130">
            <v>33030</v>
          </cell>
          <cell r="B1130">
            <v>16.91</v>
          </cell>
        </row>
        <row r="1131">
          <cell r="A1131">
            <v>33031</v>
          </cell>
          <cell r="B1131">
            <v>16.649999999999999</v>
          </cell>
        </row>
        <row r="1132">
          <cell r="A1132">
            <v>33032</v>
          </cell>
          <cell r="B1132">
            <v>16.78</v>
          </cell>
        </row>
        <row r="1133">
          <cell r="A1133">
            <v>33035</v>
          </cell>
          <cell r="B1133">
            <v>16.82</v>
          </cell>
        </row>
        <row r="1134">
          <cell r="A1134">
            <v>33036</v>
          </cell>
          <cell r="B1134">
            <v>17.39</v>
          </cell>
        </row>
        <row r="1135">
          <cell r="A1135">
            <v>33037</v>
          </cell>
          <cell r="B1135">
            <v>17.600000000000001</v>
          </cell>
        </row>
        <row r="1136">
          <cell r="A1136">
            <v>33038</v>
          </cell>
          <cell r="B1136">
            <v>17.11</v>
          </cell>
        </row>
        <row r="1137">
          <cell r="A1137">
            <v>33039</v>
          </cell>
          <cell r="B1137">
            <v>16.64</v>
          </cell>
        </row>
        <row r="1138">
          <cell r="A1138">
            <v>33042</v>
          </cell>
          <cell r="B1138">
            <v>15.92</v>
          </cell>
        </row>
        <row r="1139">
          <cell r="A1139">
            <v>33043</v>
          </cell>
          <cell r="B1139">
            <v>15.55</v>
          </cell>
        </row>
        <row r="1140">
          <cell r="A1140">
            <v>33044</v>
          </cell>
          <cell r="B1140">
            <v>15.43</v>
          </cell>
        </row>
        <row r="1141">
          <cell r="A1141">
            <v>33045</v>
          </cell>
          <cell r="B1141">
            <v>16.09</v>
          </cell>
        </row>
        <row r="1142">
          <cell r="A1142">
            <v>33046</v>
          </cell>
          <cell r="B1142">
            <v>16.5</v>
          </cell>
        </row>
        <row r="1143">
          <cell r="A1143">
            <v>33049</v>
          </cell>
          <cell r="B1143">
            <v>16.149999999999999</v>
          </cell>
        </row>
        <row r="1144">
          <cell r="A1144">
            <v>33050</v>
          </cell>
          <cell r="B1144">
            <v>17.12</v>
          </cell>
        </row>
        <row r="1145">
          <cell r="A1145">
            <v>33051</v>
          </cell>
          <cell r="B1145">
            <v>16.7</v>
          </cell>
        </row>
        <row r="1146">
          <cell r="A1146">
            <v>33052</v>
          </cell>
          <cell r="B1146">
            <v>17.18</v>
          </cell>
        </row>
        <row r="1147">
          <cell r="A1147">
            <v>33053</v>
          </cell>
          <cell r="B1147">
            <v>17.05</v>
          </cell>
        </row>
        <row r="1148">
          <cell r="A1148">
            <v>33056</v>
          </cell>
          <cell r="B1148">
            <v>16.940000000000001</v>
          </cell>
        </row>
        <row r="1149">
          <cell r="A1149">
            <v>33057</v>
          </cell>
          <cell r="B1149">
            <v>16.73</v>
          </cell>
        </row>
        <row r="1150">
          <cell r="A1150">
            <v>33058</v>
          </cell>
          <cell r="B1150">
            <v>16.73</v>
          </cell>
        </row>
        <row r="1151">
          <cell r="A1151">
            <v>33059</v>
          </cell>
          <cell r="B1151">
            <v>16.5</v>
          </cell>
        </row>
        <row r="1152">
          <cell r="A1152">
            <v>33060</v>
          </cell>
          <cell r="B1152">
            <v>16.489999999999998</v>
          </cell>
        </row>
        <row r="1153">
          <cell r="A1153">
            <v>33063</v>
          </cell>
          <cell r="B1153">
            <v>16.63</v>
          </cell>
        </row>
        <row r="1154">
          <cell r="A1154">
            <v>33064</v>
          </cell>
          <cell r="B1154">
            <v>17.05</v>
          </cell>
        </row>
        <row r="1155">
          <cell r="A1155">
            <v>33065</v>
          </cell>
          <cell r="B1155">
            <v>17.45</v>
          </cell>
        </row>
        <row r="1156">
          <cell r="A1156">
            <v>33066</v>
          </cell>
          <cell r="B1156">
            <v>18.690000000000001</v>
          </cell>
        </row>
        <row r="1157">
          <cell r="A1157">
            <v>33067</v>
          </cell>
          <cell r="B1157">
            <v>18.37</v>
          </cell>
        </row>
        <row r="1158">
          <cell r="A1158">
            <v>33070</v>
          </cell>
          <cell r="B1158">
            <v>18.670000000000002</v>
          </cell>
        </row>
        <row r="1159">
          <cell r="A1159">
            <v>33071</v>
          </cell>
          <cell r="B1159">
            <v>18.23</v>
          </cell>
        </row>
        <row r="1160">
          <cell r="A1160">
            <v>33072</v>
          </cell>
          <cell r="B1160">
            <v>18.57</v>
          </cell>
        </row>
        <row r="1161">
          <cell r="A1161">
            <v>33073</v>
          </cell>
          <cell r="B1161">
            <v>19.07</v>
          </cell>
        </row>
        <row r="1162">
          <cell r="A1162">
            <v>33074</v>
          </cell>
          <cell r="B1162">
            <v>19.61</v>
          </cell>
        </row>
        <row r="1163">
          <cell r="A1163">
            <v>33077</v>
          </cell>
          <cell r="B1163">
            <v>19.88</v>
          </cell>
        </row>
        <row r="1164">
          <cell r="A1164">
            <v>33078</v>
          </cell>
          <cell r="B1164">
            <v>19.84</v>
          </cell>
        </row>
        <row r="1165">
          <cell r="A1165">
            <v>33079</v>
          </cell>
          <cell r="B1165">
            <v>19.329999999999998</v>
          </cell>
        </row>
        <row r="1166">
          <cell r="A1166">
            <v>33080</v>
          </cell>
          <cell r="B1166">
            <v>20.329999999999998</v>
          </cell>
        </row>
        <row r="1167">
          <cell r="A1167">
            <v>33081</v>
          </cell>
          <cell r="B1167">
            <v>20.07</v>
          </cell>
        </row>
        <row r="1168">
          <cell r="A1168">
            <v>33084</v>
          </cell>
          <cell r="B1168">
            <v>20.239999999999998</v>
          </cell>
        </row>
        <row r="1169">
          <cell r="A1169">
            <v>33085</v>
          </cell>
          <cell r="B1169">
            <v>20.57</v>
          </cell>
        </row>
        <row r="1170">
          <cell r="A1170">
            <v>33086</v>
          </cell>
          <cell r="B1170">
            <v>21.59</v>
          </cell>
        </row>
        <row r="1171">
          <cell r="A1171">
            <v>33087</v>
          </cell>
          <cell r="B1171">
            <v>23.71</v>
          </cell>
        </row>
        <row r="1172">
          <cell r="A1172">
            <v>33088</v>
          </cell>
          <cell r="B1172">
            <v>23.79</v>
          </cell>
        </row>
        <row r="1173">
          <cell r="A1173">
            <v>33091</v>
          </cell>
          <cell r="B1173">
            <v>28.73</v>
          </cell>
        </row>
        <row r="1174">
          <cell r="A1174">
            <v>33092</v>
          </cell>
          <cell r="B1174">
            <v>29.6</v>
          </cell>
        </row>
        <row r="1175">
          <cell r="A1175">
            <v>33093</v>
          </cell>
          <cell r="B1175">
            <v>26.19</v>
          </cell>
        </row>
        <row r="1176">
          <cell r="A1176">
            <v>33094</v>
          </cell>
          <cell r="B1176">
            <v>25.69</v>
          </cell>
        </row>
        <row r="1177">
          <cell r="A1177">
            <v>33095</v>
          </cell>
          <cell r="B1177">
            <v>26.38</v>
          </cell>
        </row>
        <row r="1178">
          <cell r="A1178">
            <v>33098</v>
          </cell>
          <cell r="B1178">
            <v>27.07</v>
          </cell>
        </row>
        <row r="1179">
          <cell r="A1179">
            <v>33099</v>
          </cell>
          <cell r="B1179">
            <v>26.7</v>
          </cell>
        </row>
        <row r="1180">
          <cell r="A1180">
            <v>33100</v>
          </cell>
          <cell r="B1180">
            <v>26.54</v>
          </cell>
        </row>
        <row r="1181">
          <cell r="A1181">
            <v>33101</v>
          </cell>
          <cell r="B1181">
            <v>27.4</v>
          </cell>
        </row>
        <row r="1182">
          <cell r="A1182">
            <v>33102</v>
          </cell>
          <cell r="B1182">
            <v>28.65</v>
          </cell>
        </row>
        <row r="1183">
          <cell r="A1183">
            <v>33105</v>
          </cell>
          <cell r="B1183">
            <v>28.63</v>
          </cell>
        </row>
        <row r="1184">
          <cell r="A1184">
            <v>33106</v>
          </cell>
          <cell r="B1184">
            <v>28.46</v>
          </cell>
        </row>
        <row r="1185">
          <cell r="A1185">
            <v>33107</v>
          </cell>
          <cell r="B1185">
            <v>30.52</v>
          </cell>
        </row>
        <row r="1186">
          <cell r="A1186">
            <v>33108</v>
          </cell>
          <cell r="B1186">
            <v>31.67</v>
          </cell>
        </row>
        <row r="1187">
          <cell r="A1187">
            <v>33109</v>
          </cell>
          <cell r="B1187">
            <v>31.1</v>
          </cell>
        </row>
        <row r="1188">
          <cell r="A1188">
            <v>33112</v>
          </cell>
          <cell r="B1188">
            <v>27.36</v>
          </cell>
        </row>
        <row r="1189">
          <cell r="A1189">
            <v>33113</v>
          </cell>
          <cell r="B1189">
            <v>27.73</v>
          </cell>
        </row>
        <row r="1190">
          <cell r="A1190">
            <v>33114</v>
          </cell>
          <cell r="B1190">
            <v>26.15</v>
          </cell>
        </row>
        <row r="1191">
          <cell r="A1191">
            <v>33115</v>
          </cell>
          <cell r="B1191">
            <v>26.96</v>
          </cell>
        </row>
        <row r="1192">
          <cell r="A1192">
            <v>33116</v>
          </cell>
          <cell r="B1192">
            <v>27.45</v>
          </cell>
        </row>
        <row r="1193">
          <cell r="A1193">
            <v>33119</v>
          </cell>
          <cell r="B1193">
            <v>27.45</v>
          </cell>
        </row>
        <row r="1194">
          <cell r="A1194">
            <v>33120</v>
          </cell>
          <cell r="B1194">
            <v>29.3</v>
          </cell>
        </row>
        <row r="1195">
          <cell r="A1195">
            <v>33121</v>
          </cell>
          <cell r="B1195">
            <v>30</v>
          </cell>
        </row>
        <row r="1196">
          <cell r="A1196">
            <v>33122</v>
          </cell>
          <cell r="B1196">
            <v>31.51</v>
          </cell>
        </row>
        <row r="1197">
          <cell r="A1197">
            <v>33123</v>
          </cell>
          <cell r="B1197">
            <v>30.09</v>
          </cell>
        </row>
        <row r="1198">
          <cell r="A1198">
            <v>33126</v>
          </cell>
          <cell r="B1198">
            <v>30.83</v>
          </cell>
        </row>
        <row r="1199">
          <cell r="A1199">
            <v>33127</v>
          </cell>
          <cell r="B1199">
            <v>30.29</v>
          </cell>
        </row>
        <row r="1200">
          <cell r="A1200">
            <v>33128</v>
          </cell>
          <cell r="B1200">
            <v>30.85</v>
          </cell>
        </row>
        <row r="1201">
          <cell r="A1201">
            <v>33129</v>
          </cell>
          <cell r="B1201">
            <v>31.2</v>
          </cell>
        </row>
        <row r="1202">
          <cell r="A1202">
            <v>33130</v>
          </cell>
          <cell r="B1202">
            <v>31.79</v>
          </cell>
        </row>
        <row r="1203">
          <cell r="A1203">
            <v>33133</v>
          </cell>
          <cell r="B1203">
            <v>33.729999999999997</v>
          </cell>
        </row>
        <row r="1204">
          <cell r="A1204">
            <v>33134</v>
          </cell>
          <cell r="B1204">
            <v>33.479999999999997</v>
          </cell>
        </row>
        <row r="1205">
          <cell r="A1205">
            <v>33135</v>
          </cell>
          <cell r="B1205">
            <v>33.18</v>
          </cell>
        </row>
        <row r="1206">
          <cell r="A1206">
            <v>33136</v>
          </cell>
          <cell r="B1206">
            <v>34.44</v>
          </cell>
        </row>
        <row r="1207">
          <cell r="A1207">
            <v>33137</v>
          </cell>
          <cell r="B1207">
            <v>36.21</v>
          </cell>
        </row>
        <row r="1208">
          <cell r="A1208">
            <v>33140</v>
          </cell>
          <cell r="B1208">
            <v>39.049999999999997</v>
          </cell>
        </row>
        <row r="1209">
          <cell r="A1209">
            <v>33141</v>
          </cell>
          <cell r="B1209">
            <v>38.33</v>
          </cell>
        </row>
        <row r="1210">
          <cell r="A1210">
            <v>33142</v>
          </cell>
          <cell r="B1210">
            <v>39.119999999999997</v>
          </cell>
        </row>
        <row r="1211">
          <cell r="A1211">
            <v>33143</v>
          </cell>
          <cell r="B1211">
            <v>39.770000000000003</v>
          </cell>
        </row>
        <row r="1212">
          <cell r="A1212">
            <v>33144</v>
          </cell>
          <cell r="B1212">
            <v>39.53</v>
          </cell>
        </row>
        <row r="1213">
          <cell r="A1213">
            <v>33147</v>
          </cell>
          <cell r="B1213">
            <v>37.08</v>
          </cell>
        </row>
        <row r="1214">
          <cell r="A1214">
            <v>33148</v>
          </cell>
          <cell r="B1214">
            <v>34.43</v>
          </cell>
        </row>
        <row r="1215">
          <cell r="A1215">
            <v>33149</v>
          </cell>
          <cell r="B1215">
            <v>37.04</v>
          </cell>
        </row>
        <row r="1216">
          <cell r="A1216">
            <v>33150</v>
          </cell>
          <cell r="B1216">
            <v>36.76</v>
          </cell>
        </row>
        <row r="1217">
          <cell r="A1217">
            <v>33151</v>
          </cell>
          <cell r="B1217">
            <v>37.869999999999997</v>
          </cell>
        </row>
        <row r="1218">
          <cell r="A1218">
            <v>33154</v>
          </cell>
          <cell r="B1218">
            <v>38.880000000000003</v>
          </cell>
        </row>
        <row r="1219">
          <cell r="A1219">
            <v>33155</v>
          </cell>
          <cell r="B1219">
            <v>40.729999999999997</v>
          </cell>
        </row>
        <row r="1220">
          <cell r="A1220">
            <v>33156</v>
          </cell>
          <cell r="B1220">
            <v>39.299999999999997</v>
          </cell>
        </row>
        <row r="1221">
          <cell r="A1221">
            <v>33157</v>
          </cell>
          <cell r="B1221">
            <v>41.07</v>
          </cell>
        </row>
        <row r="1222">
          <cell r="A1222">
            <v>33158</v>
          </cell>
          <cell r="B1222">
            <v>39.42</v>
          </cell>
        </row>
        <row r="1223">
          <cell r="A1223">
            <v>33161</v>
          </cell>
          <cell r="B1223">
            <v>38</v>
          </cell>
        </row>
        <row r="1224">
          <cell r="A1224">
            <v>33162</v>
          </cell>
          <cell r="B1224">
            <v>39.340000000000003</v>
          </cell>
        </row>
        <row r="1225">
          <cell r="A1225">
            <v>33163</v>
          </cell>
          <cell r="B1225">
            <v>36.03</v>
          </cell>
        </row>
        <row r="1226">
          <cell r="A1226">
            <v>33164</v>
          </cell>
          <cell r="B1226">
            <v>37.03</v>
          </cell>
        </row>
        <row r="1227">
          <cell r="A1227">
            <v>33165</v>
          </cell>
          <cell r="B1227">
            <v>33.82</v>
          </cell>
        </row>
        <row r="1228">
          <cell r="A1228">
            <v>33168</v>
          </cell>
          <cell r="B1228">
            <v>28.46</v>
          </cell>
        </row>
        <row r="1229">
          <cell r="A1229">
            <v>33169</v>
          </cell>
          <cell r="B1229">
            <v>29.95</v>
          </cell>
        </row>
        <row r="1230">
          <cell r="A1230">
            <v>33170</v>
          </cell>
          <cell r="B1230">
            <v>30.8</v>
          </cell>
        </row>
        <row r="1231">
          <cell r="A1231">
            <v>33171</v>
          </cell>
          <cell r="B1231">
            <v>34.35</v>
          </cell>
        </row>
        <row r="1232">
          <cell r="A1232">
            <v>33172</v>
          </cell>
          <cell r="B1232">
            <v>33.03</v>
          </cell>
        </row>
        <row r="1233">
          <cell r="A1233">
            <v>33175</v>
          </cell>
          <cell r="B1233">
            <v>35.28</v>
          </cell>
        </row>
        <row r="1234">
          <cell r="A1234">
            <v>33176</v>
          </cell>
          <cell r="B1234">
            <v>34.93</v>
          </cell>
        </row>
        <row r="1235">
          <cell r="A1235">
            <v>33177</v>
          </cell>
          <cell r="B1235">
            <v>35.31</v>
          </cell>
        </row>
        <row r="1236">
          <cell r="A1236">
            <v>33178</v>
          </cell>
          <cell r="B1236">
            <v>35.299999999999997</v>
          </cell>
        </row>
        <row r="1237">
          <cell r="A1237">
            <v>33179</v>
          </cell>
          <cell r="B1237">
            <v>33.950000000000003</v>
          </cell>
        </row>
        <row r="1238">
          <cell r="A1238">
            <v>33182</v>
          </cell>
          <cell r="B1238">
            <v>32.049999999999997</v>
          </cell>
        </row>
        <row r="1239">
          <cell r="A1239">
            <v>33183</v>
          </cell>
          <cell r="B1239">
            <v>32.409999999999997</v>
          </cell>
        </row>
        <row r="1240">
          <cell r="A1240">
            <v>33184</v>
          </cell>
          <cell r="B1240">
            <v>35.479999999999997</v>
          </cell>
        </row>
        <row r="1241">
          <cell r="A1241">
            <v>33185</v>
          </cell>
          <cell r="B1241">
            <v>35.61</v>
          </cell>
        </row>
        <row r="1242">
          <cell r="A1242">
            <v>33186</v>
          </cell>
          <cell r="B1242">
            <v>33.909999999999997</v>
          </cell>
        </row>
        <row r="1243">
          <cell r="A1243">
            <v>33189</v>
          </cell>
          <cell r="B1243">
            <v>32.08</v>
          </cell>
        </row>
        <row r="1244">
          <cell r="A1244">
            <v>33190</v>
          </cell>
          <cell r="B1244">
            <v>33.299999999999997</v>
          </cell>
        </row>
        <row r="1245">
          <cell r="A1245">
            <v>33191</v>
          </cell>
          <cell r="B1245">
            <v>31.18</v>
          </cell>
        </row>
        <row r="1246">
          <cell r="A1246">
            <v>33192</v>
          </cell>
          <cell r="B1246">
            <v>31.05</v>
          </cell>
        </row>
        <row r="1247">
          <cell r="A1247">
            <v>33193</v>
          </cell>
          <cell r="B1247">
            <v>29.91</v>
          </cell>
        </row>
        <row r="1248">
          <cell r="A1248">
            <v>33196</v>
          </cell>
          <cell r="B1248">
            <v>31.45</v>
          </cell>
        </row>
        <row r="1249">
          <cell r="A1249">
            <v>33197</v>
          </cell>
          <cell r="B1249">
            <v>29.5</v>
          </cell>
        </row>
        <row r="1250">
          <cell r="A1250">
            <v>33198</v>
          </cell>
          <cell r="B1250">
            <v>30.08</v>
          </cell>
        </row>
        <row r="1251">
          <cell r="A1251">
            <v>33199</v>
          </cell>
          <cell r="B1251">
            <v>30.08</v>
          </cell>
        </row>
        <row r="1252">
          <cell r="A1252">
            <v>33200</v>
          </cell>
          <cell r="B1252">
            <v>32.35</v>
          </cell>
        </row>
        <row r="1253">
          <cell r="A1253">
            <v>33203</v>
          </cell>
          <cell r="B1253">
            <v>33.28</v>
          </cell>
        </row>
        <row r="1254">
          <cell r="A1254">
            <v>33204</v>
          </cell>
          <cell r="B1254">
            <v>33.049999999999997</v>
          </cell>
        </row>
        <row r="1255">
          <cell r="A1255">
            <v>33205</v>
          </cell>
          <cell r="B1255">
            <v>33.28</v>
          </cell>
        </row>
        <row r="1256">
          <cell r="A1256">
            <v>33206</v>
          </cell>
          <cell r="B1256">
            <v>32.93</v>
          </cell>
        </row>
        <row r="1257">
          <cell r="A1257">
            <v>33207</v>
          </cell>
          <cell r="B1257">
            <v>29.08</v>
          </cell>
        </row>
        <row r="1258">
          <cell r="A1258">
            <v>33210</v>
          </cell>
          <cell r="B1258">
            <v>29.4</v>
          </cell>
        </row>
        <row r="1259">
          <cell r="A1259">
            <v>33211</v>
          </cell>
          <cell r="B1259">
            <v>29.05</v>
          </cell>
        </row>
        <row r="1260">
          <cell r="A1260">
            <v>33212</v>
          </cell>
          <cell r="B1260">
            <v>27.18</v>
          </cell>
        </row>
        <row r="1261">
          <cell r="A1261">
            <v>33213</v>
          </cell>
          <cell r="B1261">
            <v>26.35</v>
          </cell>
        </row>
        <row r="1262">
          <cell r="A1262">
            <v>33214</v>
          </cell>
          <cell r="B1262">
            <v>26.61</v>
          </cell>
        </row>
        <row r="1263">
          <cell r="A1263">
            <v>33217</v>
          </cell>
          <cell r="B1263">
            <v>27.08</v>
          </cell>
        </row>
        <row r="1264">
          <cell r="A1264">
            <v>33218</v>
          </cell>
          <cell r="B1264">
            <v>26.5</v>
          </cell>
        </row>
        <row r="1265">
          <cell r="A1265">
            <v>33219</v>
          </cell>
          <cell r="B1265">
            <v>25.3</v>
          </cell>
        </row>
        <row r="1266">
          <cell r="A1266">
            <v>33220</v>
          </cell>
          <cell r="B1266">
            <v>26.45</v>
          </cell>
        </row>
        <row r="1267">
          <cell r="A1267">
            <v>33221</v>
          </cell>
          <cell r="B1267">
            <v>26.6</v>
          </cell>
        </row>
        <row r="1268">
          <cell r="A1268">
            <v>33224</v>
          </cell>
          <cell r="B1268">
            <v>27.1</v>
          </cell>
        </row>
        <row r="1269">
          <cell r="A1269">
            <v>33225</v>
          </cell>
          <cell r="B1269">
            <v>27.85</v>
          </cell>
        </row>
        <row r="1270">
          <cell r="A1270">
            <v>33226</v>
          </cell>
          <cell r="B1270">
            <v>28.26</v>
          </cell>
        </row>
        <row r="1271">
          <cell r="A1271">
            <v>33227</v>
          </cell>
          <cell r="B1271">
            <v>27.5</v>
          </cell>
        </row>
        <row r="1272">
          <cell r="A1272">
            <v>33228</v>
          </cell>
          <cell r="B1272">
            <v>27.08</v>
          </cell>
        </row>
        <row r="1273">
          <cell r="A1273">
            <v>33231</v>
          </cell>
          <cell r="B1273">
            <v>26.95</v>
          </cell>
        </row>
        <row r="1274">
          <cell r="A1274">
            <v>33233</v>
          </cell>
          <cell r="B1274">
            <v>27.35</v>
          </cell>
        </row>
        <row r="1275">
          <cell r="A1275">
            <v>33234</v>
          </cell>
          <cell r="B1275">
            <v>26.95</v>
          </cell>
        </row>
        <row r="1276">
          <cell r="A1276">
            <v>33235</v>
          </cell>
          <cell r="B1276">
            <v>27.58</v>
          </cell>
        </row>
        <row r="1277">
          <cell r="A1277">
            <v>33238</v>
          </cell>
          <cell r="B1277">
            <v>28.48</v>
          </cell>
        </row>
        <row r="1278">
          <cell r="A1278">
            <v>33240</v>
          </cell>
          <cell r="B1278">
            <v>26.53</v>
          </cell>
        </row>
        <row r="1279">
          <cell r="A1279">
            <v>33241</v>
          </cell>
          <cell r="B1279">
            <v>25.61</v>
          </cell>
        </row>
        <row r="1280">
          <cell r="A1280">
            <v>33242</v>
          </cell>
          <cell r="B1280">
            <v>24.88</v>
          </cell>
        </row>
        <row r="1281">
          <cell r="A1281">
            <v>33245</v>
          </cell>
          <cell r="B1281">
            <v>27.25</v>
          </cell>
        </row>
        <row r="1282">
          <cell r="A1282">
            <v>33246</v>
          </cell>
          <cell r="B1282">
            <v>27.5</v>
          </cell>
        </row>
        <row r="1283">
          <cell r="A1283">
            <v>33247</v>
          </cell>
          <cell r="B1283">
            <v>28</v>
          </cell>
        </row>
        <row r="1284">
          <cell r="A1284">
            <v>33248</v>
          </cell>
          <cell r="B1284">
            <v>27.55</v>
          </cell>
        </row>
        <row r="1285">
          <cell r="A1285">
            <v>33249</v>
          </cell>
          <cell r="B1285">
            <v>27.43</v>
          </cell>
        </row>
        <row r="1286">
          <cell r="A1286">
            <v>33252</v>
          </cell>
          <cell r="B1286">
            <v>30.13</v>
          </cell>
        </row>
        <row r="1287">
          <cell r="A1287">
            <v>33253</v>
          </cell>
          <cell r="B1287">
            <v>30.35</v>
          </cell>
        </row>
        <row r="1288">
          <cell r="A1288">
            <v>33254</v>
          </cell>
          <cell r="B1288">
            <v>32.25</v>
          </cell>
        </row>
        <row r="1289">
          <cell r="A1289">
            <v>33255</v>
          </cell>
          <cell r="B1289">
            <v>21.48</v>
          </cell>
        </row>
        <row r="1290">
          <cell r="A1290">
            <v>33256</v>
          </cell>
          <cell r="B1290">
            <v>20.05</v>
          </cell>
        </row>
        <row r="1291">
          <cell r="A1291">
            <v>33259</v>
          </cell>
          <cell r="B1291">
            <v>21.63</v>
          </cell>
        </row>
        <row r="1292">
          <cell r="A1292">
            <v>33260</v>
          </cell>
          <cell r="B1292">
            <v>24.91</v>
          </cell>
        </row>
        <row r="1293">
          <cell r="A1293">
            <v>33261</v>
          </cell>
          <cell r="B1293">
            <v>24.08</v>
          </cell>
        </row>
        <row r="1294">
          <cell r="A1294">
            <v>33262</v>
          </cell>
          <cell r="B1294">
            <v>25.63</v>
          </cell>
        </row>
        <row r="1295">
          <cell r="A1295">
            <v>33263</v>
          </cell>
          <cell r="B1295">
            <v>24.15</v>
          </cell>
        </row>
        <row r="1296">
          <cell r="A1296">
            <v>33266</v>
          </cell>
          <cell r="B1296">
            <v>21.03</v>
          </cell>
        </row>
        <row r="1297">
          <cell r="A1297">
            <v>33267</v>
          </cell>
          <cell r="B1297">
            <v>21.73</v>
          </cell>
        </row>
        <row r="1298">
          <cell r="A1298">
            <v>33268</v>
          </cell>
          <cell r="B1298">
            <v>21.08</v>
          </cell>
        </row>
        <row r="1299">
          <cell r="A1299">
            <v>33269</v>
          </cell>
          <cell r="B1299">
            <v>21.9</v>
          </cell>
        </row>
        <row r="1300">
          <cell r="A1300">
            <v>33270</v>
          </cell>
          <cell r="B1300">
            <v>21.33</v>
          </cell>
        </row>
        <row r="1301">
          <cell r="A1301">
            <v>33273</v>
          </cell>
          <cell r="B1301">
            <v>21.23</v>
          </cell>
        </row>
        <row r="1302">
          <cell r="A1302">
            <v>33274</v>
          </cell>
          <cell r="B1302">
            <v>20.7</v>
          </cell>
        </row>
        <row r="1303">
          <cell r="A1303">
            <v>33275</v>
          </cell>
          <cell r="B1303">
            <v>21.48</v>
          </cell>
        </row>
        <row r="1304">
          <cell r="A1304">
            <v>33276</v>
          </cell>
          <cell r="B1304">
            <v>21.33</v>
          </cell>
        </row>
        <row r="1305">
          <cell r="A1305">
            <v>33277</v>
          </cell>
          <cell r="B1305">
            <v>21.78</v>
          </cell>
        </row>
        <row r="1306">
          <cell r="A1306">
            <v>33280</v>
          </cell>
          <cell r="B1306">
            <v>22.44</v>
          </cell>
        </row>
        <row r="1307">
          <cell r="A1307">
            <v>33281</v>
          </cell>
          <cell r="B1307">
            <v>22.78</v>
          </cell>
        </row>
        <row r="1308">
          <cell r="A1308">
            <v>33282</v>
          </cell>
          <cell r="B1308">
            <v>22.38</v>
          </cell>
        </row>
        <row r="1309">
          <cell r="A1309">
            <v>33283</v>
          </cell>
          <cell r="B1309">
            <v>22.25</v>
          </cell>
        </row>
        <row r="1310">
          <cell r="A1310">
            <v>33284</v>
          </cell>
          <cell r="B1310">
            <v>20.73</v>
          </cell>
        </row>
        <row r="1311">
          <cell r="A1311">
            <v>33287</v>
          </cell>
          <cell r="B1311">
            <v>20.73</v>
          </cell>
        </row>
        <row r="1312">
          <cell r="A1312">
            <v>33288</v>
          </cell>
          <cell r="B1312">
            <v>20.079999999999998</v>
          </cell>
        </row>
        <row r="1313">
          <cell r="A1313">
            <v>33289</v>
          </cell>
          <cell r="B1313">
            <v>20.18</v>
          </cell>
        </row>
        <row r="1314">
          <cell r="A1314">
            <v>33290</v>
          </cell>
          <cell r="B1314">
            <v>18.48</v>
          </cell>
        </row>
        <row r="1315">
          <cell r="A1315">
            <v>33291</v>
          </cell>
          <cell r="B1315">
            <v>17.43</v>
          </cell>
        </row>
        <row r="1316">
          <cell r="A1316">
            <v>33294</v>
          </cell>
          <cell r="B1316">
            <v>17.43</v>
          </cell>
        </row>
        <row r="1317">
          <cell r="A1317">
            <v>33295</v>
          </cell>
          <cell r="B1317">
            <v>18.48</v>
          </cell>
        </row>
        <row r="1318">
          <cell r="A1318">
            <v>33296</v>
          </cell>
          <cell r="B1318">
            <v>19.03</v>
          </cell>
        </row>
        <row r="1319">
          <cell r="A1319">
            <v>33297</v>
          </cell>
          <cell r="B1319">
            <v>19.28</v>
          </cell>
        </row>
        <row r="1320">
          <cell r="A1320">
            <v>33298</v>
          </cell>
          <cell r="B1320">
            <v>19.43</v>
          </cell>
        </row>
        <row r="1321">
          <cell r="A1321">
            <v>33301</v>
          </cell>
          <cell r="B1321">
            <v>20.329999999999998</v>
          </cell>
        </row>
        <row r="1322">
          <cell r="A1322">
            <v>33302</v>
          </cell>
          <cell r="B1322">
            <v>20.5</v>
          </cell>
        </row>
        <row r="1323">
          <cell r="A1323">
            <v>33303</v>
          </cell>
          <cell r="B1323">
            <v>19.78</v>
          </cell>
        </row>
        <row r="1324">
          <cell r="A1324">
            <v>33304</v>
          </cell>
          <cell r="B1324">
            <v>19.329999999999998</v>
          </cell>
        </row>
        <row r="1325">
          <cell r="A1325">
            <v>33305</v>
          </cell>
          <cell r="B1325">
            <v>19.34</v>
          </cell>
        </row>
        <row r="1326">
          <cell r="A1326">
            <v>33308</v>
          </cell>
          <cell r="B1326">
            <v>19</v>
          </cell>
        </row>
        <row r="1327">
          <cell r="A1327">
            <v>33309</v>
          </cell>
          <cell r="B1327">
            <v>20.059999999999999</v>
          </cell>
        </row>
        <row r="1328">
          <cell r="A1328">
            <v>33310</v>
          </cell>
          <cell r="B1328">
            <v>20.48</v>
          </cell>
        </row>
        <row r="1329">
          <cell r="A1329">
            <v>33311</v>
          </cell>
          <cell r="B1329">
            <v>20.05</v>
          </cell>
        </row>
        <row r="1330">
          <cell r="A1330">
            <v>33312</v>
          </cell>
          <cell r="B1330">
            <v>19.88</v>
          </cell>
        </row>
        <row r="1331">
          <cell r="A1331">
            <v>33315</v>
          </cell>
          <cell r="B1331">
            <v>19.78</v>
          </cell>
        </row>
        <row r="1332">
          <cell r="A1332">
            <v>33316</v>
          </cell>
          <cell r="B1332">
            <v>20.68</v>
          </cell>
        </row>
        <row r="1333">
          <cell r="A1333">
            <v>33317</v>
          </cell>
          <cell r="B1333">
            <v>20.399999999999999</v>
          </cell>
        </row>
        <row r="1334">
          <cell r="A1334">
            <v>33318</v>
          </cell>
          <cell r="B1334">
            <v>20.78</v>
          </cell>
        </row>
        <row r="1335">
          <cell r="A1335">
            <v>33319</v>
          </cell>
          <cell r="B1335">
            <v>19.88</v>
          </cell>
        </row>
        <row r="1336">
          <cell r="A1336">
            <v>33322</v>
          </cell>
          <cell r="B1336">
            <v>19.47</v>
          </cell>
        </row>
        <row r="1337">
          <cell r="A1337">
            <v>33323</v>
          </cell>
          <cell r="B1337">
            <v>19.78</v>
          </cell>
        </row>
        <row r="1338">
          <cell r="A1338">
            <v>33324</v>
          </cell>
          <cell r="B1338">
            <v>19.45</v>
          </cell>
        </row>
        <row r="1339">
          <cell r="A1339">
            <v>33325</v>
          </cell>
          <cell r="B1339">
            <v>19.63</v>
          </cell>
        </row>
        <row r="1340">
          <cell r="A1340">
            <v>33329</v>
          </cell>
          <cell r="B1340">
            <v>19.28</v>
          </cell>
        </row>
        <row r="1341">
          <cell r="A1341">
            <v>33330</v>
          </cell>
          <cell r="B1341">
            <v>19.38</v>
          </cell>
        </row>
        <row r="1342">
          <cell r="A1342">
            <v>33331</v>
          </cell>
          <cell r="B1342">
            <v>19.48</v>
          </cell>
        </row>
        <row r="1343">
          <cell r="A1343">
            <v>33332</v>
          </cell>
          <cell r="B1343">
            <v>19.98</v>
          </cell>
        </row>
        <row r="1344">
          <cell r="A1344">
            <v>33333</v>
          </cell>
          <cell r="B1344">
            <v>20.03</v>
          </cell>
        </row>
        <row r="1345">
          <cell r="A1345">
            <v>33336</v>
          </cell>
          <cell r="B1345">
            <v>20.28</v>
          </cell>
        </row>
        <row r="1346">
          <cell r="A1346">
            <v>33337</v>
          </cell>
          <cell r="B1346">
            <v>20.58</v>
          </cell>
        </row>
        <row r="1347">
          <cell r="A1347">
            <v>33338</v>
          </cell>
          <cell r="B1347">
            <v>21.08</v>
          </cell>
        </row>
        <row r="1348">
          <cell r="A1348">
            <v>33339</v>
          </cell>
          <cell r="B1348">
            <v>20.98</v>
          </cell>
        </row>
        <row r="1349">
          <cell r="A1349">
            <v>33340</v>
          </cell>
          <cell r="B1349">
            <v>21.54</v>
          </cell>
        </row>
        <row r="1350">
          <cell r="A1350">
            <v>33343</v>
          </cell>
          <cell r="B1350">
            <v>21.85</v>
          </cell>
        </row>
        <row r="1351">
          <cell r="A1351">
            <v>33344</v>
          </cell>
          <cell r="B1351">
            <v>21.6</v>
          </cell>
        </row>
        <row r="1352">
          <cell r="A1352">
            <v>33345</v>
          </cell>
          <cell r="B1352">
            <v>21.73</v>
          </cell>
        </row>
        <row r="1353">
          <cell r="A1353">
            <v>33346</v>
          </cell>
          <cell r="B1353">
            <v>21.08</v>
          </cell>
        </row>
        <row r="1354">
          <cell r="A1354">
            <v>33347</v>
          </cell>
          <cell r="B1354">
            <v>21.16</v>
          </cell>
        </row>
        <row r="1355">
          <cell r="A1355">
            <v>33350</v>
          </cell>
          <cell r="B1355">
            <v>21.68</v>
          </cell>
        </row>
        <row r="1356">
          <cell r="A1356">
            <v>33351</v>
          </cell>
          <cell r="B1356">
            <v>21.03</v>
          </cell>
        </row>
        <row r="1357">
          <cell r="A1357">
            <v>33352</v>
          </cell>
          <cell r="B1357">
            <v>21</v>
          </cell>
        </row>
        <row r="1358">
          <cell r="A1358">
            <v>33353</v>
          </cell>
          <cell r="B1358">
            <v>20.95</v>
          </cell>
        </row>
        <row r="1359">
          <cell r="A1359">
            <v>33354</v>
          </cell>
          <cell r="B1359">
            <v>21.28</v>
          </cell>
        </row>
        <row r="1360">
          <cell r="A1360">
            <v>33357</v>
          </cell>
          <cell r="B1360">
            <v>21.3</v>
          </cell>
        </row>
        <row r="1361">
          <cell r="A1361">
            <v>33358</v>
          </cell>
          <cell r="B1361">
            <v>20.99</v>
          </cell>
        </row>
        <row r="1362">
          <cell r="A1362">
            <v>33359</v>
          </cell>
          <cell r="B1362">
            <v>21.28</v>
          </cell>
        </row>
        <row r="1363">
          <cell r="A1363">
            <v>33360</v>
          </cell>
          <cell r="B1363">
            <v>21.17</v>
          </cell>
        </row>
        <row r="1364">
          <cell r="A1364">
            <v>33361</v>
          </cell>
          <cell r="B1364">
            <v>21.43</v>
          </cell>
        </row>
        <row r="1365">
          <cell r="A1365">
            <v>33364</v>
          </cell>
          <cell r="B1365">
            <v>21.73</v>
          </cell>
        </row>
        <row r="1366">
          <cell r="A1366">
            <v>33365</v>
          </cell>
          <cell r="B1366">
            <v>21.72</v>
          </cell>
        </row>
        <row r="1367">
          <cell r="A1367">
            <v>33366</v>
          </cell>
          <cell r="B1367">
            <v>21.83</v>
          </cell>
        </row>
        <row r="1368">
          <cell r="A1368">
            <v>33367</v>
          </cell>
          <cell r="B1368">
            <v>21.92</v>
          </cell>
        </row>
        <row r="1369">
          <cell r="A1369">
            <v>33368</v>
          </cell>
          <cell r="B1369">
            <v>21.25</v>
          </cell>
        </row>
        <row r="1370">
          <cell r="A1370">
            <v>33371</v>
          </cell>
          <cell r="B1370">
            <v>20.89</v>
          </cell>
        </row>
        <row r="1371">
          <cell r="A1371">
            <v>33372</v>
          </cell>
          <cell r="B1371">
            <v>20.73</v>
          </cell>
        </row>
        <row r="1372">
          <cell r="A1372">
            <v>33373</v>
          </cell>
          <cell r="B1372">
            <v>21.04</v>
          </cell>
        </row>
        <row r="1373">
          <cell r="A1373">
            <v>33374</v>
          </cell>
          <cell r="B1373">
            <v>20.91</v>
          </cell>
        </row>
        <row r="1374">
          <cell r="A1374">
            <v>33375</v>
          </cell>
          <cell r="B1374">
            <v>21.19</v>
          </cell>
        </row>
        <row r="1375">
          <cell r="A1375">
            <v>33378</v>
          </cell>
          <cell r="B1375">
            <v>21.39</v>
          </cell>
        </row>
        <row r="1376">
          <cell r="A1376">
            <v>33379</v>
          </cell>
          <cell r="B1376">
            <v>20.95</v>
          </cell>
        </row>
        <row r="1377">
          <cell r="A1377">
            <v>33380</v>
          </cell>
          <cell r="B1377">
            <v>20.85</v>
          </cell>
        </row>
        <row r="1378">
          <cell r="A1378">
            <v>33381</v>
          </cell>
          <cell r="B1378">
            <v>20.95</v>
          </cell>
        </row>
        <row r="1379">
          <cell r="A1379">
            <v>33382</v>
          </cell>
          <cell r="B1379">
            <v>21.04</v>
          </cell>
        </row>
        <row r="1380">
          <cell r="A1380">
            <v>33386</v>
          </cell>
          <cell r="B1380">
            <v>21.34</v>
          </cell>
        </row>
        <row r="1381">
          <cell r="A1381">
            <v>33387</v>
          </cell>
          <cell r="B1381">
            <v>21.04</v>
          </cell>
        </row>
        <row r="1382">
          <cell r="A1382">
            <v>33388</v>
          </cell>
          <cell r="B1382">
            <v>21.3</v>
          </cell>
        </row>
        <row r="1383">
          <cell r="A1383">
            <v>33389</v>
          </cell>
          <cell r="B1383">
            <v>21.16</v>
          </cell>
        </row>
        <row r="1384">
          <cell r="A1384">
            <v>33392</v>
          </cell>
          <cell r="B1384">
            <v>21.16</v>
          </cell>
        </row>
        <row r="1385">
          <cell r="A1385">
            <v>33393</v>
          </cell>
          <cell r="B1385">
            <v>20.9</v>
          </cell>
        </row>
        <row r="1386">
          <cell r="A1386">
            <v>33394</v>
          </cell>
          <cell r="B1386">
            <v>20.45</v>
          </cell>
        </row>
        <row r="1387">
          <cell r="A1387">
            <v>33395</v>
          </cell>
          <cell r="B1387">
            <v>20.38</v>
          </cell>
        </row>
        <row r="1388">
          <cell r="A1388">
            <v>33396</v>
          </cell>
          <cell r="B1388">
            <v>20.28</v>
          </cell>
        </row>
        <row r="1389">
          <cell r="A1389">
            <v>33399</v>
          </cell>
          <cell r="B1389">
            <v>19.84</v>
          </cell>
        </row>
        <row r="1390">
          <cell r="A1390">
            <v>33400</v>
          </cell>
          <cell r="B1390">
            <v>19.850000000000001</v>
          </cell>
        </row>
        <row r="1391">
          <cell r="A1391">
            <v>33401</v>
          </cell>
          <cell r="B1391">
            <v>20.079999999999998</v>
          </cell>
        </row>
        <row r="1392">
          <cell r="A1392">
            <v>33402</v>
          </cell>
          <cell r="B1392">
            <v>19.71</v>
          </cell>
        </row>
        <row r="1393">
          <cell r="A1393">
            <v>33403</v>
          </cell>
          <cell r="B1393">
            <v>19.7</v>
          </cell>
        </row>
        <row r="1394">
          <cell r="A1394">
            <v>33406</v>
          </cell>
          <cell r="B1394">
            <v>19.97</v>
          </cell>
        </row>
        <row r="1395">
          <cell r="A1395">
            <v>33407</v>
          </cell>
          <cell r="B1395">
            <v>20.11</v>
          </cell>
        </row>
        <row r="1396">
          <cell r="A1396">
            <v>33408</v>
          </cell>
          <cell r="B1396">
            <v>19.989999999999998</v>
          </cell>
        </row>
        <row r="1397">
          <cell r="A1397">
            <v>33409</v>
          </cell>
          <cell r="B1397">
            <v>20.22</v>
          </cell>
        </row>
        <row r="1398">
          <cell r="A1398">
            <v>33410</v>
          </cell>
          <cell r="B1398">
            <v>20.100000000000001</v>
          </cell>
        </row>
        <row r="1399">
          <cell r="A1399">
            <v>33413</v>
          </cell>
          <cell r="B1399">
            <v>19.920000000000002</v>
          </cell>
        </row>
        <row r="1400">
          <cell r="A1400">
            <v>33414</v>
          </cell>
          <cell r="B1400">
            <v>20.03</v>
          </cell>
        </row>
        <row r="1401">
          <cell r="A1401">
            <v>33415</v>
          </cell>
          <cell r="B1401">
            <v>20.12</v>
          </cell>
        </row>
        <row r="1402">
          <cell r="A1402">
            <v>33416</v>
          </cell>
          <cell r="B1402">
            <v>20.41</v>
          </cell>
        </row>
        <row r="1403">
          <cell r="A1403">
            <v>33417</v>
          </cell>
          <cell r="B1403">
            <v>20.56</v>
          </cell>
        </row>
        <row r="1404">
          <cell r="A1404">
            <v>33420</v>
          </cell>
          <cell r="B1404">
            <v>20.78</v>
          </cell>
        </row>
        <row r="1405">
          <cell r="A1405">
            <v>33421</v>
          </cell>
          <cell r="B1405">
            <v>20.92</v>
          </cell>
        </row>
        <row r="1406">
          <cell r="A1406">
            <v>33422</v>
          </cell>
          <cell r="B1406">
            <v>20.69</v>
          </cell>
        </row>
        <row r="1407">
          <cell r="A1407">
            <v>33423</v>
          </cell>
          <cell r="B1407">
            <v>20.69</v>
          </cell>
        </row>
        <row r="1408">
          <cell r="A1408">
            <v>33424</v>
          </cell>
          <cell r="B1408">
            <v>20.91</v>
          </cell>
        </row>
        <row r="1409">
          <cell r="A1409">
            <v>33427</v>
          </cell>
          <cell r="B1409">
            <v>21.29</v>
          </cell>
        </row>
        <row r="1410">
          <cell r="A1410">
            <v>33428</v>
          </cell>
          <cell r="B1410">
            <v>21.35</v>
          </cell>
        </row>
        <row r="1411">
          <cell r="A1411">
            <v>33429</v>
          </cell>
          <cell r="B1411">
            <v>21.43</v>
          </cell>
        </row>
        <row r="1412">
          <cell r="A1412">
            <v>33430</v>
          </cell>
          <cell r="B1412">
            <v>21.32</v>
          </cell>
        </row>
        <row r="1413">
          <cell r="A1413">
            <v>33431</v>
          </cell>
          <cell r="B1413">
            <v>21.74</v>
          </cell>
        </row>
        <row r="1414">
          <cell r="A1414">
            <v>33434</v>
          </cell>
          <cell r="B1414">
            <v>21.5</v>
          </cell>
        </row>
        <row r="1415">
          <cell r="A1415">
            <v>33435</v>
          </cell>
          <cell r="B1415">
            <v>21.7</v>
          </cell>
        </row>
        <row r="1416">
          <cell r="A1416">
            <v>33436</v>
          </cell>
          <cell r="B1416">
            <v>22.2</v>
          </cell>
        </row>
        <row r="1417">
          <cell r="A1417">
            <v>33437</v>
          </cell>
          <cell r="B1417">
            <v>21.97</v>
          </cell>
        </row>
        <row r="1418">
          <cell r="A1418">
            <v>33438</v>
          </cell>
          <cell r="B1418">
            <v>22.16</v>
          </cell>
        </row>
        <row r="1419">
          <cell r="A1419">
            <v>33441</v>
          </cell>
          <cell r="B1419">
            <v>21.74</v>
          </cell>
        </row>
        <row r="1420">
          <cell r="A1420">
            <v>33442</v>
          </cell>
          <cell r="B1420">
            <v>21.25</v>
          </cell>
        </row>
        <row r="1421">
          <cell r="A1421">
            <v>33443</v>
          </cell>
          <cell r="B1421">
            <v>21.41</v>
          </cell>
        </row>
        <row r="1422">
          <cell r="A1422">
            <v>33444</v>
          </cell>
          <cell r="B1422">
            <v>21.11</v>
          </cell>
        </row>
        <row r="1423">
          <cell r="A1423">
            <v>33445</v>
          </cell>
          <cell r="B1423">
            <v>21.48</v>
          </cell>
        </row>
        <row r="1424">
          <cell r="A1424">
            <v>33448</v>
          </cell>
          <cell r="B1424">
            <v>21.38</v>
          </cell>
        </row>
        <row r="1425">
          <cell r="A1425">
            <v>33449</v>
          </cell>
          <cell r="B1425">
            <v>21.55</v>
          </cell>
        </row>
        <row r="1426">
          <cell r="A1426">
            <v>33450</v>
          </cell>
          <cell r="B1426">
            <v>21.7</v>
          </cell>
        </row>
        <row r="1427">
          <cell r="A1427">
            <v>33451</v>
          </cell>
          <cell r="B1427">
            <v>21.33</v>
          </cell>
        </row>
        <row r="1428">
          <cell r="A1428">
            <v>33452</v>
          </cell>
          <cell r="B1428">
            <v>21.35</v>
          </cell>
        </row>
        <row r="1429">
          <cell r="A1429">
            <v>33455</v>
          </cell>
          <cell r="B1429">
            <v>21.5</v>
          </cell>
        </row>
        <row r="1430">
          <cell r="A1430">
            <v>33456</v>
          </cell>
          <cell r="B1430">
            <v>21.39</v>
          </cell>
        </row>
        <row r="1431">
          <cell r="A1431">
            <v>33457</v>
          </cell>
          <cell r="B1431">
            <v>21.38</v>
          </cell>
        </row>
        <row r="1432">
          <cell r="A1432">
            <v>33458</v>
          </cell>
          <cell r="B1432">
            <v>21.6</v>
          </cell>
        </row>
        <row r="1433">
          <cell r="A1433">
            <v>33459</v>
          </cell>
          <cell r="B1433">
            <v>21.64</v>
          </cell>
        </row>
        <row r="1434">
          <cell r="A1434">
            <v>33462</v>
          </cell>
          <cell r="B1434">
            <v>21.71</v>
          </cell>
        </row>
        <row r="1435">
          <cell r="A1435">
            <v>33463</v>
          </cell>
          <cell r="B1435">
            <v>21.52</v>
          </cell>
        </row>
        <row r="1436">
          <cell r="A1436">
            <v>33464</v>
          </cell>
          <cell r="B1436">
            <v>21.3</v>
          </cell>
        </row>
        <row r="1437">
          <cell r="A1437">
            <v>33465</v>
          </cell>
          <cell r="B1437">
            <v>21.39</v>
          </cell>
        </row>
        <row r="1438">
          <cell r="A1438">
            <v>33466</v>
          </cell>
          <cell r="B1438">
            <v>21.29</v>
          </cell>
        </row>
        <row r="1439">
          <cell r="A1439">
            <v>33469</v>
          </cell>
          <cell r="B1439">
            <v>22.5</v>
          </cell>
        </row>
        <row r="1440">
          <cell r="A1440">
            <v>33470</v>
          </cell>
          <cell r="B1440">
            <v>22.3</v>
          </cell>
        </row>
        <row r="1441">
          <cell r="A1441">
            <v>33471</v>
          </cell>
          <cell r="B1441">
            <v>21.44</v>
          </cell>
        </row>
        <row r="1442">
          <cell r="A1442">
            <v>33472</v>
          </cell>
          <cell r="B1442">
            <v>21.93</v>
          </cell>
        </row>
        <row r="1443">
          <cell r="A1443">
            <v>33473</v>
          </cell>
          <cell r="B1443">
            <v>21.78</v>
          </cell>
        </row>
        <row r="1444">
          <cell r="A1444">
            <v>33476</v>
          </cell>
          <cell r="B1444">
            <v>21.98</v>
          </cell>
        </row>
        <row r="1445">
          <cell r="A1445">
            <v>33477</v>
          </cell>
          <cell r="B1445">
            <v>21.86</v>
          </cell>
        </row>
        <row r="1446">
          <cell r="A1446">
            <v>33478</v>
          </cell>
          <cell r="B1446">
            <v>21.77</v>
          </cell>
        </row>
        <row r="1447">
          <cell r="A1447">
            <v>33479</v>
          </cell>
          <cell r="B1447">
            <v>22.02</v>
          </cell>
        </row>
        <row r="1448">
          <cell r="A1448">
            <v>33480</v>
          </cell>
          <cell r="B1448">
            <v>22.28</v>
          </cell>
        </row>
        <row r="1449">
          <cell r="A1449">
            <v>33484</v>
          </cell>
          <cell r="B1449">
            <v>22.28</v>
          </cell>
        </row>
        <row r="1450">
          <cell r="A1450">
            <v>33485</v>
          </cell>
          <cell r="B1450">
            <v>21.76</v>
          </cell>
        </row>
        <row r="1451">
          <cell r="A1451">
            <v>33486</v>
          </cell>
          <cell r="B1451">
            <v>21.75</v>
          </cell>
        </row>
        <row r="1452">
          <cell r="A1452">
            <v>33487</v>
          </cell>
          <cell r="B1452">
            <v>21.56</v>
          </cell>
        </row>
        <row r="1453">
          <cell r="A1453">
            <v>33490</v>
          </cell>
          <cell r="B1453">
            <v>21.36</v>
          </cell>
        </row>
        <row r="1454">
          <cell r="A1454">
            <v>33491</v>
          </cell>
          <cell r="B1454">
            <v>21.44</v>
          </cell>
        </row>
        <row r="1455">
          <cell r="A1455">
            <v>33492</v>
          </cell>
          <cell r="B1455">
            <v>21.66</v>
          </cell>
        </row>
        <row r="1456">
          <cell r="A1456">
            <v>33493</v>
          </cell>
          <cell r="B1456">
            <v>21.51</v>
          </cell>
        </row>
        <row r="1457">
          <cell r="A1457">
            <v>33494</v>
          </cell>
          <cell r="B1457">
            <v>21.71</v>
          </cell>
        </row>
        <row r="1458">
          <cell r="A1458">
            <v>33497</v>
          </cell>
          <cell r="B1458">
            <v>21.84</v>
          </cell>
        </row>
        <row r="1459">
          <cell r="A1459">
            <v>33498</v>
          </cell>
          <cell r="B1459">
            <v>21.73</v>
          </cell>
        </row>
        <row r="1460">
          <cell r="A1460">
            <v>33499</v>
          </cell>
          <cell r="B1460">
            <v>21.87</v>
          </cell>
        </row>
        <row r="1461">
          <cell r="A1461">
            <v>33500</v>
          </cell>
          <cell r="B1461">
            <v>21.79</v>
          </cell>
        </row>
        <row r="1462">
          <cell r="A1462">
            <v>33501</v>
          </cell>
          <cell r="B1462">
            <v>22.02</v>
          </cell>
        </row>
        <row r="1463">
          <cell r="A1463">
            <v>33504</v>
          </cell>
          <cell r="B1463">
            <v>22.2</v>
          </cell>
        </row>
        <row r="1464">
          <cell r="A1464">
            <v>33505</v>
          </cell>
          <cell r="B1464">
            <v>22.24</v>
          </cell>
        </row>
        <row r="1465">
          <cell r="A1465">
            <v>33506</v>
          </cell>
          <cell r="B1465">
            <v>22.11</v>
          </cell>
        </row>
        <row r="1466">
          <cell r="A1466">
            <v>33507</v>
          </cell>
          <cell r="B1466">
            <v>22.23</v>
          </cell>
        </row>
        <row r="1467">
          <cell r="A1467">
            <v>33508</v>
          </cell>
          <cell r="B1467">
            <v>22.42</v>
          </cell>
        </row>
        <row r="1468">
          <cell r="A1468">
            <v>33511</v>
          </cell>
          <cell r="B1468">
            <v>22.25</v>
          </cell>
        </row>
        <row r="1469">
          <cell r="A1469">
            <v>33512</v>
          </cell>
          <cell r="B1469">
            <v>22.1</v>
          </cell>
        </row>
        <row r="1470">
          <cell r="A1470">
            <v>33513</v>
          </cell>
          <cell r="B1470">
            <v>22.34</v>
          </cell>
        </row>
        <row r="1471">
          <cell r="A1471">
            <v>33514</v>
          </cell>
          <cell r="B1471">
            <v>22.7</v>
          </cell>
        </row>
        <row r="1472">
          <cell r="A1472">
            <v>33515</v>
          </cell>
          <cell r="B1472">
            <v>22.64</v>
          </cell>
        </row>
        <row r="1473">
          <cell r="A1473">
            <v>33518</v>
          </cell>
          <cell r="B1473">
            <v>22.99</v>
          </cell>
        </row>
        <row r="1474">
          <cell r="A1474">
            <v>33519</v>
          </cell>
          <cell r="B1474">
            <v>23.02</v>
          </cell>
        </row>
        <row r="1475">
          <cell r="A1475">
            <v>33520</v>
          </cell>
          <cell r="B1475">
            <v>23.18</v>
          </cell>
        </row>
        <row r="1476">
          <cell r="A1476">
            <v>33521</v>
          </cell>
          <cell r="B1476">
            <v>23.01</v>
          </cell>
        </row>
        <row r="1477">
          <cell r="A1477">
            <v>33522</v>
          </cell>
          <cell r="B1477">
            <v>23.19</v>
          </cell>
        </row>
        <row r="1478">
          <cell r="A1478">
            <v>33525</v>
          </cell>
          <cell r="B1478">
            <v>23.48</v>
          </cell>
        </row>
        <row r="1479">
          <cell r="A1479">
            <v>33526</v>
          </cell>
          <cell r="B1479">
            <v>23.89</v>
          </cell>
        </row>
        <row r="1480">
          <cell r="A1480">
            <v>33527</v>
          </cell>
          <cell r="B1480">
            <v>23.67</v>
          </cell>
        </row>
        <row r="1481">
          <cell r="A1481">
            <v>33528</v>
          </cell>
          <cell r="B1481">
            <v>23.96</v>
          </cell>
        </row>
        <row r="1482">
          <cell r="A1482">
            <v>33529</v>
          </cell>
          <cell r="B1482">
            <v>24.12</v>
          </cell>
        </row>
        <row r="1483">
          <cell r="A1483">
            <v>33532</v>
          </cell>
          <cell r="B1483">
            <v>24.03</v>
          </cell>
        </row>
        <row r="1484">
          <cell r="A1484">
            <v>33533</v>
          </cell>
          <cell r="B1484">
            <v>23.47</v>
          </cell>
        </row>
        <row r="1485">
          <cell r="A1485">
            <v>33534</v>
          </cell>
          <cell r="B1485">
            <v>23.14</v>
          </cell>
        </row>
        <row r="1486">
          <cell r="A1486">
            <v>33535</v>
          </cell>
          <cell r="B1486">
            <v>23.47</v>
          </cell>
        </row>
        <row r="1487">
          <cell r="A1487">
            <v>33536</v>
          </cell>
          <cell r="B1487">
            <v>23.18</v>
          </cell>
        </row>
        <row r="1488">
          <cell r="A1488">
            <v>33539</v>
          </cell>
          <cell r="B1488">
            <v>23.24</v>
          </cell>
        </row>
        <row r="1489">
          <cell r="A1489">
            <v>33540</v>
          </cell>
          <cell r="B1489">
            <v>23.09</v>
          </cell>
        </row>
        <row r="1490">
          <cell r="A1490">
            <v>33541</v>
          </cell>
          <cell r="B1490">
            <v>23.11</v>
          </cell>
        </row>
        <row r="1491">
          <cell r="A1491">
            <v>33542</v>
          </cell>
          <cell r="B1491">
            <v>23.29</v>
          </cell>
        </row>
        <row r="1492">
          <cell r="A1492">
            <v>33543</v>
          </cell>
          <cell r="B1492">
            <v>23.85</v>
          </cell>
        </row>
        <row r="1493">
          <cell r="A1493">
            <v>33546</v>
          </cell>
          <cell r="B1493">
            <v>23.82</v>
          </cell>
        </row>
        <row r="1494">
          <cell r="A1494">
            <v>33547</v>
          </cell>
          <cell r="B1494">
            <v>23.78</v>
          </cell>
        </row>
        <row r="1495">
          <cell r="A1495">
            <v>33548</v>
          </cell>
          <cell r="B1495">
            <v>23.44</v>
          </cell>
        </row>
        <row r="1496">
          <cell r="A1496">
            <v>33549</v>
          </cell>
          <cell r="B1496">
            <v>23.29</v>
          </cell>
        </row>
        <row r="1497">
          <cell r="A1497">
            <v>33550</v>
          </cell>
          <cell r="B1497">
            <v>23</v>
          </cell>
        </row>
        <row r="1498">
          <cell r="A1498">
            <v>33553</v>
          </cell>
          <cell r="B1498">
            <v>22.66</v>
          </cell>
        </row>
        <row r="1499">
          <cell r="A1499">
            <v>33554</v>
          </cell>
          <cell r="B1499">
            <v>22.58</v>
          </cell>
        </row>
        <row r="1500">
          <cell r="A1500">
            <v>33555</v>
          </cell>
          <cell r="B1500">
            <v>22.28</v>
          </cell>
        </row>
        <row r="1501">
          <cell r="A1501">
            <v>33556</v>
          </cell>
          <cell r="B1501">
            <v>22.55</v>
          </cell>
        </row>
        <row r="1502">
          <cell r="A1502">
            <v>33557</v>
          </cell>
          <cell r="B1502">
            <v>22.79</v>
          </cell>
        </row>
        <row r="1503">
          <cell r="A1503">
            <v>33560</v>
          </cell>
          <cell r="B1503">
            <v>22.38</v>
          </cell>
        </row>
        <row r="1504">
          <cell r="A1504">
            <v>33561</v>
          </cell>
          <cell r="B1504">
            <v>21.88</v>
          </cell>
        </row>
        <row r="1505">
          <cell r="A1505">
            <v>33562</v>
          </cell>
          <cell r="B1505">
            <v>22.17</v>
          </cell>
        </row>
        <row r="1506">
          <cell r="A1506">
            <v>33563</v>
          </cell>
          <cell r="B1506">
            <v>21.93</v>
          </cell>
        </row>
        <row r="1507">
          <cell r="A1507">
            <v>33564</v>
          </cell>
          <cell r="B1507">
            <v>21.85</v>
          </cell>
        </row>
        <row r="1508">
          <cell r="A1508">
            <v>33567</v>
          </cell>
          <cell r="B1508">
            <v>22.15</v>
          </cell>
        </row>
        <row r="1509">
          <cell r="A1509">
            <v>33568</v>
          </cell>
          <cell r="B1509">
            <v>21.04</v>
          </cell>
        </row>
        <row r="1510">
          <cell r="A1510">
            <v>33569</v>
          </cell>
          <cell r="B1510">
            <v>21.38</v>
          </cell>
        </row>
        <row r="1511">
          <cell r="A1511">
            <v>33570</v>
          </cell>
          <cell r="B1511">
            <v>21.38</v>
          </cell>
        </row>
        <row r="1512">
          <cell r="A1512">
            <v>33571</v>
          </cell>
          <cell r="B1512">
            <v>21.48</v>
          </cell>
        </row>
        <row r="1513">
          <cell r="A1513">
            <v>33574</v>
          </cell>
          <cell r="B1513">
            <v>21.1</v>
          </cell>
        </row>
        <row r="1514">
          <cell r="A1514">
            <v>33575</v>
          </cell>
          <cell r="B1514">
            <v>20.61</v>
          </cell>
        </row>
        <row r="1515">
          <cell r="A1515">
            <v>33576</v>
          </cell>
          <cell r="B1515">
            <v>20.75</v>
          </cell>
        </row>
        <row r="1516">
          <cell r="A1516">
            <v>33577</v>
          </cell>
          <cell r="B1516">
            <v>20.420000000000002</v>
          </cell>
        </row>
        <row r="1517">
          <cell r="A1517">
            <v>33578</v>
          </cell>
          <cell r="B1517">
            <v>19.87</v>
          </cell>
        </row>
        <row r="1518">
          <cell r="A1518">
            <v>33581</v>
          </cell>
          <cell r="B1518">
            <v>19.39</v>
          </cell>
        </row>
        <row r="1519">
          <cell r="A1519">
            <v>33582</v>
          </cell>
          <cell r="B1519">
            <v>19.239999999999998</v>
          </cell>
        </row>
        <row r="1520">
          <cell r="A1520">
            <v>33583</v>
          </cell>
          <cell r="B1520">
            <v>19.54</v>
          </cell>
        </row>
        <row r="1521">
          <cell r="A1521">
            <v>33584</v>
          </cell>
          <cell r="B1521">
            <v>19.940000000000001</v>
          </cell>
        </row>
        <row r="1522">
          <cell r="A1522">
            <v>33585</v>
          </cell>
          <cell r="B1522">
            <v>20.09</v>
          </cell>
        </row>
        <row r="1523">
          <cell r="A1523">
            <v>33588</v>
          </cell>
          <cell r="B1523">
            <v>19.78</v>
          </cell>
        </row>
        <row r="1524">
          <cell r="A1524">
            <v>33589</v>
          </cell>
          <cell r="B1524">
            <v>19.45</v>
          </cell>
        </row>
        <row r="1525">
          <cell r="A1525">
            <v>33590</v>
          </cell>
          <cell r="B1525">
            <v>19.39</v>
          </cell>
        </row>
        <row r="1526">
          <cell r="A1526">
            <v>33591</v>
          </cell>
          <cell r="B1526">
            <v>19.12</v>
          </cell>
        </row>
        <row r="1527">
          <cell r="A1527">
            <v>33592</v>
          </cell>
          <cell r="B1527">
            <v>18.28</v>
          </cell>
        </row>
        <row r="1528">
          <cell r="A1528">
            <v>33595</v>
          </cell>
          <cell r="B1528">
            <v>18.579999999999998</v>
          </cell>
        </row>
        <row r="1529">
          <cell r="A1529">
            <v>33596</v>
          </cell>
          <cell r="B1529">
            <v>18.68</v>
          </cell>
        </row>
        <row r="1530">
          <cell r="A1530">
            <v>33598</v>
          </cell>
          <cell r="B1530">
            <v>18.63</v>
          </cell>
        </row>
        <row r="1531">
          <cell r="A1531">
            <v>33599</v>
          </cell>
          <cell r="B1531">
            <v>18.82</v>
          </cell>
        </row>
        <row r="1532">
          <cell r="A1532">
            <v>33602</v>
          </cell>
          <cell r="B1532">
            <v>18.63</v>
          </cell>
        </row>
        <row r="1533">
          <cell r="A1533">
            <v>33603</v>
          </cell>
          <cell r="B1533">
            <v>19.149999999999999</v>
          </cell>
        </row>
        <row r="1534">
          <cell r="A1534">
            <v>33605</v>
          </cell>
          <cell r="B1534">
            <v>19.43</v>
          </cell>
        </row>
        <row r="1535">
          <cell r="A1535">
            <v>33606</v>
          </cell>
          <cell r="B1535">
            <v>19.22</v>
          </cell>
        </row>
        <row r="1536">
          <cell r="A1536">
            <v>33609</v>
          </cell>
          <cell r="B1536">
            <v>19.239999999999998</v>
          </cell>
        </row>
        <row r="1537">
          <cell r="A1537">
            <v>33610</v>
          </cell>
          <cell r="B1537">
            <v>18.72</v>
          </cell>
        </row>
        <row r="1538">
          <cell r="A1538">
            <v>33611</v>
          </cell>
          <cell r="B1538">
            <v>17.95</v>
          </cell>
        </row>
        <row r="1539">
          <cell r="A1539">
            <v>33612</v>
          </cell>
          <cell r="B1539">
            <v>17.89</v>
          </cell>
        </row>
        <row r="1540">
          <cell r="A1540">
            <v>33613</v>
          </cell>
          <cell r="B1540">
            <v>18.260000000000002</v>
          </cell>
        </row>
        <row r="1541">
          <cell r="A1541">
            <v>33616</v>
          </cell>
          <cell r="B1541">
            <v>18.77</v>
          </cell>
        </row>
        <row r="1542">
          <cell r="A1542">
            <v>33617</v>
          </cell>
          <cell r="B1542">
            <v>18.399999999999999</v>
          </cell>
        </row>
        <row r="1543">
          <cell r="A1543">
            <v>33618</v>
          </cell>
          <cell r="B1543">
            <v>18.829999999999998</v>
          </cell>
        </row>
        <row r="1544">
          <cell r="A1544">
            <v>33619</v>
          </cell>
          <cell r="B1544">
            <v>18.940000000000001</v>
          </cell>
        </row>
        <row r="1545">
          <cell r="A1545">
            <v>33620</v>
          </cell>
          <cell r="B1545">
            <v>19.11</v>
          </cell>
        </row>
        <row r="1546">
          <cell r="A1546">
            <v>33623</v>
          </cell>
          <cell r="B1546">
            <v>18.920000000000002</v>
          </cell>
        </row>
        <row r="1547">
          <cell r="A1547">
            <v>33624</v>
          </cell>
          <cell r="B1547">
            <v>18.5</v>
          </cell>
        </row>
        <row r="1548">
          <cell r="A1548">
            <v>33625</v>
          </cell>
          <cell r="B1548">
            <v>18.73</v>
          </cell>
        </row>
        <row r="1549">
          <cell r="A1549">
            <v>33626</v>
          </cell>
          <cell r="B1549">
            <v>18.38</v>
          </cell>
        </row>
        <row r="1550">
          <cell r="A1550">
            <v>33627</v>
          </cell>
          <cell r="B1550">
            <v>18.75</v>
          </cell>
        </row>
        <row r="1551">
          <cell r="A1551">
            <v>33630</v>
          </cell>
          <cell r="B1551">
            <v>19.350000000000001</v>
          </cell>
        </row>
        <row r="1552">
          <cell r="A1552">
            <v>33631</v>
          </cell>
          <cell r="B1552">
            <v>19.09</v>
          </cell>
        </row>
        <row r="1553">
          <cell r="A1553">
            <v>33632</v>
          </cell>
          <cell r="B1553">
            <v>18.920000000000002</v>
          </cell>
        </row>
        <row r="1554">
          <cell r="A1554">
            <v>33633</v>
          </cell>
          <cell r="B1554">
            <v>18.95</v>
          </cell>
        </row>
        <row r="1555">
          <cell r="A1555">
            <v>33634</v>
          </cell>
          <cell r="B1555">
            <v>18.93</v>
          </cell>
        </row>
        <row r="1556">
          <cell r="A1556">
            <v>33637</v>
          </cell>
          <cell r="B1556">
            <v>18.97</v>
          </cell>
        </row>
        <row r="1557">
          <cell r="A1557">
            <v>33638</v>
          </cell>
          <cell r="B1557">
            <v>19.260000000000002</v>
          </cell>
        </row>
        <row r="1558">
          <cell r="A1558">
            <v>33639</v>
          </cell>
          <cell r="B1558">
            <v>19.5</v>
          </cell>
        </row>
        <row r="1559">
          <cell r="A1559">
            <v>33640</v>
          </cell>
          <cell r="B1559">
            <v>19.48</v>
          </cell>
        </row>
        <row r="1560">
          <cell r="A1560">
            <v>33641</v>
          </cell>
          <cell r="B1560">
            <v>19.91</v>
          </cell>
        </row>
        <row r="1561">
          <cell r="A1561">
            <v>33644</v>
          </cell>
          <cell r="B1561">
            <v>19.690000000000001</v>
          </cell>
        </row>
        <row r="1562">
          <cell r="A1562">
            <v>33645</v>
          </cell>
          <cell r="B1562">
            <v>19.36</v>
          </cell>
        </row>
        <row r="1563">
          <cell r="A1563">
            <v>33646</v>
          </cell>
          <cell r="B1563">
            <v>19.29</v>
          </cell>
        </row>
        <row r="1564">
          <cell r="A1564">
            <v>33647</v>
          </cell>
          <cell r="B1564">
            <v>19.7</v>
          </cell>
        </row>
        <row r="1565">
          <cell r="A1565">
            <v>33648</v>
          </cell>
          <cell r="B1565">
            <v>19.420000000000002</v>
          </cell>
        </row>
        <row r="1566">
          <cell r="A1566">
            <v>33651</v>
          </cell>
          <cell r="B1566">
            <v>19.420000000000002</v>
          </cell>
        </row>
        <row r="1567">
          <cell r="A1567">
            <v>33652</v>
          </cell>
          <cell r="B1567">
            <v>18.14</v>
          </cell>
        </row>
        <row r="1568">
          <cell r="A1568">
            <v>33653</v>
          </cell>
          <cell r="B1568">
            <v>18.420000000000002</v>
          </cell>
        </row>
        <row r="1569">
          <cell r="A1569">
            <v>33654</v>
          </cell>
          <cell r="B1569">
            <v>18.52</v>
          </cell>
        </row>
        <row r="1570">
          <cell r="A1570">
            <v>33655</v>
          </cell>
          <cell r="B1570">
            <v>18.600000000000001</v>
          </cell>
        </row>
        <row r="1571">
          <cell r="A1571">
            <v>33658</v>
          </cell>
          <cell r="B1571">
            <v>18.37</v>
          </cell>
        </row>
        <row r="1572">
          <cell r="A1572">
            <v>33659</v>
          </cell>
          <cell r="B1572">
            <v>18.3</v>
          </cell>
        </row>
        <row r="1573">
          <cell r="A1573">
            <v>33660</v>
          </cell>
          <cell r="B1573">
            <v>18.440000000000001</v>
          </cell>
        </row>
        <row r="1574">
          <cell r="A1574">
            <v>33661</v>
          </cell>
          <cell r="B1574">
            <v>18.77</v>
          </cell>
        </row>
        <row r="1575">
          <cell r="A1575">
            <v>33662</v>
          </cell>
          <cell r="B1575">
            <v>18.690000000000001</v>
          </cell>
        </row>
        <row r="1576">
          <cell r="A1576">
            <v>33665</v>
          </cell>
          <cell r="B1576">
            <v>18.36</v>
          </cell>
        </row>
        <row r="1577">
          <cell r="A1577">
            <v>33666</v>
          </cell>
          <cell r="B1577">
            <v>18.670000000000002</v>
          </cell>
        </row>
        <row r="1578">
          <cell r="A1578">
            <v>33667</v>
          </cell>
          <cell r="B1578">
            <v>18.62</v>
          </cell>
        </row>
        <row r="1579">
          <cell r="A1579">
            <v>33668</v>
          </cell>
          <cell r="B1579">
            <v>18.579999999999998</v>
          </cell>
        </row>
        <row r="1580">
          <cell r="A1580">
            <v>33669</v>
          </cell>
          <cell r="B1580">
            <v>18.53</v>
          </cell>
        </row>
        <row r="1581">
          <cell r="A1581">
            <v>33672</v>
          </cell>
          <cell r="B1581">
            <v>18.649999999999999</v>
          </cell>
        </row>
        <row r="1582">
          <cell r="A1582">
            <v>33673</v>
          </cell>
          <cell r="B1582">
            <v>18.62</v>
          </cell>
        </row>
        <row r="1583">
          <cell r="A1583">
            <v>33674</v>
          </cell>
          <cell r="B1583">
            <v>18.5</v>
          </cell>
        </row>
        <row r="1584">
          <cell r="A1584">
            <v>33675</v>
          </cell>
          <cell r="B1584">
            <v>18.86</v>
          </cell>
        </row>
        <row r="1585">
          <cell r="A1585">
            <v>33676</v>
          </cell>
          <cell r="B1585">
            <v>19.16</v>
          </cell>
        </row>
        <row r="1586">
          <cell r="A1586">
            <v>33679</v>
          </cell>
          <cell r="B1586">
            <v>19.149999999999999</v>
          </cell>
        </row>
        <row r="1587">
          <cell r="A1587">
            <v>33680</v>
          </cell>
          <cell r="B1587">
            <v>19.27</v>
          </cell>
        </row>
        <row r="1588">
          <cell r="A1588">
            <v>33681</v>
          </cell>
          <cell r="B1588">
            <v>19.05</v>
          </cell>
        </row>
        <row r="1589">
          <cell r="A1589">
            <v>33682</v>
          </cell>
          <cell r="B1589">
            <v>19.27</v>
          </cell>
        </row>
        <row r="1590">
          <cell r="A1590">
            <v>33683</v>
          </cell>
          <cell r="B1590">
            <v>18.78</v>
          </cell>
        </row>
        <row r="1591">
          <cell r="A1591">
            <v>33686</v>
          </cell>
          <cell r="B1591">
            <v>18.91</v>
          </cell>
        </row>
        <row r="1592">
          <cell r="A1592">
            <v>33687</v>
          </cell>
          <cell r="B1592">
            <v>19.059999999999999</v>
          </cell>
        </row>
        <row r="1593">
          <cell r="A1593">
            <v>33688</v>
          </cell>
          <cell r="B1593">
            <v>19</v>
          </cell>
        </row>
        <row r="1594">
          <cell r="A1594">
            <v>33689</v>
          </cell>
          <cell r="B1594">
            <v>19.309999999999999</v>
          </cell>
        </row>
        <row r="1595">
          <cell r="A1595">
            <v>33690</v>
          </cell>
          <cell r="B1595">
            <v>19.190000000000001</v>
          </cell>
        </row>
        <row r="1596">
          <cell r="A1596">
            <v>33693</v>
          </cell>
          <cell r="B1596">
            <v>19.25</v>
          </cell>
        </row>
        <row r="1597">
          <cell r="A1597">
            <v>33694</v>
          </cell>
          <cell r="B1597">
            <v>19.489999999999998</v>
          </cell>
        </row>
        <row r="1598">
          <cell r="A1598">
            <v>33695</v>
          </cell>
          <cell r="B1598">
            <v>19.850000000000001</v>
          </cell>
        </row>
        <row r="1599">
          <cell r="A1599">
            <v>33696</v>
          </cell>
          <cell r="B1599">
            <v>19.79</v>
          </cell>
        </row>
        <row r="1600">
          <cell r="A1600">
            <v>33697</v>
          </cell>
          <cell r="B1600">
            <v>20.25</v>
          </cell>
        </row>
        <row r="1601">
          <cell r="A1601">
            <v>33700</v>
          </cell>
          <cell r="B1601">
            <v>20.440000000000001</v>
          </cell>
        </row>
        <row r="1602">
          <cell r="A1602">
            <v>33701</v>
          </cell>
          <cell r="B1602">
            <v>20.29</v>
          </cell>
        </row>
        <row r="1603">
          <cell r="A1603">
            <v>33702</v>
          </cell>
          <cell r="B1603">
            <v>20.64</v>
          </cell>
        </row>
        <row r="1604">
          <cell r="A1604">
            <v>33703</v>
          </cell>
          <cell r="B1604">
            <v>20.329999999999998</v>
          </cell>
        </row>
        <row r="1605">
          <cell r="A1605">
            <v>33704</v>
          </cell>
          <cell r="B1605">
            <v>20.45</v>
          </cell>
        </row>
        <row r="1606">
          <cell r="A1606">
            <v>33707</v>
          </cell>
          <cell r="B1606">
            <v>20.239999999999998</v>
          </cell>
        </row>
        <row r="1607">
          <cell r="A1607">
            <v>33708</v>
          </cell>
          <cell r="B1607">
            <v>19.809999999999999</v>
          </cell>
        </row>
        <row r="1608">
          <cell r="A1608">
            <v>33709</v>
          </cell>
          <cell r="B1608">
            <v>19.93</v>
          </cell>
        </row>
        <row r="1609">
          <cell r="A1609">
            <v>33710</v>
          </cell>
          <cell r="B1609">
            <v>20.25</v>
          </cell>
        </row>
        <row r="1610">
          <cell r="A1610">
            <v>33714</v>
          </cell>
          <cell r="B1610">
            <v>20.260000000000002</v>
          </cell>
        </row>
        <row r="1611">
          <cell r="A1611">
            <v>33715</v>
          </cell>
          <cell r="B1611">
            <v>20.170000000000002</v>
          </cell>
        </row>
        <row r="1612">
          <cell r="A1612">
            <v>33716</v>
          </cell>
          <cell r="B1612">
            <v>19.920000000000002</v>
          </cell>
        </row>
        <row r="1613">
          <cell r="A1613">
            <v>33717</v>
          </cell>
          <cell r="B1613">
            <v>19.91</v>
          </cell>
        </row>
        <row r="1614">
          <cell r="A1614">
            <v>33718</v>
          </cell>
          <cell r="B1614">
            <v>20.05</v>
          </cell>
        </row>
        <row r="1615">
          <cell r="A1615">
            <v>33721</v>
          </cell>
          <cell r="B1615">
            <v>20.309999999999999</v>
          </cell>
        </row>
        <row r="1616">
          <cell r="A1616">
            <v>33722</v>
          </cell>
          <cell r="B1616">
            <v>20.29</v>
          </cell>
        </row>
        <row r="1617">
          <cell r="A1617">
            <v>33723</v>
          </cell>
          <cell r="B1617">
            <v>20.77</v>
          </cell>
        </row>
        <row r="1618">
          <cell r="A1618">
            <v>33724</v>
          </cell>
          <cell r="B1618">
            <v>20.88</v>
          </cell>
        </row>
        <row r="1619">
          <cell r="A1619">
            <v>33725</v>
          </cell>
          <cell r="B1619">
            <v>20.88</v>
          </cell>
        </row>
        <row r="1620">
          <cell r="A1620">
            <v>33728</v>
          </cell>
          <cell r="B1620">
            <v>21.13</v>
          </cell>
        </row>
        <row r="1621">
          <cell r="A1621">
            <v>33729</v>
          </cell>
          <cell r="B1621">
            <v>20.78</v>
          </cell>
        </row>
        <row r="1622">
          <cell r="A1622">
            <v>33730</v>
          </cell>
          <cell r="B1622">
            <v>20.79</v>
          </cell>
        </row>
        <row r="1623">
          <cell r="A1623">
            <v>33731</v>
          </cell>
          <cell r="B1623">
            <v>20.73</v>
          </cell>
        </row>
        <row r="1624">
          <cell r="A1624">
            <v>33732</v>
          </cell>
          <cell r="B1624">
            <v>20.85</v>
          </cell>
        </row>
        <row r="1625">
          <cell r="A1625">
            <v>33735</v>
          </cell>
          <cell r="B1625">
            <v>21.02</v>
          </cell>
        </row>
        <row r="1626">
          <cell r="A1626">
            <v>33736</v>
          </cell>
          <cell r="B1626">
            <v>20.98</v>
          </cell>
        </row>
        <row r="1627">
          <cell r="A1627">
            <v>33737</v>
          </cell>
          <cell r="B1627">
            <v>20.75</v>
          </cell>
        </row>
        <row r="1628">
          <cell r="A1628">
            <v>33738</v>
          </cell>
          <cell r="B1628">
            <v>20.56</v>
          </cell>
        </row>
        <row r="1629">
          <cell r="A1629">
            <v>33739</v>
          </cell>
          <cell r="B1629">
            <v>20.7</v>
          </cell>
        </row>
        <row r="1630">
          <cell r="A1630">
            <v>33742</v>
          </cell>
          <cell r="B1630">
            <v>20.54</v>
          </cell>
        </row>
        <row r="1631">
          <cell r="A1631">
            <v>33743</v>
          </cell>
          <cell r="B1631">
            <v>20.12</v>
          </cell>
        </row>
        <row r="1632">
          <cell r="A1632">
            <v>33744</v>
          </cell>
          <cell r="B1632">
            <v>20.2</v>
          </cell>
        </row>
        <row r="1633">
          <cell r="A1633">
            <v>33745</v>
          </cell>
          <cell r="B1633">
            <v>20.79</v>
          </cell>
        </row>
        <row r="1634">
          <cell r="A1634">
            <v>33746</v>
          </cell>
          <cell r="B1634">
            <v>20.79</v>
          </cell>
        </row>
        <row r="1635">
          <cell r="A1635">
            <v>33750</v>
          </cell>
          <cell r="B1635">
            <v>21.8</v>
          </cell>
        </row>
        <row r="1636">
          <cell r="A1636">
            <v>33751</v>
          </cell>
          <cell r="B1636">
            <v>22</v>
          </cell>
        </row>
        <row r="1637">
          <cell r="A1637">
            <v>33752</v>
          </cell>
          <cell r="B1637">
            <v>21.97</v>
          </cell>
        </row>
        <row r="1638">
          <cell r="A1638">
            <v>33753</v>
          </cell>
          <cell r="B1638">
            <v>22.13</v>
          </cell>
        </row>
        <row r="1639">
          <cell r="A1639">
            <v>33756</v>
          </cell>
          <cell r="B1639">
            <v>22.07</v>
          </cell>
        </row>
        <row r="1640">
          <cell r="A1640">
            <v>33757</v>
          </cell>
          <cell r="B1640">
            <v>22.2</v>
          </cell>
        </row>
        <row r="1641">
          <cell r="A1641">
            <v>33758</v>
          </cell>
          <cell r="B1641">
            <v>22.45</v>
          </cell>
        </row>
        <row r="1642">
          <cell r="A1642">
            <v>33759</v>
          </cell>
          <cell r="B1642">
            <v>22.53</v>
          </cell>
        </row>
        <row r="1643">
          <cell r="A1643">
            <v>33760</v>
          </cell>
          <cell r="B1643">
            <v>22.65</v>
          </cell>
        </row>
        <row r="1644">
          <cell r="A1644">
            <v>33763</v>
          </cell>
          <cell r="B1644">
            <v>22.43</v>
          </cell>
        </row>
        <row r="1645">
          <cell r="A1645">
            <v>33764</v>
          </cell>
          <cell r="B1645">
            <v>22.23</v>
          </cell>
        </row>
        <row r="1646">
          <cell r="A1646">
            <v>33765</v>
          </cell>
          <cell r="B1646">
            <v>22.49</v>
          </cell>
        </row>
        <row r="1647">
          <cell r="A1647">
            <v>33766</v>
          </cell>
          <cell r="B1647">
            <v>22.33</v>
          </cell>
        </row>
        <row r="1648">
          <cell r="A1648">
            <v>33767</v>
          </cell>
          <cell r="B1648">
            <v>22.28</v>
          </cell>
        </row>
        <row r="1649">
          <cell r="A1649">
            <v>33770</v>
          </cell>
          <cell r="B1649">
            <v>22.38</v>
          </cell>
        </row>
        <row r="1650">
          <cell r="A1650">
            <v>33771</v>
          </cell>
          <cell r="B1650">
            <v>22.23</v>
          </cell>
        </row>
        <row r="1651">
          <cell r="A1651">
            <v>33772</v>
          </cell>
          <cell r="B1651">
            <v>22.3</v>
          </cell>
        </row>
        <row r="1652">
          <cell r="A1652">
            <v>33773</v>
          </cell>
          <cell r="B1652">
            <v>22.23</v>
          </cell>
        </row>
        <row r="1653">
          <cell r="A1653">
            <v>33774</v>
          </cell>
          <cell r="B1653">
            <v>22.16</v>
          </cell>
        </row>
        <row r="1654">
          <cell r="A1654">
            <v>33777</v>
          </cell>
          <cell r="B1654">
            <v>22.47</v>
          </cell>
        </row>
        <row r="1655">
          <cell r="A1655">
            <v>33778</v>
          </cell>
          <cell r="B1655">
            <v>22.74</v>
          </cell>
        </row>
        <row r="1656">
          <cell r="A1656">
            <v>33779</v>
          </cell>
          <cell r="B1656">
            <v>23.03</v>
          </cell>
        </row>
        <row r="1657">
          <cell r="A1657">
            <v>33780</v>
          </cell>
          <cell r="B1657">
            <v>22.73</v>
          </cell>
        </row>
        <row r="1658">
          <cell r="A1658">
            <v>33781</v>
          </cell>
          <cell r="B1658">
            <v>22.42</v>
          </cell>
        </row>
        <row r="1659">
          <cell r="A1659">
            <v>33784</v>
          </cell>
          <cell r="B1659">
            <v>22.27</v>
          </cell>
        </row>
        <row r="1660">
          <cell r="A1660">
            <v>33785</v>
          </cell>
          <cell r="B1660">
            <v>21.84</v>
          </cell>
        </row>
        <row r="1661">
          <cell r="A1661">
            <v>33786</v>
          </cell>
          <cell r="B1661">
            <v>21.9</v>
          </cell>
        </row>
        <row r="1662">
          <cell r="A1662">
            <v>33787</v>
          </cell>
          <cell r="B1662">
            <v>22.08</v>
          </cell>
        </row>
        <row r="1663">
          <cell r="A1663">
            <v>33788</v>
          </cell>
          <cell r="B1663">
            <v>22.08</v>
          </cell>
        </row>
        <row r="1664">
          <cell r="A1664">
            <v>33791</v>
          </cell>
          <cell r="B1664">
            <v>21.87</v>
          </cell>
        </row>
        <row r="1665">
          <cell r="A1665">
            <v>33792</v>
          </cell>
          <cell r="B1665">
            <v>21.51</v>
          </cell>
        </row>
        <row r="1666">
          <cell r="A1666">
            <v>33793</v>
          </cell>
          <cell r="B1666">
            <v>21.38</v>
          </cell>
        </row>
        <row r="1667">
          <cell r="A1667">
            <v>33794</v>
          </cell>
          <cell r="B1667">
            <v>21.38</v>
          </cell>
        </row>
        <row r="1668">
          <cell r="A1668">
            <v>33795</v>
          </cell>
          <cell r="B1668">
            <v>21.25</v>
          </cell>
        </row>
        <row r="1669">
          <cell r="A1669">
            <v>33798</v>
          </cell>
          <cell r="B1669">
            <v>21.38</v>
          </cell>
        </row>
        <row r="1670">
          <cell r="A1670">
            <v>33799</v>
          </cell>
          <cell r="B1670">
            <v>21.42</v>
          </cell>
        </row>
        <row r="1671">
          <cell r="A1671">
            <v>33800</v>
          </cell>
          <cell r="B1671">
            <v>21.73</v>
          </cell>
        </row>
        <row r="1672">
          <cell r="A1672">
            <v>33801</v>
          </cell>
          <cell r="B1672">
            <v>21.8</v>
          </cell>
        </row>
        <row r="1673">
          <cell r="A1673">
            <v>33802</v>
          </cell>
          <cell r="B1673">
            <v>21.56</v>
          </cell>
        </row>
        <row r="1674">
          <cell r="A1674">
            <v>33805</v>
          </cell>
          <cell r="B1674">
            <v>21.78</v>
          </cell>
        </row>
        <row r="1675">
          <cell r="A1675">
            <v>33806</v>
          </cell>
          <cell r="B1675">
            <v>21.91</v>
          </cell>
        </row>
        <row r="1676">
          <cell r="A1676">
            <v>33807</v>
          </cell>
          <cell r="B1676">
            <v>21.99</v>
          </cell>
        </row>
        <row r="1677">
          <cell r="A1677">
            <v>33808</v>
          </cell>
          <cell r="B1677">
            <v>22.11</v>
          </cell>
        </row>
        <row r="1678">
          <cell r="A1678">
            <v>33809</v>
          </cell>
          <cell r="B1678">
            <v>21.95</v>
          </cell>
        </row>
        <row r="1679">
          <cell r="A1679">
            <v>33812</v>
          </cell>
          <cell r="B1679">
            <v>22.09</v>
          </cell>
        </row>
        <row r="1680">
          <cell r="A1680">
            <v>33813</v>
          </cell>
          <cell r="B1680">
            <v>22.03</v>
          </cell>
        </row>
        <row r="1681">
          <cell r="A1681">
            <v>33814</v>
          </cell>
          <cell r="B1681">
            <v>21.98</v>
          </cell>
        </row>
        <row r="1682">
          <cell r="A1682">
            <v>33815</v>
          </cell>
          <cell r="B1682">
            <v>21.82</v>
          </cell>
        </row>
        <row r="1683">
          <cell r="A1683">
            <v>33816</v>
          </cell>
          <cell r="B1683">
            <v>21.83</v>
          </cell>
        </row>
        <row r="1684">
          <cell r="A1684">
            <v>33819</v>
          </cell>
          <cell r="B1684">
            <v>21.6</v>
          </cell>
        </row>
        <row r="1685">
          <cell r="A1685">
            <v>33820</v>
          </cell>
          <cell r="B1685">
            <v>21.23</v>
          </cell>
        </row>
        <row r="1686">
          <cell r="A1686">
            <v>33821</v>
          </cell>
          <cell r="B1686">
            <v>21.18</v>
          </cell>
        </row>
        <row r="1687">
          <cell r="A1687">
            <v>33822</v>
          </cell>
          <cell r="B1687">
            <v>21.41</v>
          </cell>
        </row>
        <row r="1688">
          <cell r="A1688">
            <v>33823</v>
          </cell>
          <cell r="B1688">
            <v>21.27</v>
          </cell>
        </row>
        <row r="1689">
          <cell r="A1689">
            <v>33826</v>
          </cell>
          <cell r="B1689">
            <v>21.12</v>
          </cell>
        </row>
        <row r="1690">
          <cell r="A1690">
            <v>33827</v>
          </cell>
          <cell r="B1690">
            <v>21</v>
          </cell>
        </row>
        <row r="1691">
          <cell r="A1691">
            <v>33828</v>
          </cell>
          <cell r="B1691">
            <v>21.13</v>
          </cell>
        </row>
        <row r="1692">
          <cell r="A1692">
            <v>33829</v>
          </cell>
          <cell r="B1692">
            <v>21.35</v>
          </cell>
        </row>
        <row r="1693">
          <cell r="A1693">
            <v>33830</v>
          </cell>
          <cell r="B1693">
            <v>21.31</v>
          </cell>
        </row>
        <row r="1694">
          <cell r="A1694">
            <v>33833</v>
          </cell>
          <cell r="B1694">
            <v>21.47</v>
          </cell>
        </row>
        <row r="1695">
          <cell r="A1695">
            <v>33834</v>
          </cell>
          <cell r="B1695">
            <v>21.54</v>
          </cell>
        </row>
        <row r="1696">
          <cell r="A1696">
            <v>33835</v>
          </cell>
          <cell r="B1696">
            <v>21.33</v>
          </cell>
        </row>
        <row r="1697">
          <cell r="A1697">
            <v>33836</v>
          </cell>
          <cell r="B1697">
            <v>21.4</v>
          </cell>
        </row>
        <row r="1698">
          <cell r="A1698">
            <v>33837</v>
          </cell>
          <cell r="B1698">
            <v>21.19</v>
          </cell>
        </row>
        <row r="1699">
          <cell r="A1699">
            <v>33840</v>
          </cell>
          <cell r="B1699">
            <v>21.85</v>
          </cell>
        </row>
        <row r="1700">
          <cell r="A1700">
            <v>33841</v>
          </cell>
          <cell r="B1700">
            <v>21.6</v>
          </cell>
        </row>
        <row r="1701">
          <cell r="A1701">
            <v>33842</v>
          </cell>
          <cell r="B1701">
            <v>21.24</v>
          </cell>
        </row>
        <row r="1702">
          <cell r="A1702">
            <v>33843</v>
          </cell>
          <cell r="B1702">
            <v>21.14</v>
          </cell>
        </row>
        <row r="1703">
          <cell r="A1703">
            <v>33844</v>
          </cell>
          <cell r="B1703">
            <v>21.3</v>
          </cell>
        </row>
        <row r="1704">
          <cell r="A1704">
            <v>33847</v>
          </cell>
          <cell r="B1704">
            <v>21.46</v>
          </cell>
        </row>
        <row r="1705">
          <cell r="A1705">
            <v>33848</v>
          </cell>
          <cell r="B1705">
            <v>21.72</v>
          </cell>
        </row>
        <row r="1706">
          <cell r="A1706">
            <v>33849</v>
          </cell>
          <cell r="B1706">
            <v>21.65</v>
          </cell>
        </row>
        <row r="1707">
          <cell r="A1707">
            <v>33850</v>
          </cell>
          <cell r="B1707">
            <v>21.69</v>
          </cell>
        </row>
        <row r="1708">
          <cell r="A1708">
            <v>33851</v>
          </cell>
          <cell r="B1708">
            <v>21.77</v>
          </cell>
        </row>
        <row r="1709">
          <cell r="A1709">
            <v>33854</v>
          </cell>
          <cell r="B1709">
            <v>21.77</v>
          </cell>
        </row>
        <row r="1710">
          <cell r="A1710">
            <v>33855</v>
          </cell>
          <cell r="B1710">
            <v>21.98</v>
          </cell>
        </row>
        <row r="1711">
          <cell r="A1711">
            <v>33856</v>
          </cell>
          <cell r="B1711">
            <v>22</v>
          </cell>
        </row>
        <row r="1712">
          <cell r="A1712">
            <v>33857</v>
          </cell>
          <cell r="B1712">
            <v>21.93</v>
          </cell>
        </row>
        <row r="1713">
          <cell r="A1713">
            <v>33858</v>
          </cell>
          <cell r="B1713">
            <v>22</v>
          </cell>
        </row>
        <row r="1714">
          <cell r="A1714">
            <v>33861</v>
          </cell>
          <cell r="B1714">
            <v>22.35</v>
          </cell>
        </row>
        <row r="1715">
          <cell r="A1715">
            <v>33862</v>
          </cell>
          <cell r="B1715">
            <v>22.13</v>
          </cell>
        </row>
        <row r="1716">
          <cell r="A1716">
            <v>33863</v>
          </cell>
          <cell r="B1716">
            <v>22.39</v>
          </cell>
        </row>
        <row r="1717">
          <cell r="A1717">
            <v>33864</v>
          </cell>
          <cell r="B1717">
            <v>22.23</v>
          </cell>
        </row>
        <row r="1718">
          <cell r="A1718">
            <v>33865</v>
          </cell>
          <cell r="B1718">
            <v>21.96</v>
          </cell>
        </row>
        <row r="1719">
          <cell r="A1719">
            <v>33868</v>
          </cell>
          <cell r="B1719">
            <v>21.91</v>
          </cell>
        </row>
        <row r="1720">
          <cell r="A1720">
            <v>33869</v>
          </cell>
          <cell r="B1720">
            <v>21.78</v>
          </cell>
        </row>
        <row r="1721">
          <cell r="A1721">
            <v>33870</v>
          </cell>
          <cell r="B1721">
            <v>21.78</v>
          </cell>
        </row>
        <row r="1722">
          <cell r="A1722">
            <v>33871</v>
          </cell>
          <cell r="B1722">
            <v>21.57</v>
          </cell>
        </row>
        <row r="1723">
          <cell r="A1723">
            <v>33872</v>
          </cell>
          <cell r="B1723">
            <v>21.51</v>
          </cell>
        </row>
        <row r="1724">
          <cell r="A1724">
            <v>33875</v>
          </cell>
          <cell r="B1724">
            <v>21.78</v>
          </cell>
        </row>
        <row r="1725">
          <cell r="A1725">
            <v>33876</v>
          </cell>
          <cell r="B1725">
            <v>21.66</v>
          </cell>
        </row>
        <row r="1726">
          <cell r="A1726">
            <v>33877</v>
          </cell>
          <cell r="B1726">
            <v>21.83</v>
          </cell>
        </row>
        <row r="1727">
          <cell r="A1727">
            <v>33878</v>
          </cell>
          <cell r="B1727">
            <v>21.83</v>
          </cell>
        </row>
        <row r="1728">
          <cell r="A1728">
            <v>33879</v>
          </cell>
          <cell r="B1728">
            <v>21.93</v>
          </cell>
        </row>
        <row r="1729">
          <cell r="A1729">
            <v>33882</v>
          </cell>
          <cell r="B1729">
            <v>21.76</v>
          </cell>
        </row>
        <row r="1730">
          <cell r="A1730">
            <v>33883</v>
          </cell>
          <cell r="B1730">
            <v>21.85</v>
          </cell>
        </row>
        <row r="1731">
          <cell r="A1731">
            <v>33884</v>
          </cell>
          <cell r="B1731">
            <v>21.89</v>
          </cell>
        </row>
        <row r="1732">
          <cell r="A1732">
            <v>33885</v>
          </cell>
          <cell r="B1732">
            <v>21.99</v>
          </cell>
        </row>
        <row r="1733">
          <cell r="A1733">
            <v>33886</v>
          </cell>
          <cell r="B1733">
            <v>21.99</v>
          </cell>
        </row>
        <row r="1734">
          <cell r="A1734">
            <v>33889</v>
          </cell>
          <cell r="B1734">
            <v>22.28</v>
          </cell>
        </row>
        <row r="1735">
          <cell r="A1735">
            <v>33890</v>
          </cell>
          <cell r="B1735">
            <v>22.12</v>
          </cell>
        </row>
        <row r="1736">
          <cell r="A1736">
            <v>33891</v>
          </cell>
          <cell r="B1736">
            <v>22.16</v>
          </cell>
        </row>
        <row r="1737">
          <cell r="A1737">
            <v>33892</v>
          </cell>
          <cell r="B1737">
            <v>22.37</v>
          </cell>
        </row>
        <row r="1738">
          <cell r="A1738">
            <v>33893</v>
          </cell>
          <cell r="B1738">
            <v>22.31</v>
          </cell>
        </row>
        <row r="1739">
          <cell r="A1739">
            <v>33896</v>
          </cell>
          <cell r="B1739">
            <v>22.18</v>
          </cell>
        </row>
        <row r="1740">
          <cell r="A1740">
            <v>33897</v>
          </cell>
          <cell r="B1740">
            <v>21.88</v>
          </cell>
        </row>
        <row r="1741">
          <cell r="A1741">
            <v>33898</v>
          </cell>
          <cell r="B1741">
            <v>21.49</v>
          </cell>
        </row>
        <row r="1742">
          <cell r="A1742">
            <v>33899</v>
          </cell>
          <cell r="B1742">
            <v>21.22</v>
          </cell>
        </row>
        <row r="1743">
          <cell r="A1743">
            <v>33900</v>
          </cell>
          <cell r="B1743">
            <v>21.11</v>
          </cell>
        </row>
        <row r="1744">
          <cell r="A1744">
            <v>33903</v>
          </cell>
          <cell r="B1744">
            <v>21.14</v>
          </cell>
        </row>
        <row r="1745">
          <cell r="A1745">
            <v>33904</v>
          </cell>
          <cell r="B1745">
            <v>21.03</v>
          </cell>
        </row>
        <row r="1746">
          <cell r="A1746">
            <v>33905</v>
          </cell>
          <cell r="B1746">
            <v>21.17</v>
          </cell>
        </row>
        <row r="1747">
          <cell r="A1747">
            <v>33906</v>
          </cell>
          <cell r="B1747">
            <v>20.71</v>
          </cell>
        </row>
        <row r="1748">
          <cell r="A1748">
            <v>33907</v>
          </cell>
          <cell r="B1748">
            <v>20.68</v>
          </cell>
        </row>
        <row r="1749">
          <cell r="A1749">
            <v>33910</v>
          </cell>
          <cell r="B1749">
            <v>20.77</v>
          </cell>
        </row>
        <row r="1750">
          <cell r="A1750">
            <v>33911</v>
          </cell>
          <cell r="B1750">
            <v>20.6</v>
          </cell>
        </row>
        <row r="1751">
          <cell r="A1751">
            <v>33912</v>
          </cell>
          <cell r="B1751">
            <v>20.329999999999998</v>
          </cell>
        </row>
        <row r="1752">
          <cell r="A1752">
            <v>33913</v>
          </cell>
          <cell r="B1752">
            <v>20.62</v>
          </cell>
        </row>
        <row r="1753">
          <cell r="A1753">
            <v>33914</v>
          </cell>
          <cell r="B1753">
            <v>20.260000000000002</v>
          </cell>
        </row>
        <row r="1754">
          <cell r="A1754">
            <v>33917</v>
          </cell>
          <cell r="B1754">
            <v>20.63</v>
          </cell>
        </row>
        <row r="1755">
          <cell r="A1755">
            <v>33918</v>
          </cell>
          <cell r="B1755">
            <v>20.54</v>
          </cell>
        </row>
        <row r="1756">
          <cell r="A1756">
            <v>33919</v>
          </cell>
          <cell r="B1756">
            <v>20.46</v>
          </cell>
        </row>
        <row r="1757">
          <cell r="A1757">
            <v>33920</v>
          </cell>
          <cell r="B1757">
            <v>20.190000000000001</v>
          </cell>
        </row>
        <row r="1758">
          <cell r="A1758">
            <v>33921</v>
          </cell>
          <cell r="B1758">
            <v>20.04</v>
          </cell>
        </row>
        <row r="1759">
          <cell r="A1759">
            <v>33924</v>
          </cell>
          <cell r="B1759">
            <v>20.37</v>
          </cell>
        </row>
        <row r="1760">
          <cell r="A1760">
            <v>33925</v>
          </cell>
          <cell r="B1760">
            <v>20.32</v>
          </cell>
        </row>
        <row r="1761">
          <cell r="A1761">
            <v>33926</v>
          </cell>
          <cell r="B1761">
            <v>20.21</v>
          </cell>
        </row>
        <row r="1762">
          <cell r="A1762">
            <v>33927</v>
          </cell>
          <cell r="B1762">
            <v>20.5</v>
          </cell>
        </row>
        <row r="1763">
          <cell r="A1763">
            <v>33928</v>
          </cell>
          <cell r="B1763">
            <v>20.37</v>
          </cell>
        </row>
        <row r="1764">
          <cell r="A1764">
            <v>33931</v>
          </cell>
          <cell r="B1764">
            <v>20.010000000000002</v>
          </cell>
        </row>
        <row r="1765">
          <cell r="A1765">
            <v>33932</v>
          </cell>
          <cell r="B1765">
            <v>20.059999999999999</v>
          </cell>
        </row>
        <row r="1766">
          <cell r="A1766">
            <v>33933</v>
          </cell>
          <cell r="B1766">
            <v>20.29</v>
          </cell>
        </row>
        <row r="1767">
          <cell r="A1767">
            <v>33935</v>
          </cell>
          <cell r="B1767">
            <v>20.29</v>
          </cell>
        </row>
        <row r="1768">
          <cell r="A1768">
            <v>33938</v>
          </cell>
          <cell r="B1768">
            <v>19.91</v>
          </cell>
        </row>
        <row r="1769">
          <cell r="A1769">
            <v>33939</v>
          </cell>
          <cell r="B1769">
            <v>19.559999999999999</v>
          </cell>
        </row>
        <row r="1770">
          <cell r="A1770">
            <v>33940</v>
          </cell>
          <cell r="B1770">
            <v>19.38</v>
          </cell>
        </row>
        <row r="1771">
          <cell r="A1771">
            <v>33941</v>
          </cell>
          <cell r="B1771">
            <v>19.079999999999998</v>
          </cell>
        </row>
        <row r="1772">
          <cell r="A1772">
            <v>33942</v>
          </cell>
          <cell r="B1772">
            <v>18.95</v>
          </cell>
        </row>
        <row r="1773">
          <cell r="A1773">
            <v>33945</v>
          </cell>
          <cell r="B1773">
            <v>19.170000000000002</v>
          </cell>
        </row>
        <row r="1774">
          <cell r="A1774">
            <v>33946</v>
          </cell>
          <cell r="B1774">
            <v>18.690000000000001</v>
          </cell>
        </row>
        <row r="1775">
          <cell r="A1775">
            <v>33947</v>
          </cell>
          <cell r="B1775">
            <v>18.86</v>
          </cell>
        </row>
        <row r="1776">
          <cell r="A1776">
            <v>33948</v>
          </cell>
          <cell r="B1776">
            <v>19.260000000000002</v>
          </cell>
        </row>
        <row r="1777">
          <cell r="A1777">
            <v>33949</v>
          </cell>
          <cell r="B1777">
            <v>19.09</v>
          </cell>
        </row>
        <row r="1778">
          <cell r="A1778">
            <v>33952</v>
          </cell>
          <cell r="B1778">
            <v>19.059999999999999</v>
          </cell>
        </row>
        <row r="1779">
          <cell r="A1779">
            <v>33953</v>
          </cell>
          <cell r="B1779">
            <v>18.940000000000001</v>
          </cell>
        </row>
        <row r="1780">
          <cell r="A1780">
            <v>33954</v>
          </cell>
          <cell r="B1780">
            <v>19.420000000000002</v>
          </cell>
        </row>
        <row r="1781">
          <cell r="A1781">
            <v>33955</v>
          </cell>
          <cell r="B1781">
            <v>19.68</v>
          </cell>
        </row>
        <row r="1782">
          <cell r="A1782">
            <v>33956</v>
          </cell>
          <cell r="B1782">
            <v>19.809999999999999</v>
          </cell>
        </row>
        <row r="1783">
          <cell r="A1783">
            <v>33959</v>
          </cell>
          <cell r="B1783">
            <v>19.920000000000002</v>
          </cell>
        </row>
        <row r="1784">
          <cell r="A1784">
            <v>33960</v>
          </cell>
          <cell r="B1784">
            <v>19.79</v>
          </cell>
        </row>
        <row r="1785">
          <cell r="A1785">
            <v>33961</v>
          </cell>
          <cell r="B1785">
            <v>19.97</v>
          </cell>
        </row>
        <row r="1786">
          <cell r="A1786">
            <v>33962</v>
          </cell>
          <cell r="B1786">
            <v>19.97</v>
          </cell>
        </row>
        <row r="1787">
          <cell r="A1787">
            <v>33966</v>
          </cell>
          <cell r="B1787">
            <v>19.77</v>
          </cell>
        </row>
        <row r="1788">
          <cell r="A1788">
            <v>33967</v>
          </cell>
          <cell r="B1788">
            <v>19.62</v>
          </cell>
        </row>
        <row r="1789">
          <cell r="A1789">
            <v>33968</v>
          </cell>
          <cell r="B1789">
            <v>19.63</v>
          </cell>
        </row>
        <row r="1790">
          <cell r="A1790">
            <v>33969</v>
          </cell>
          <cell r="B1790">
            <v>19.489999999999998</v>
          </cell>
        </row>
        <row r="1791">
          <cell r="A1791">
            <v>33973</v>
          </cell>
          <cell r="B1791">
            <v>19.03</v>
          </cell>
        </row>
        <row r="1792">
          <cell r="A1792">
            <v>33974</v>
          </cell>
          <cell r="B1792">
            <v>19.13</v>
          </cell>
        </row>
        <row r="1793">
          <cell r="A1793">
            <v>33975</v>
          </cell>
          <cell r="B1793">
            <v>19.03</v>
          </cell>
        </row>
        <row r="1794">
          <cell r="A1794">
            <v>33976</v>
          </cell>
          <cell r="B1794">
            <v>18.920000000000002</v>
          </cell>
        </row>
        <row r="1795">
          <cell r="A1795">
            <v>33977</v>
          </cell>
          <cell r="B1795">
            <v>18.899999999999999</v>
          </cell>
        </row>
        <row r="1796">
          <cell r="A1796">
            <v>33980</v>
          </cell>
          <cell r="B1796">
            <v>18.78</v>
          </cell>
        </row>
        <row r="1797">
          <cell r="A1797">
            <v>33981</v>
          </cell>
          <cell r="B1797">
            <v>18.21</v>
          </cell>
        </row>
        <row r="1798">
          <cell r="A1798">
            <v>33982</v>
          </cell>
          <cell r="B1798">
            <v>18.510000000000002</v>
          </cell>
        </row>
        <row r="1799">
          <cell r="A1799">
            <v>33983</v>
          </cell>
          <cell r="B1799">
            <v>18.71</v>
          </cell>
        </row>
        <row r="1800">
          <cell r="A1800">
            <v>33984</v>
          </cell>
          <cell r="B1800">
            <v>18.89</v>
          </cell>
        </row>
        <row r="1801">
          <cell r="A1801">
            <v>33987</v>
          </cell>
          <cell r="B1801">
            <v>18.940000000000001</v>
          </cell>
        </row>
        <row r="1802">
          <cell r="A1802">
            <v>33988</v>
          </cell>
          <cell r="B1802">
            <v>18.399999999999999</v>
          </cell>
        </row>
        <row r="1803">
          <cell r="A1803">
            <v>33989</v>
          </cell>
          <cell r="B1803">
            <v>18.350000000000001</v>
          </cell>
        </row>
        <row r="1804">
          <cell r="A1804">
            <v>33990</v>
          </cell>
          <cell r="B1804">
            <v>18.71</v>
          </cell>
        </row>
        <row r="1805">
          <cell r="A1805">
            <v>33991</v>
          </cell>
          <cell r="B1805">
            <v>18.64</v>
          </cell>
        </row>
        <row r="1806">
          <cell r="A1806">
            <v>33994</v>
          </cell>
          <cell r="B1806">
            <v>19.510000000000002</v>
          </cell>
        </row>
        <row r="1807">
          <cell r="A1807">
            <v>33995</v>
          </cell>
          <cell r="B1807">
            <v>19.670000000000002</v>
          </cell>
        </row>
        <row r="1808">
          <cell r="A1808">
            <v>33996</v>
          </cell>
          <cell r="B1808">
            <v>19.66</v>
          </cell>
        </row>
        <row r="1809">
          <cell r="A1809">
            <v>33997</v>
          </cell>
          <cell r="B1809">
            <v>20.38</v>
          </cell>
        </row>
        <row r="1810">
          <cell r="A1810">
            <v>33998</v>
          </cell>
          <cell r="B1810">
            <v>20.27</v>
          </cell>
        </row>
        <row r="1811">
          <cell r="A1811">
            <v>34001</v>
          </cell>
          <cell r="B1811">
            <v>20.32</v>
          </cell>
        </row>
        <row r="1812">
          <cell r="A1812">
            <v>34002</v>
          </cell>
          <cell r="B1812">
            <v>20</v>
          </cell>
        </row>
        <row r="1813">
          <cell r="A1813">
            <v>34004</v>
          </cell>
          <cell r="B1813">
            <v>20.29</v>
          </cell>
        </row>
        <row r="1814">
          <cell r="A1814">
            <v>34005</v>
          </cell>
          <cell r="B1814">
            <v>20.27</v>
          </cell>
        </row>
        <row r="1815">
          <cell r="A1815">
            <v>34008</v>
          </cell>
          <cell r="B1815">
            <v>20.07</v>
          </cell>
        </row>
        <row r="1816">
          <cell r="A1816">
            <v>34009</v>
          </cell>
          <cell r="B1816">
            <v>20.12</v>
          </cell>
        </row>
        <row r="1817">
          <cell r="A1817">
            <v>34010</v>
          </cell>
          <cell r="B1817">
            <v>20.2</v>
          </cell>
        </row>
        <row r="1818">
          <cell r="A1818">
            <v>34011</v>
          </cell>
          <cell r="B1818">
            <v>20.29</v>
          </cell>
        </row>
        <row r="1819">
          <cell r="A1819">
            <v>34012</v>
          </cell>
          <cell r="B1819">
            <v>19.96</v>
          </cell>
        </row>
        <row r="1820">
          <cell r="A1820">
            <v>34016</v>
          </cell>
          <cell r="B1820">
            <v>19.59</v>
          </cell>
        </row>
        <row r="1821">
          <cell r="A1821">
            <v>34017</v>
          </cell>
          <cell r="B1821">
            <v>19.3</v>
          </cell>
        </row>
        <row r="1822">
          <cell r="A1822">
            <v>34018</v>
          </cell>
          <cell r="B1822">
            <v>19.440000000000001</v>
          </cell>
        </row>
        <row r="1823">
          <cell r="A1823">
            <v>34019</v>
          </cell>
          <cell r="B1823">
            <v>19.690000000000001</v>
          </cell>
        </row>
        <row r="1824">
          <cell r="A1824">
            <v>34022</v>
          </cell>
          <cell r="B1824">
            <v>20.079999999999998</v>
          </cell>
        </row>
        <row r="1825">
          <cell r="A1825">
            <v>34023</v>
          </cell>
          <cell r="B1825">
            <v>20.49</v>
          </cell>
        </row>
        <row r="1826">
          <cell r="A1826">
            <v>34024</v>
          </cell>
          <cell r="B1826">
            <v>20.28</v>
          </cell>
        </row>
        <row r="1827">
          <cell r="A1827">
            <v>34025</v>
          </cell>
          <cell r="B1827">
            <v>20.63</v>
          </cell>
        </row>
        <row r="1828">
          <cell r="A1828">
            <v>34026</v>
          </cell>
          <cell r="B1828">
            <v>20.53</v>
          </cell>
        </row>
        <row r="1829">
          <cell r="A1829">
            <v>34029</v>
          </cell>
          <cell r="B1829">
            <v>20.62</v>
          </cell>
        </row>
        <row r="1830">
          <cell r="A1830">
            <v>34030</v>
          </cell>
          <cell r="B1830">
            <v>20.48</v>
          </cell>
        </row>
        <row r="1831">
          <cell r="A1831">
            <v>34031</v>
          </cell>
          <cell r="B1831">
            <v>20.46</v>
          </cell>
        </row>
        <row r="1832">
          <cell r="A1832">
            <v>34032</v>
          </cell>
          <cell r="B1832">
            <v>21.05</v>
          </cell>
        </row>
        <row r="1833">
          <cell r="A1833">
            <v>34033</v>
          </cell>
          <cell r="B1833">
            <v>20.85</v>
          </cell>
        </row>
        <row r="1834">
          <cell r="A1834">
            <v>34036</v>
          </cell>
          <cell r="B1834">
            <v>20.63</v>
          </cell>
        </row>
        <row r="1835">
          <cell r="A1835">
            <v>34037</v>
          </cell>
          <cell r="B1835">
            <v>20.71</v>
          </cell>
        </row>
        <row r="1836">
          <cell r="A1836">
            <v>34038</v>
          </cell>
          <cell r="B1836">
            <v>20.420000000000002</v>
          </cell>
        </row>
        <row r="1837">
          <cell r="A1837">
            <v>34039</v>
          </cell>
          <cell r="B1837">
            <v>20.12</v>
          </cell>
        </row>
        <row r="1838">
          <cell r="A1838">
            <v>34040</v>
          </cell>
          <cell r="B1838">
            <v>20.38</v>
          </cell>
        </row>
        <row r="1839">
          <cell r="A1839">
            <v>34043</v>
          </cell>
          <cell r="B1839">
            <v>20.18</v>
          </cell>
        </row>
        <row r="1840">
          <cell r="A1840">
            <v>34044</v>
          </cell>
          <cell r="B1840">
            <v>20.04</v>
          </cell>
        </row>
        <row r="1841">
          <cell r="A1841">
            <v>34045</v>
          </cell>
          <cell r="B1841">
            <v>20.14</v>
          </cell>
        </row>
        <row r="1842">
          <cell r="A1842">
            <v>34046</v>
          </cell>
          <cell r="B1842">
            <v>20.29</v>
          </cell>
        </row>
        <row r="1843">
          <cell r="A1843">
            <v>34047</v>
          </cell>
          <cell r="B1843">
            <v>20.05</v>
          </cell>
        </row>
        <row r="1844">
          <cell r="A1844">
            <v>34050</v>
          </cell>
          <cell r="B1844">
            <v>19.52</v>
          </cell>
        </row>
        <row r="1845">
          <cell r="A1845">
            <v>34051</v>
          </cell>
          <cell r="B1845">
            <v>19.98</v>
          </cell>
        </row>
        <row r="1846">
          <cell r="A1846">
            <v>34052</v>
          </cell>
          <cell r="B1846">
            <v>19.97</v>
          </cell>
        </row>
        <row r="1847">
          <cell r="A1847">
            <v>34053</v>
          </cell>
          <cell r="B1847">
            <v>20.12</v>
          </cell>
        </row>
        <row r="1848">
          <cell r="A1848">
            <v>34054</v>
          </cell>
          <cell r="B1848">
            <v>20.420000000000002</v>
          </cell>
        </row>
        <row r="1849">
          <cell r="A1849">
            <v>34057</v>
          </cell>
          <cell r="B1849">
            <v>20.27</v>
          </cell>
        </row>
        <row r="1850">
          <cell r="A1850">
            <v>34058</v>
          </cell>
          <cell r="B1850">
            <v>20.27</v>
          </cell>
        </row>
        <row r="1851">
          <cell r="A1851">
            <v>34059</v>
          </cell>
          <cell r="B1851">
            <v>20.440000000000001</v>
          </cell>
        </row>
        <row r="1852">
          <cell r="A1852">
            <v>34060</v>
          </cell>
          <cell r="B1852">
            <v>20.54</v>
          </cell>
        </row>
        <row r="1853">
          <cell r="A1853">
            <v>34061</v>
          </cell>
          <cell r="B1853">
            <v>20.67</v>
          </cell>
        </row>
        <row r="1854">
          <cell r="A1854">
            <v>34064</v>
          </cell>
          <cell r="B1854">
            <v>20.59</v>
          </cell>
        </row>
        <row r="1855">
          <cell r="A1855">
            <v>34065</v>
          </cell>
          <cell r="B1855">
            <v>20.329999999999998</v>
          </cell>
        </row>
        <row r="1856">
          <cell r="A1856">
            <v>34066</v>
          </cell>
          <cell r="B1856">
            <v>20.350000000000001</v>
          </cell>
        </row>
        <row r="1857">
          <cell r="A1857">
            <v>34067</v>
          </cell>
          <cell r="B1857">
            <v>20.22</v>
          </cell>
        </row>
        <row r="1858">
          <cell r="A1858">
            <v>34071</v>
          </cell>
          <cell r="B1858">
            <v>20.43</v>
          </cell>
        </row>
        <row r="1859">
          <cell r="A1859">
            <v>34072</v>
          </cell>
          <cell r="B1859">
            <v>20.28</v>
          </cell>
        </row>
        <row r="1860">
          <cell r="A1860">
            <v>34073</v>
          </cell>
          <cell r="B1860">
            <v>20.38</v>
          </cell>
        </row>
        <row r="1861">
          <cell r="A1861">
            <v>34074</v>
          </cell>
          <cell r="B1861">
            <v>20.21</v>
          </cell>
        </row>
        <row r="1862">
          <cell r="A1862">
            <v>34075</v>
          </cell>
          <cell r="B1862">
            <v>20.09</v>
          </cell>
        </row>
        <row r="1863">
          <cell r="A1863">
            <v>34078</v>
          </cell>
          <cell r="B1863">
            <v>19.989999999999998</v>
          </cell>
        </row>
        <row r="1864">
          <cell r="A1864">
            <v>34079</v>
          </cell>
          <cell r="B1864">
            <v>20.05</v>
          </cell>
        </row>
        <row r="1865">
          <cell r="A1865">
            <v>34080</v>
          </cell>
          <cell r="B1865">
            <v>19.989999999999998</v>
          </cell>
        </row>
        <row r="1866">
          <cell r="A1866">
            <v>34081</v>
          </cell>
          <cell r="B1866">
            <v>19.79</v>
          </cell>
        </row>
        <row r="1867">
          <cell r="A1867">
            <v>34082</v>
          </cell>
          <cell r="B1867">
            <v>19.93</v>
          </cell>
        </row>
        <row r="1868">
          <cell r="A1868">
            <v>34085</v>
          </cell>
          <cell r="B1868">
            <v>19.829999999999998</v>
          </cell>
        </row>
        <row r="1869">
          <cell r="A1869">
            <v>34086</v>
          </cell>
          <cell r="B1869">
            <v>20.21</v>
          </cell>
        </row>
        <row r="1870">
          <cell r="A1870">
            <v>34088</v>
          </cell>
          <cell r="B1870">
            <v>20.63</v>
          </cell>
        </row>
        <row r="1871">
          <cell r="A1871">
            <v>34089</v>
          </cell>
          <cell r="B1871">
            <v>20.54</v>
          </cell>
        </row>
        <row r="1872">
          <cell r="A1872">
            <v>34092</v>
          </cell>
          <cell r="B1872">
            <v>20.58</v>
          </cell>
        </row>
        <row r="1873">
          <cell r="A1873">
            <v>34093</v>
          </cell>
          <cell r="B1873">
            <v>20.399999999999999</v>
          </cell>
        </row>
        <row r="1874">
          <cell r="A1874">
            <v>34094</v>
          </cell>
          <cell r="B1874">
            <v>20.46</v>
          </cell>
        </row>
        <row r="1875">
          <cell r="A1875">
            <v>34095</v>
          </cell>
          <cell r="B1875">
            <v>20.49</v>
          </cell>
        </row>
        <row r="1876">
          <cell r="A1876">
            <v>34096</v>
          </cell>
          <cell r="B1876">
            <v>20.43</v>
          </cell>
        </row>
        <row r="1877">
          <cell r="A1877">
            <v>34099</v>
          </cell>
          <cell r="B1877">
            <v>20.420000000000002</v>
          </cell>
        </row>
        <row r="1878">
          <cell r="A1878">
            <v>34100</v>
          </cell>
          <cell r="B1878">
            <v>20.38</v>
          </cell>
        </row>
        <row r="1879">
          <cell r="A1879">
            <v>34101</v>
          </cell>
          <cell r="B1879">
            <v>20.190000000000001</v>
          </cell>
        </row>
        <row r="1880">
          <cell r="A1880">
            <v>34102</v>
          </cell>
          <cell r="B1880">
            <v>19.8</v>
          </cell>
        </row>
        <row r="1881">
          <cell r="A1881">
            <v>34103</v>
          </cell>
          <cell r="B1881">
            <v>19.510000000000002</v>
          </cell>
        </row>
        <row r="1882">
          <cell r="A1882">
            <v>34106</v>
          </cell>
          <cell r="B1882">
            <v>19.510000000000002</v>
          </cell>
        </row>
        <row r="1883">
          <cell r="A1883">
            <v>34107</v>
          </cell>
          <cell r="B1883">
            <v>19.32</v>
          </cell>
        </row>
        <row r="1884">
          <cell r="A1884">
            <v>34108</v>
          </cell>
          <cell r="B1884">
            <v>19.149999999999999</v>
          </cell>
        </row>
        <row r="1885">
          <cell r="A1885">
            <v>34109</v>
          </cell>
          <cell r="B1885">
            <v>19.559999999999999</v>
          </cell>
        </row>
        <row r="1886">
          <cell r="A1886">
            <v>34110</v>
          </cell>
          <cell r="B1886">
            <v>19.600000000000001</v>
          </cell>
        </row>
        <row r="1887">
          <cell r="A1887">
            <v>34113</v>
          </cell>
          <cell r="B1887">
            <v>19.43</v>
          </cell>
        </row>
        <row r="1888">
          <cell r="A1888">
            <v>34114</v>
          </cell>
          <cell r="B1888">
            <v>19.75</v>
          </cell>
        </row>
        <row r="1889">
          <cell r="A1889">
            <v>34115</v>
          </cell>
          <cell r="B1889">
            <v>19.920000000000002</v>
          </cell>
        </row>
        <row r="1890">
          <cell r="A1890">
            <v>34116</v>
          </cell>
          <cell r="B1890">
            <v>20.05</v>
          </cell>
        </row>
        <row r="1891">
          <cell r="A1891">
            <v>34117</v>
          </cell>
          <cell r="B1891">
            <v>20.04</v>
          </cell>
        </row>
        <row r="1892">
          <cell r="A1892">
            <v>34121</v>
          </cell>
          <cell r="B1892">
            <v>20.2</v>
          </cell>
        </row>
        <row r="1893">
          <cell r="A1893">
            <v>34122</v>
          </cell>
          <cell r="B1893">
            <v>20.05</v>
          </cell>
        </row>
        <row r="1894">
          <cell r="A1894">
            <v>34123</v>
          </cell>
          <cell r="B1894">
            <v>19.77</v>
          </cell>
        </row>
        <row r="1895">
          <cell r="A1895">
            <v>34124</v>
          </cell>
          <cell r="B1895">
            <v>19.79</v>
          </cell>
        </row>
        <row r="1896">
          <cell r="A1896">
            <v>34127</v>
          </cell>
          <cell r="B1896">
            <v>19.600000000000001</v>
          </cell>
        </row>
        <row r="1897">
          <cell r="A1897">
            <v>34128</v>
          </cell>
          <cell r="B1897">
            <v>19.649999999999999</v>
          </cell>
        </row>
        <row r="1898">
          <cell r="A1898">
            <v>34129</v>
          </cell>
          <cell r="B1898">
            <v>19.66</v>
          </cell>
        </row>
        <row r="1899">
          <cell r="A1899">
            <v>34130</v>
          </cell>
          <cell r="B1899">
            <v>19.27</v>
          </cell>
        </row>
        <row r="1900">
          <cell r="A1900">
            <v>34131</v>
          </cell>
          <cell r="B1900">
            <v>18.989999999999998</v>
          </cell>
        </row>
        <row r="1901">
          <cell r="A1901">
            <v>34134</v>
          </cell>
          <cell r="B1901">
            <v>18.899999999999999</v>
          </cell>
        </row>
        <row r="1902">
          <cell r="A1902">
            <v>34135</v>
          </cell>
          <cell r="B1902">
            <v>18.600000000000001</v>
          </cell>
        </row>
        <row r="1903">
          <cell r="A1903">
            <v>34136</v>
          </cell>
          <cell r="B1903">
            <v>18.87</v>
          </cell>
        </row>
        <row r="1904">
          <cell r="A1904">
            <v>34137</v>
          </cell>
          <cell r="B1904">
            <v>18.7</v>
          </cell>
        </row>
        <row r="1905">
          <cell r="A1905">
            <v>34138</v>
          </cell>
          <cell r="B1905">
            <v>18.71</v>
          </cell>
        </row>
        <row r="1906">
          <cell r="A1906">
            <v>34141</v>
          </cell>
          <cell r="B1906">
            <v>18.63</v>
          </cell>
        </row>
        <row r="1907">
          <cell r="A1907">
            <v>34142</v>
          </cell>
          <cell r="B1907">
            <v>18.350000000000001</v>
          </cell>
        </row>
        <row r="1908">
          <cell r="A1908">
            <v>34143</v>
          </cell>
          <cell r="B1908">
            <v>18.440000000000001</v>
          </cell>
        </row>
        <row r="1909">
          <cell r="A1909">
            <v>34144</v>
          </cell>
          <cell r="B1909">
            <v>18.36</v>
          </cell>
        </row>
        <row r="1910">
          <cell r="A1910">
            <v>34145</v>
          </cell>
          <cell r="B1910">
            <v>18.829999999999998</v>
          </cell>
        </row>
        <row r="1911">
          <cell r="A1911">
            <v>34148</v>
          </cell>
          <cell r="B1911">
            <v>18.89</v>
          </cell>
        </row>
        <row r="1912">
          <cell r="A1912">
            <v>34149</v>
          </cell>
          <cell r="B1912">
            <v>18.989999999999998</v>
          </cell>
        </row>
        <row r="1913">
          <cell r="A1913">
            <v>34150</v>
          </cell>
          <cell r="B1913">
            <v>18.82</v>
          </cell>
        </row>
        <row r="1914">
          <cell r="A1914">
            <v>34151</v>
          </cell>
          <cell r="B1914">
            <v>18.440000000000001</v>
          </cell>
        </row>
        <row r="1915">
          <cell r="A1915">
            <v>34152</v>
          </cell>
          <cell r="B1915">
            <v>17.93</v>
          </cell>
        </row>
        <row r="1916">
          <cell r="A1916">
            <v>34156</v>
          </cell>
          <cell r="B1916">
            <v>18.29</v>
          </cell>
        </row>
        <row r="1917">
          <cell r="A1917">
            <v>34157</v>
          </cell>
          <cell r="B1917">
            <v>18.059999999999999</v>
          </cell>
        </row>
        <row r="1918">
          <cell r="A1918">
            <v>34158</v>
          </cell>
          <cell r="B1918">
            <v>17.79</v>
          </cell>
        </row>
        <row r="1919">
          <cell r="A1919">
            <v>34159</v>
          </cell>
          <cell r="B1919">
            <v>17.920000000000002</v>
          </cell>
        </row>
        <row r="1920">
          <cell r="A1920">
            <v>34162</v>
          </cell>
          <cell r="B1920">
            <v>18.12</v>
          </cell>
        </row>
        <row r="1921">
          <cell r="A1921">
            <v>34163</v>
          </cell>
          <cell r="B1921">
            <v>18.05</v>
          </cell>
        </row>
        <row r="1922">
          <cell r="A1922">
            <v>34164</v>
          </cell>
          <cell r="B1922">
            <v>17.43</v>
          </cell>
        </row>
        <row r="1923">
          <cell r="A1923">
            <v>34165</v>
          </cell>
          <cell r="B1923">
            <v>17.73</v>
          </cell>
        </row>
        <row r="1924">
          <cell r="A1924">
            <v>34166</v>
          </cell>
          <cell r="B1924">
            <v>17.29</v>
          </cell>
        </row>
        <row r="1925">
          <cell r="A1925">
            <v>34169</v>
          </cell>
          <cell r="B1925">
            <v>17.68</v>
          </cell>
        </row>
        <row r="1926">
          <cell r="A1926">
            <v>34170</v>
          </cell>
          <cell r="B1926">
            <v>17.2</v>
          </cell>
        </row>
        <row r="1927">
          <cell r="A1927">
            <v>34171</v>
          </cell>
          <cell r="B1927">
            <v>17.600000000000001</v>
          </cell>
        </row>
        <row r="1928">
          <cell r="A1928">
            <v>34172</v>
          </cell>
          <cell r="B1928">
            <v>17.57</v>
          </cell>
        </row>
        <row r="1929">
          <cell r="A1929">
            <v>34173</v>
          </cell>
          <cell r="B1929">
            <v>17.670000000000002</v>
          </cell>
        </row>
        <row r="1930">
          <cell r="A1930">
            <v>34176</v>
          </cell>
          <cell r="B1930">
            <v>18.11</v>
          </cell>
        </row>
        <row r="1931">
          <cell r="A1931">
            <v>34177</v>
          </cell>
          <cell r="B1931">
            <v>18.5</v>
          </cell>
        </row>
        <row r="1932">
          <cell r="A1932">
            <v>34178</v>
          </cell>
          <cell r="B1932">
            <v>18.25</v>
          </cell>
        </row>
        <row r="1933">
          <cell r="A1933">
            <v>34179</v>
          </cell>
          <cell r="B1933">
            <v>18.12</v>
          </cell>
        </row>
        <row r="1934">
          <cell r="A1934">
            <v>34180</v>
          </cell>
          <cell r="B1934">
            <v>17.940000000000001</v>
          </cell>
        </row>
        <row r="1935">
          <cell r="A1935">
            <v>34183</v>
          </cell>
          <cell r="B1935">
            <v>17.899999999999999</v>
          </cell>
        </row>
        <row r="1936">
          <cell r="A1936">
            <v>34184</v>
          </cell>
          <cell r="B1936">
            <v>17.809999999999999</v>
          </cell>
        </row>
        <row r="1937">
          <cell r="A1937">
            <v>34185</v>
          </cell>
          <cell r="B1937">
            <v>17.82</v>
          </cell>
        </row>
        <row r="1938">
          <cell r="A1938">
            <v>34186</v>
          </cell>
          <cell r="B1938">
            <v>17.54</v>
          </cell>
        </row>
        <row r="1939">
          <cell r="A1939">
            <v>34187</v>
          </cell>
          <cell r="B1939">
            <v>17.3</v>
          </cell>
        </row>
        <row r="1940">
          <cell r="A1940">
            <v>34190</v>
          </cell>
          <cell r="B1940">
            <v>17.579999999999998</v>
          </cell>
        </row>
        <row r="1941">
          <cell r="A1941">
            <v>34191</v>
          </cell>
          <cell r="B1941">
            <v>17.579999999999998</v>
          </cell>
        </row>
        <row r="1942">
          <cell r="A1942">
            <v>34192</v>
          </cell>
          <cell r="B1942">
            <v>17.87</v>
          </cell>
        </row>
        <row r="1943">
          <cell r="A1943">
            <v>34193</v>
          </cell>
          <cell r="B1943">
            <v>18.16</v>
          </cell>
        </row>
        <row r="1944">
          <cell r="A1944">
            <v>34194</v>
          </cell>
          <cell r="B1944">
            <v>18.14</v>
          </cell>
        </row>
        <row r="1945">
          <cell r="A1945">
            <v>34197</v>
          </cell>
          <cell r="B1945">
            <v>17.84</v>
          </cell>
        </row>
        <row r="1946">
          <cell r="A1946">
            <v>34198</v>
          </cell>
          <cell r="B1946">
            <v>17.95</v>
          </cell>
        </row>
        <row r="1947">
          <cell r="A1947">
            <v>34199</v>
          </cell>
          <cell r="B1947">
            <v>17.68</v>
          </cell>
        </row>
        <row r="1948">
          <cell r="A1948">
            <v>34200</v>
          </cell>
          <cell r="B1948">
            <v>17.64</v>
          </cell>
        </row>
        <row r="1949">
          <cell r="A1949">
            <v>34201</v>
          </cell>
          <cell r="B1949">
            <v>18.09</v>
          </cell>
        </row>
        <row r="1950">
          <cell r="A1950">
            <v>34204</v>
          </cell>
          <cell r="B1950">
            <v>18.420000000000002</v>
          </cell>
        </row>
        <row r="1951">
          <cell r="A1951">
            <v>34205</v>
          </cell>
          <cell r="B1951">
            <v>18.38</v>
          </cell>
        </row>
        <row r="1952">
          <cell r="A1952">
            <v>34206</v>
          </cell>
          <cell r="B1952">
            <v>18.45</v>
          </cell>
        </row>
        <row r="1953">
          <cell r="A1953">
            <v>34207</v>
          </cell>
          <cell r="B1953">
            <v>18.399999999999999</v>
          </cell>
        </row>
        <row r="1954">
          <cell r="A1954">
            <v>34208</v>
          </cell>
          <cell r="B1954">
            <v>18.82</v>
          </cell>
        </row>
        <row r="1955">
          <cell r="A1955">
            <v>34211</v>
          </cell>
          <cell r="B1955">
            <v>18.63</v>
          </cell>
        </row>
        <row r="1956">
          <cell r="A1956">
            <v>34212</v>
          </cell>
          <cell r="B1956">
            <v>18.239999999999998</v>
          </cell>
        </row>
        <row r="1957">
          <cell r="A1957">
            <v>34213</v>
          </cell>
          <cell r="B1957">
            <v>17.920000000000002</v>
          </cell>
        </row>
        <row r="1958">
          <cell r="A1958">
            <v>34214</v>
          </cell>
          <cell r="B1958">
            <v>17.97</v>
          </cell>
        </row>
        <row r="1959">
          <cell r="A1959">
            <v>34215</v>
          </cell>
          <cell r="B1959">
            <v>17.72</v>
          </cell>
        </row>
        <row r="1960">
          <cell r="A1960">
            <v>34219</v>
          </cell>
          <cell r="B1960">
            <v>17.14</v>
          </cell>
        </row>
        <row r="1961">
          <cell r="A1961">
            <v>34220</v>
          </cell>
          <cell r="B1961">
            <v>17</v>
          </cell>
        </row>
        <row r="1962">
          <cell r="A1962">
            <v>34221</v>
          </cell>
          <cell r="B1962">
            <v>16.97</v>
          </cell>
        </row>
        <row r="1963">
          <cell r="A1963">
            <v>34222</v>
          </cell>
          <cell r="B1963">
            <v>16.739999999999998</v>
          </cell>
        </row>
        <row r="1964">
          <cell r="A1964">
            <v>34225</v>
          </cell>
          <cell r="B1964">
            <v>16.98</v>
          </cell>
        </row>
        <row r="1965">
          <cell r="A1965">
            <v>34226</v>
          </cell>
          <cell r="B1965">
            <v>16.940000000000001</v>
          </cell>
        </row>
        <row r="1966">
          <cell r="A1966">
            <v>34227</v>
          </cell>
          <cell r="B1966">
            <v>16.850000000000001</v>
          </cell>
        </row>
        <row r="1967">
          <cell r="A1967">
            <v>34228</v>
          </cell>
          <cell r="B1967">
            <v>16.850000000000001</v>
          </cell>
        </row>
        <row r="1968">
          <cell r="A1968">
            <v>34229</v>
          </cell>
          <cell r="B1968">
            <v>17.100000000000001</v>
          </cell>
        </row>
        <row r="1969">
          <cell r="A1969">
            <v>34232</v>
          </cell>
          <cell r="B1969">
            <v>17.68</v>
          </cell>
        </row>
        <row r="1970">
          <cell r="A1970">
            <v>34233</v>
          </cell>
          <cell r="B1970">
            <v>18.12</v>
          </cell>
        </row>
        <row r="1971">
          <cell r="A1971">
            <v>34234</v>
          </cell>
          <cell r="B1971">
            <v>17.53</v>
          </cell>
        </row>
        <row r="1972">
          <cell r="A1972">
            <v>34235</v>
          </cell>
          <cell r="B1972">
            <v>17.52</v>
          </cell>
        </row>
        <row r="1973">
          <cell r="A1973">
            <v>34236</v>
          </cell>
          <cell r="B1973">
            <v>17.52</v>
          </cell>
        </row>
        <row r="1974">
          <cell r="A1974">
            <v>34239</v>
          </cell>
          <cell r="B1974">
            <v>17.52</v>
          </cell>
        </row>
        <row r="1975">
          <cell r="A1975">
            <v>34240</v>
          </cell>
          <cell r="B1975">
            <v>18.07</v>
          </cell>
        </row>
        <row r="1976">
          <cell r="A1976">
            <v>34241</v>
          </cell>
          <cell r="B1976">
            <v>18.73</v>
          </cell>
        </row>
        <row r="1977">
          <cell r="A1977">
            <v>34242</v>
          </cell>
          <cell r="B1977">
            <v>18.72</v>
          </cell>
        </row>
        <row r="1978">
          <cell r="A1978">
            <v>34243</v>
          </cell>
          <cell r="B1978">
            <v>18.63</v>
          </cell>
        </row>
        <row r="1979">
          <cell r="A1979">
            <v>34246</v>
          </cell>
          <cell r="B1979">
            <v>18.399999999999999</v>
          </cell>
        </row>
        <row r="1980">
          <cell r="A1980">
            <v>34247</v>
          </cell>
          <cell r="B1980">
            <v>18.43</v>
          </cell>
        </row>
        <row r="1981">
          <cell r="A1981">
            <v>34248</v>
          </cell>
          <cell r="B1981">
            <v>18.43</v>
          </cell>
        </row>
        <row r="1982">
          <cell r="A1982">
            <v>34249</v>
          </cell>
          <cell r="B1982">
            <v>18.489999999999998</v>
          </cell>
        </row>
        <row r="1983">
          <cell r="A1983">
            <v>34250</v>
          </cell>
          <cell r="B1983">
            <v>18.53</v>
          </cell>
        </row>
        <row r="1984">
          <cell r="A1984">
            <v>34253</v>
          </cell>
          <cell r="B1984">
            <v>18.760000000000002</v>
          </cell>
        </row>
        <row r="1985">
          <cell r="A1985">
            <v>34254</v>
          </cell>
          <cell r="B1985">
            <v>18.7</v>
          </cell>
        </row>
        <row r="1986">
          <cell r="A1986">
            <v>34255</v>
          </cell>
          <cell r="B1986">
            <v>18.649999999999999</v>
          </cell>
        </row>
        <row r="1987">
          <cell r="A1987">
            <v>34256</v>
          </cell>
          <cell r="B1987">
            <v>18.5</v>
          </cell>
        </row>
        <row r="1988">
          <cell r="A1988">
            <v>34257</v>
          </cell>
          <cell r="B1988">
            <v>18.239999999999998</v>
          </cell>
        </row>
        <row r="1989">
          <cell r="A1989">
            <v>34260</v>
          </cell>
          <cell r="B1989">
            <v>18.13</v>
          </cell>
        </row>
        <row r="1990">
          <cell r="A1990">
            <v>34261</v>
          </cell>
          <cell r="B1990">
            <v>18.04</v>
          </cell>
        </row>
        <row r="1991">
          <cell r="A1991">
            <v>34262</v>
          </cell>
          <cell r="B1991">
            <v>18.25</v>
          </cell>
        </row>
        <row r="1992">
          <cell r="A1992">
            <v>34263</v>
          </cell>
          <cell r="B1992">
            <v>18.28</v>
          </cell>
        </row>
        <row r="1993">
          <cell r="A1993">
            <v>34264</v>
          </cell>
          <cell r="B1993">
            <v>17.920000000000002</v>
          </cell>
        </row>
        <row r="1994">
          <cell r="A1994">
            <v>34267</v>
          </cell>
          <cell r="B1994">
            <v>17.36</v>
          </cell>
        </row>
        <row r="1995">
          <cell r="A1995">
            <v>34268</v>
          </cell>
          <cell r="B1995">
            <v>17.55</v>
          </cell>
        </row>
        <row r="1996">
          <cell r="A1996">
            <v>34269</v>
          </cell>
          <cell r="B1996">
            <v>17.66</v>
          </cell>
        </row>
        <row r="1997">
          <cell r="A1997">
            <v>34270</v>
          </cell>
          <cell r="B1997">
            <v>17.3</v>
          </cell>
        </row>
        <row r="1998">
          <cell r="A1998">
            <v>34271</v>
          </cell>
          <cell r="B1998">
            <v>16.97</v>
          </cell>
        </row>
        <row r="1999">
          <cell r="A1999">
            <v>34274</v>
          </cell>
          <cell r="B1999">
            <v>17.5</v>
          </cell>
        </row>
        <row r="2000">
          <cell r="A2000">
            <v>34275</v>
          </cell>
          <cell r="B2000">
            <v>17.03</v>
          </cell>
        </row>
        <row r="2001">
          <cell r="A2001">
            <v>34276</v>
          </cell>
          <cell r="B2001">
            <v>17.47</v>
          </cell>
        </row>
        <row r="2002">
          <cell r="A2002">
            <v>34277</v>
          </cell>
          <cell r="B2002">
            <v>17.38</v>
          </cell>
        </row>
        <row r="2003">
          <cell r="A2003">
            <v>34278</v>
          </cell>
          <cell r="B2003">
            <v>17.09</v>
          </cell>
        </row>
        <row r="2004">
          <cell r="A2004">
            <v>34281</v>
          </cell>
          <cell r="B2004">
            <v>16.690000000000001</v>
          </cell>
        </row>
        <row r="2005">
          <cell r="A2005">
            <v>34282</v>
          </cell>
          <cell r="B2005">
            <v>16.71</v>
          </cell>
        </row>
        <row r="2006">
          <cell r="A2006">
            <v>34283</v>
          </cell>
          <cell r="B2006">
            <v>16.54</v>
          </cell>
        </row>
        <row r="2007">
          <cell r="A2007">
            <v>34284</v>
          </cell>
          <cell r="B2007">
            <v>16.91</v>
          </cell>
        </row>
        <row r="2008">
          <cell r="A2008">
            <v>34285</v>
          </cell>
          <cell r="B2008">
            <v>16.72</v>
          </cell>
        </row>
        <row r="2009">
          <cell r="A2009">
            <v>34288</v>
          </cell>
          <cell r="B2009">
            <v>16.78</v>
          </cell>
        </row>
        <row r="2010">
          <cell r="A2010">
            <v>34289</v>
          </cell>
          <cell r="B2010">
            <v>16.690000000000001</v>
          </cell>
        </row>
        <row r="2011">
          <cell r="A2011">
            <v>34290</v>
          </cell>
          <cell r="B2011">
            <v>17.079999999999998</v>
          </cell>
        </row>
        <row r="2012">
          <cell r="A2012">
            <v>34291</v>
          </cell>
          <cell r="B2012">
            <v>16.670000000000002</v>
          </cell>
        </row>
        <row r="2013">
          <cell r="A2013">
            <v>34292</v>
          </cell>
          <cell r="B2013">
            <v>16.55</v>
          </cell>
        </row>
        <row r="2014">
          <cell r="A2014">
            <v>34295</v>
          </cell>
          <cell r="B2014">
            <v>16.670000000000002</v>
          </cell>
        </row>
        <row r="2015">
          <cell r="A2015">
            <v>34296</v>
          </cell>
          <cell r="B2015">
            <v>16.39</v>
          </cell>
        </row>
        <row r="2016">
          <cell r="A2016">
            <v>34297</v>
          </cell>
          <cell r="B2016">
            <v>15.73</v>
          </cell>
        </row>
        <row r="2017">
          <cell r="A2017">
            <v>34299</v>
          </cell>
          <cell r="B2017">
            <v>15.53</v>
          </cell>
        </row>
        <row r="2018">
          <cell r="A2018">
            <v>34302</v>
          </cell>
          <cell r="B2018">
            <v>15.3</v>
          </cell>
        </row>
        <row r="2019">
          <cell r="A2019">
            <v>34303</v>
          </cell>
          <cell r="B2019">
            <v>15.36</v>
          </cell>
        </row>
        <row r="2020">
          <cell r="A2020">
            <v>34304</v>
          </cell>
          <cell r="B2020">
            <v>15.45</v>
          </cell>
        </row>
        <row r="2021">
          <cell r="A2021">
            <v>34305</v>
          </cell>
          <cell r="B2021">
            <v>14.93</v>
          </cell>
        </row>
        <row r="2022">
          <cell r="A2022">
            <v>34306</v>
          </cell>
          <cell r="B2022">
            <v>15.03</v>
          </cell>
        </row>
        <row r="2023">
          <cell r="A2023">
            <v>34309</v>
          </cell>
          <cell r="B2023">
            <v>14.57</v>
          </cell>
        </row>
        <row r="2024">
          <cell r="A2024">
            <v>34310</v>
          </cell>
          <cell r="B2024">
            <v>14.53</v>
          </cell>
        </row>
        <row r="2025">
          <cell r="A2025">
            <v>34311</v>
          </cell>
          <cell r="B2025">
            <v>14.61</v>
          </cell>
        </row>
        <row r="2026">
          <cell r="A2026">
            <v>34312</v>
          </cell>
          <cell r="B2026">
            <v>14.65</v>
          </cell>
        </row>
        <row r="2027">
          <cell r="A2027">
            <v>34313</v>
          </cell>
          <cell r="B2027">
            <v>15.04</v>
          </cell>
        </row>
        <row r="2028">
          <cell r="A2028">
            <v>34316</v>
          </cell>
          <cell r="B2028">
            <v>14.5</v>
          </cell>
        </row>
        <row r="2029">
          <cell r="A2029">
            <v>34317</v>
          </cell>
          <cell r="B2029">
            <v>14.47</v>
          </cell>
        </row>
        <row r="2030">
          <cell r="A2030">
            <v>34318</v>
          </cell>
          <cell r="B2030">
            <v>14.39</v>
          </cell>
        </row>
        <row r="2031">
          <cell r="A2031">
            <v>34319</v>
          </cell>
          <cell r="B2031">
            <v>14.21</v>
          </cell>
        </row>
        <row r="2032">
          <cell r="A2032">
            <v>34320</v>
          </cell>
          <cell r="B2032">
            <v>13.98</v>
          </cell>
        </row>
        <row r="2033">
          <cell r="A2033">
            <v>34323</v>
          </cell>
          <cell r="B2033">
            <v>14.2</v>
          </cell>
        </row>
        <row r="2034">
          <cell r="A2034">
            <v>34324</v>
          </cell>
          <cell r="B2034">
            <v>14.32</v>
          </cell>
        </row>
        <row r="2035">
          <cell r="A2035">
            <v>34325</v>
          </cell>
          <cell r="B2035">
            <v>14.61</v>
          </cell>
        </row>
        <row r="2036">
          <cell r="A2036">
            <v>34326</v>
          </cell>
          <cell r="B2036">
            <v>14.48</v>
          </cell>
        </row>
        <row r="2037">
          <cell r="A2037">
            <v>34330</v>
          </cell>
          <cell r="B2037">
            <v>14.09</v>
          </cell>
        </row>
        <row r="2038">
          <cell r="A2038">
            <v>34331</v>
          </cell>
          <cell r="B2038">
            <v>14.11</v>
          </cell>
        </row>
        <row r="2039">
          <cell r="A2039">
            <v>34332</v>
          </cell>
          <cell r="B2039">
            <v>14.45</v>
          </cell>
        </row>
        <row r="2040">
          <cell r="A2040">
            <v>34333</v>
          </cell>
          <cell r="B2040">
            <v>14.19</v>
          </cell>
        </row>
        <row r="2041">
          <cell r="A2041">
            <v>34337</v>
          </cell>
          <cell r="B2041">
            <v>14.52</v>
          </cell>
        </row>
        <row r="2042">
          <cell r="A2042">
            <v>34338</v>
          </cell>
          <cell r="B2042">
            <v>14.66</v>
          </cell>
        </row>
        <row r="2043">
          <cell r="A2043">
            <v>34339</v>
          </cell>
          <cell r="B2043">
            <v>15.3</v>
          </cell>
        </row>
        <row r="2044">
          <cell r="A2044">
            <v>34340</v>
          </cell>
          <cell r="B2044">
            <v>15.36</v>
          </cell>
        </row>
        <row r="2045">
          <cell r="A2045">
            <v>34341</v>
          </cell>
          <cell r="B2045">
            <v>15.33</v>
          </cell>
        </row>
        <row r="2046">
          <cell r="A2046">
            <v>34344</v>
          </cell>
          <cell r="B2046">
            <v>14.65</v>
          </cell>
        </row>
        <row r="2047">
          <cell r="A2047">
            <v>34345</v>
          </cell>
          <cell r="B2047">
            <v>14.95</v>
          </cell>
        </row>
        <row r="2048">
          <cell r="A2048">
            <v>34346</v>
          </cell>
          <cell r="B2048">
            <v>14.36</v>
          </cell>
        </row>
        <row r="2049">
          <cell r="A2049">
            <v>34347</v>
          </cell>
          <cell r="B2049">
            <v>14.56</v>
          </cell>
        </row>
        <row r="2050">
          <cell r="A2050">
            <v>34348</v>
          </cell>
          <cell r="B2050">
            <v>14.81</v>
          </cell>
        </row>
        <row r="2051">
          <cell r="A2051">
            <v>34351</v>
          </cell>
          <cell r="B2051">
            <v>15.15</v>
          </cell>
        </row>
        <row r="2052">
          <cell r="A2052">
            <v>34352</v>
          </cell>
          <cell r="B2052">
            <v>14.92</v>
          </cell>
        </row>
        <row r="2053">
          <cell r="A2053">
            <v>34353</v>
          </cell>
          <cell r="B2053">
            <v>15.25</v>
          </cell>
        </row>
        <row r="2054">
          <cell r="A2054">
            <v>34354</v>
          </cell>
          <cell r="B2054">
            <v>14.95</v>
          </cell>
        </row>
        <row r="2055">
          <cell r="A2055">
            <v>34355</v>
          </cell>
          <cell r="B2055">
            <v>14.85</v>
          </cell>
        </row>
        <row r="2056">
          <cell r="A2056">
            <v>34358</v>
          </cell>
          <cell r="B2056">
            <v>15.09</v>
          </cell>
        </row>
        <row r="2057">
          <cell r="A2057">
            <v>34359</v>
          </cell>
          <cell r="B2057">
            <v>15.26</v>
          </cell>
        </row>
        <row r="2058">
          <cell r="A2058">
            <v>34360</v>
          </cell>
          <cell r="B2058">
            <v>15.5</v>
          </cell>
        </row>
        <row r="2059">
          <cell r="A2059">
            <v>34361</v>
          </cell>
          <cell r="B2059">
            <v>15.48</v>
          </cell>
        </row>
        <row r="2060">
          <cell r="A2060">
            <v>34362</v>
          </cell>
          <cell r="B2060">
            <v>15.37</v>
          </cell>
        </row>
        <row r="2061">
          <cell r="A2061">
            <v>34365</v>
          </cell>
          <cell r="B2061">
            <v>15.24</v>
          </cell>
        </row>
        <row r="2062">
          <cell r="A2062">
            <v>34366</v>
          </cell>
          <cell r="B2062">
            <v>15.91</v>
          </cell>
        </row>
        <row r="2063">
          <cell r="A2063">
            <v>34367</v>
          </cell>
          <cell r="B2063">
            <v>16.059999999999999</v>
          </cell>
        </row>
        <row r="2064">
          <cell r="A2064">
            <v>34368</v>
          </cell>
          <cell r="B2064">
            <v>15.97</v>
          </cell>
        </row>
        <row r="2065">
          <cell r="A2065">
            <v>34369</v>
          </cell>
          <cell r="B2065">
            <v>15.63</v>
          </cell>
        </row>
        <row r="2066">
          <cell r="A2066">
            <v>34372</v>
          </cell>
          <cell r="B2066">
            <v>15.31</v>
          </cell>
        </row>
        <row r="2067">
          <cell r="A2067">
            <v>34373</v>
          </cell>
          <cell r="B2067">
            <v>15.12</v>
          </cell>
        </row>
        <row r="2068">
          <cell r="A2068">
            <v>34374</v>
          </cell>
          <cell r="B2068">
            <v>14.64</v>
          </cell>
        </row>
        <row r="2069">
          <cell r="A2069">
            <v>34375</v>
          </cell>
          <cell r="B2069">
            <v>14.59</v>
          </cell>
        </row>
        <row r="2070">
          <cell r="A2070">
            <v>34376</v>
          </cell>
          <cell r="B2070">
            <v>14.71</v>
          </cell>
        </row>
        <row r="2071">
          <cell r="A2071">
            <v>34379</v>
          </cell>
          <cell r="B2071">
            <v>14.15</v>
          </cell>
        </row>
        <row r="2072">
          <cell r="A2072">
            <v>34380</v>
          </cell>
          <cell r="B2072">
            <v>14.13</v>
          </cell>
        </row>
        <row r="2073">
          <cell r="A2073">
            <v>34381</v>
          </cell>
          <cell r="B2073">
            <v>13.89</v>
          </cell>
        </row>
        <row r="2074">
          <cell r="A2074">
            <v>34382</v>
          </cell>
          <cell r="B2074">
            <v>14.26</v>
          </cell>
        </row>
        <row r="2075">
          <cell r="A2075">
            <v>34383</v>
          </cell>
          <cell r="B2075">
            <v>14.21</v>
          </cell>
        </row>
        <row r="2076">
          <cell r="A2076">
            <v>34387</v>
          </cell>
          <cell r="B2076">
            <v>14.28</v>
          </cell>
        </row>
        <row r="2077">
          <cell r="A2077">
            <v>34388</v>
          </cell>
          <cell r="B2077">
            <v>14.18</v>
          </cell>
        </row>
        <row r="2078">
          <cell r="A2078">
            <v>34389</v>
          </cell>
          <cell r="B2078">
            <v>14.82</v>
          </cell>
        </row>
        <row r="2079">
          <cell r="A2079">
            <v>34390</v>
          </cell>
          <cell r="B2079">
            <v>14.48</v>
          </cell>
        </row>
        <row r="2080">
          <cell r="A2080">
            <v>34393</v>
          </cell>
          <cell r="B2080">
            <v>14.5</v>
          </cell>
        </row>
        <row r="2081">
          <cell r="A2081">
            <v>34394</v>
          </cell>
          <cell r="B2081">
            <v>14.78</v>
          </cell>
        </row>
        <row r="2082">
          <cell r="A2082">
            <v>34395</v>
          </cell>
          <cell r="B2082">
            <v>14.8</v>
          </cell>
        </row>
        <row r="2083">
          <cell r="A2083">
            <v>34396</v>
          </cell>
          <cell r="B2083">
            <v>14.74</v>
          </cell>
        </row>
        <row r="2084">
          <cell r="A2084">
            <v>34397</v>
          </cell>
          <cell r="B2084">
            <v>14.57</v>
          </cell>
        </row>
        <row r="2085">
          <cell r="A2085">
            <v>34400</v>
          </cell>
          <cell r="B2085">
            <v>14.14</v>
          </cell>
        </row>
        <row r="2086">
          <cell r="A2086">
            <v>34401</v>
          </cell>
          <cell r="B2086">
            <v>14.17</v>
          </cell>
        </row>
        <row r="2087">
          <cell r="A2087">
            <v>34402</v>
          </cell>
          <cell r="B2087">
            <v>14.23</v>
          </cell>
        </row>
        <row r="2088">
          <cell r="A2088">
            <v>34403</v>
          </cell>
          <cell r="B2088">
            <v>14.19</v>
          </cell>
        </row>
        <row r="2089">
          <cell r="A2089">
            <v>34404</v>
          </cell>
          <cell r="B2089">
            <v>14.47</v>
          </cell>
        </row>
        <row r="2090">
          <cell r="A2090">
            <v>34407</v>
          </cell>
          <cell r="B2090">
            <v>14.52</v>
          </cell>
        </row>
        <row r="2091">
          <cell r="A2091">
            <v>34408</v>
          </cell>
          <cell r="B2091">
            <v>14.82</v>
          </cell>
        </row>
        <row r="2092">
          <cell r="A2092">
            <v>34409</v>
          </cell>
          <cell r="B2092">
            <v>15.03</v>
          </cell>
        </row>
        <row r="2093">
          <cell r="A2093">
            <v>34410</v>
          </cell>
          <cell r="B2093">
            <v>14.83</v>
          </cell>
        </row>
        <row r="2094">
          <cell r="A2094">
            <v>34411</v>
          </cell>
          <cell r="B2094">
            <v>14.88</v>
          </cell>
        </row>
        <row r="2095">
          <cell r="A2095">
            <v>34414</v>
          </cell>
          <cell r="B2095">
            <v>15.37</v>
          </cell>
        </row>
        <row r="2096">
          <cell r="A2096">
            <v>34415</v>
          </cell>
          <cell r="B2096">
            <v>15.04</v>
          </cell>
        </row>
        <row r="2097">
          <cell r="A2097">
            <v>34416</v>
          </cell>
          <cell r="B2097">
            <v>14.94</v>
          </cell>
        </row>
        <row r="2098">
          <cell r="A2098">
            <v>34417</v>
          </cell>
          <cell r="B2098">
            <v>15.21</v>
          </cell>
        </row>
        <row r="2099">
          <cell r="A2099">
            <v>34418</v>
          </cell>
          <cell r="B2099">
            <v>15.19</v>
          </cell>
        </row>
        <row r="2100">
          <cell r="A2100">
            <v>34421</v>
          </cell>
          <cell r="B2100">
            <v>14.15</v>
          </cell>
        </row>
        <row r="2101">
          <cell r="A2101">
            <v>34422</v>
          </cell>
          <cell r="B2101">
            <v>14.41</v>
          </cell>
        </row>
        <row r="2102">
          <cell r="A2102">
            <v>34423</v>
          </cell>
          <cell r="B2102">
            <v>14.4</v>
          </cell>
        </row>
        <row r="2103">
          <cell r="A2103">
            <v>34424</v>
          </cell>
          <cell r="B2103">
            <v>14.78</v>
          </cell>
        </row>
        <row r="2104">
          <cell r="A2104">
            <v>34428</v>
          </cell>
          <cell r="B2104">
            <v>15.67</v>
          </cell>
        </row>
        <row r="2105">
          <cell r="A2105">
            <v>34429</v>
          </cell>
          <cell r="B2105">
            <v>15.67</v>
          </cell>
        </row>
        <row r="2106">
          <cell r="A2106">
            <v>34430</v>
          </cell>
          <cell r="B2106">
            <v>15.77</v>
          </cell>
        </row>
        <row r="2107">
          <cell r="A2107">
            <v>34431</v>
          </cell>
          <cell r="B2107">
            <v>15.59</v>
          </cell>
        </row>
        <row r="2108">
          <cell r="A2108">
            <v>34432</v>
          </cell>
          <cell r="B2108">
            <v>15.57</v>
          </cell>
        </row>
        <row r="2109">
          <cell r="A2109">
            <v>34435</v>
          </cell>
          <cell r="B2109">
            <v>15.86</v>
          </cell>
        </row>
        <row r="2110">
          <cell r="A2110">
            <v>34436</v>
          </cell>
          <cell r="B2110">
            <v>15.74</v>
          </cell>
        </row>
        <row r="2111">
          <cell r="A2111">
            <v>34437</v>
          </cell>
          <cell r="B2111">
            <v>15.96</v>
          </cell>
        </row>
        <row r="2112">
          <cell r="A2112">
            <v>34438</v>
          </cell>
          <cell r="B2112">
            <v>16.2</v>
          </cell>
        </row>
        <row r="2113">
          <cell r="A2113">
            <v>34439</v>
          </cell>
          <cell r="B2113">
            <v>16.579999999999998</v>
          </cell>
        </row>
        <row r="2114">
          <cell r="A2114">
            <v>34442</v>
          </cell>
          <cell r="B2114">
            <v>16.64</v>
          </cell>
        </row>
        <row r="2115">
          <cell r="A2115">
            <v>34443</v>
          </cell>
          <cell r="B2115">
            <v>16.43</v>
          </cell>
        </row>
        <row r="2116">
          <cell r="A2116">
            <v>34444</v>
          </cell>
          <cell r="B2116">
            <v>16.649999999999999</v>
          </cell>
        </row>
        <row r="2117">
          <cell r="A2117">
            <v>34445</v>
          </cell>
          <cell r="B2117">
            <v>17.559999999999999</v>
          </cell>
        </row>
        <row r="2118">
          <cell r="A2118">
            <v>34446</v>
          </cell>
          <cell r="B2118">
            <v>17.84</v>
          </cell>
        </row>
        <row r="2119">
          <cell r="A2119">
            <v>34449</v>
          </cell>
          <cell r="B2119">
            <v>17.66</v>
          </cell>
        </row>
        <row r="2120">
          <cell r="A2120">
            <v>34450</v>
          </cell>
          <cell r="B2120">
            <v>16.82</v>
          </cell>
        </row>
        <row r="2121">
          <cell r="A2121">
            <v>34451</v>
          </cell>
          <cell r="B2121">
            <v>16.7</v>
          </cell>
        </row>
        <row r="2122">
          <cell r="A2122">
            <v>34452</v>
          </cell>
          <cell r="B2122">
            <v>16.57</v>
          </cell>
        </row>
        <row r="2123">
          <cell r="A2123">
            <v>34453</v>
          </cell>
          <cell r="B2123">
            <v>16.920000000000002</v>
          </cell>
        </row>
        <row r="2124">
          <cell r="A2124">
            <v>34456</v>
          </cell>
          <cell r="B2124">
            <v>17.18</v>
          </cell>
        </row>
        <row r="2125">
          <cell r="A2125">
            <v>34457</v>
          </cell>
          <cell r="B2125">
            <v>16.93</v>
          </cell>
        </row>
        <row r="2126">
          <cell r="A2126">
            <v>34458</v>
          </cell>
          <cell r="B2126">
            <v>16.850000000000001</v>
          </cell>
        </row>
        <row r="2127">
          <cell r="A2127">
            <v>34459</v>
          </cell>
          <cell r="B2127">
            <v>17.28</v>
          </cell>
        </row>
        <row r="2128">
          <cell r="A2128">
            <v>34460</v>
          </cell>
          <cell r="B2128">
            <v>17.739999999999998</v>
          </cell>
        </row>
        <row r="2129">
          <cell r="A2129">
            <v>34463</v>
          </cell>
          <cell r="B2129">
            <v>17.72</v>
          </cell>
        </row>
        <row r="2130">
          <cell r="A2130">
            <v>34464</v>
          </cell>
          <cell r="B2130">
            <v>17.62</v>
          </cell>
        </row>
        <row r="2131">
          <cell r="A2131">
            <v>34465</v>
          </cell>
          <cell r="B2131">
            <v>17.84</v>
          </cell>
        </row>
        <row r="2132">
          <cell r="A2132">
            <v>34466</v>
          </cell>
          <cell r="B2132">
            <v>18.27</v>
          </cell>
        </row>
        <row r="2133">
          <cell r="A2133">
            <v>34467</v>
          </cell>
          <cell r="B2133">
            <v>18.2</v>
          </cell>
        </row>
        <row r="2134">
          <cell r="A2134">
            <v>34470</v>
          </cell>
          <cell r="B2134">
            <v>17.989999999999998</v>
          </cell>
        </row>
        <row r="2135">
          <cell r="A2135">
            <v>34471</v>
          </cell>
          <cell r="B2135">
            <v>17.61</v>
          </cell>
        </row>
        <row r="2136">
          <cell r="A2136">
            <v>34472</v>
          </cell>
          <cell r="B2136">
            <v>18.02</v>
          </cell>
        </row>
        <row r="2137">
          <cell r="A2137">
            <v>34473</v>
          </cell>
          <cell r="B2137">
            <v>18.489999999999998</v>
          </cell>
        </row>
        <row r="2138">
          <cell r="A2138">
            <v>34474</v>
          </cell>
          <cell r="B2138">
            <v>18.93</v>
          </cell>
        </row>
        <row r="2139">
          <cell r="A2139">
            <v>34477</v>
          </cell>
          <cell r="B2139">
            <v>18.690000000000001</v>
          </cell>
        </row>
        <row r="2140">
          <cell r="A2140">
            <v>34478</v>
          </cell>
          <cell r="B2140">
            <v>18.399999999999999</v>
          </cell>
        </row>
        <row r="2141">
          <cell r="A2141">
            <v>34479</v>
          </cell>
          <cell r="B2141">
            <v>17.829999999999998</v>
          </cell>
        </row>
        <row r="2142">
          <cell r="A2142">
            <v>34480</v>
          </cell>
          <cell r="B2142">
            <v>17.760000000000002</v>
          </cell>
        </row>
        <row r="2143">
          <cell r="A2143">
            <v>34481</v>
          </cell>
          <cell r="B2143">
            <v>18.02</v>
          </cell>
        </row>
        <row r="2144">
          <cell r="A2144">
            <v>34485</v>
          </cell>
          <cell r="B2144">
            <v>18.3</v>
          </cell>
        </row>
        <row r="2145">
          <cell r="A2145">
            <v>34486</v>
          </cell>
          <cell r="B2145">
            <v>18.29</v>
          </cell>
        </row>
        <row r="2146">
          <cell r="A2146">
            <v>34487</v>
          </cell>
          <cell r="B2146">
            <v>18.25</v>
          </cell>
        </row>
        <row r="2147">
          <cell r="A2147">
            <v>34488</v>
          </cell>
          <cell r="B2147">
            <v>18.11</v>
          </cell>
        </row>
        <row r="2148">
          <cell r="A2148">
            <v>34491</v>
          </cell>
          <cell r="B2148">
            <v>18.100000000000001</v>
          </cell>
        </row>
        <row r="2149">
          <cell r="A2149">
            <v>34492</v>
          </cell>
          <cell r="B2149">
            <v>17.78</v>
          </cell>
        </row>
        <row r="2150">
          <cell r="A2150">
            <v>34493</v>
          </cell>
          <cell r="B2150">
            <v>18.28</v>
          </cell>
        </row>
        <row r="2151">
          <cell r="A2151">
            <v>34494</v>
          </cell>
          <cell r="B2151">
            <v>18.670000000000002</v>
          </cell>
        </row>
        <row r="2152">
          <cell r="A2152">
            <v>34495</v>
          </cell>
          <cell r="B2152">
            <v>18.48</v>
          </cell>
        </row>
        <row r="2153">
          <cell r="A2153">
            <v>34498</v>
          </cell>
          <cell r="B2153">
            <v>18.82</v>
          </cell>
        </row>
        <row r="2154">
          <cell r="A2154">
            <v>34499</v>
          </cell>
          <cell r="B2154">
            <v>18.940000000000001</v>
          </cell>
        </row>
        <row r="2155">
          <cell r="A2155">
            <v>34500</v>
          </cell>
          <cell r="B2155">
            <v>19.75</v>
          </cell>
        </row>
        <row r="2156">
          <cell r="A2156">
            <v>34501</v>
          </cell>
          <cell r="B2156">
            <v>19.829999999999998</v>
          </cell>
        </row>
        <row r="2157">
          <cell r="A2157">
            <v>34502</v>
          </cell>
          <cell r="B2157">
            <v>20.72</v>
          </cell>
        </row>
        <row r="2158">
          <cell r="A2158">
            <v>34505</v>
          </cell>
          <cell r="B2158">
            <v>20.68</v>
          </cell>
        </row>
        <row r="2159">
          <cell r="A2159">
            <v>34506</v>
          </cell>
          <cell r="B2159">
            <v>20.079999999999998</v>
          </cell>
        </row>
        <row r="2160">
          <cell r="A2160">
            <v>34507</v>
          </cell>
          <cell r="B2160">
            <v>19.59</v>
          </cell>
        </row>
        <row r="2161">
          <cell r="A2161">
            <v>34508</v>
          </cell>
          <cell r="B2161">
            <v>19.38</v>
          </cell>
        </row>
        <row r="2162">
          <cell r="A2162">
            <v>34509</v>
          </cell>
          <cell r="B2162">
            <v>19.28</v>
          </cell>
        </row>
        <row r="2163">
          <cell r="A2163">
            <v>34512</v>
          </cell>
          <cell r="B2163">
            <v>18.96</v>
          </cell>
        </row>
        <row r="2164">
          <cell r="A2164">
            <v>34513</v>
          </cell>
          <cell r="B2164">
            <v>19.14</v>
          </cell>
        </row>
        <row r="2165">
          <cell r="A2165">
            <v>34514</v>
          </cell>
          <cell r="B2165">
            <v>18.82</v>
          </cell>
        </row>
        <row r="2166">
          <cell r="A2166">
            <v>34515</v>
          </cell>
          <cell r="B2166">
            <v>19.37</v>
          </cell>
        </row>
        <row r="2167">
          <cell r="A2167">
            <v>34516</v>
          </cell>
          <cell r="B2167">
            <v>19.52</v>
          </cell>
        </row>
        <row r="2168">
          <cell r="A2168">
            <v>34520</v>
          </cell>
          <cell r="B2168">
            <v>19.62</v>
          </cell>
        </row>
        <row r="2169">
          <cell r="A2169">
            <v>34521</v>
          </cell>
          <cell r="B2169">
            <v>19.3</v>
          </cell>
        </row>
        <row r="2170">
          <cell r="A2170">
            <v>34522</v>
          </cell>
          <cell r="B2170">
            <v>19.149999999999999</v>
          </cell>
        </row>
        <row r="2171">
          <cell r="A2171">
            <v>34523</v>
          </cell>
          <cell r="B2171">
            <v>19.48</v>
          </cell>
        </row>
        <row r="2172">
          <cell r="A2172">
            <v>34526</v>
          </cell>
          <cell r="B2172">
            <v>20.170000000000002</v>
          </cell>
        </row>
        <row r="2173">
          <cell r="A2173">
            <v>34527</v>
          </cell>
          <cell r="B2173">
            <v>20.399999999999999</v>
          </cell>
        </row>
        <row r="2174">
          <cell r="A2174">
            <v>34528</v>
          </cell>
          <cell r="B2174">
            <v>20.14</v>
          </cell>
        </row>
        <row r="2175">
          <cell r="A2175">
            <v>34529</v>
          </cell>
          <cell r="B2175">
            <v>20.18</v>
          </cell>
        </row>
        <row r="2176">
          <cell r="A2176">
            <v>34530</v>
          </cell>
          <cell r="B2176">
            <v>19.89</v>
          </cell>
        </row>
        <row r="2177">
          <cell r="A2177">
            <v>34533</v>
          </cell>
          <cell r="B2177">
            <v>19.38</v>
          </cell>
        </row>
        <row r="2178">
          <cell r="A2178">
            <v>34534</v>
          </cell>
          <cell r="B2178">
            <v>19.489999999999998</v>
          </cell>
        </row>
        <row r="2179">
          <cell r="A2179">
            <v>34535</v>
          </cell>
          <cell r="B2179">
            <v>19.149999999999999</v>
          </cell>
        </row>
        <row r="2180">
          <cell r="A2180">
            <v>34536</v>
          </cell>
          <cell r="B2180">
            <v>19.32</v>
          </cell>
        </row>
        <row r="2181">
          <cell r="A2181">
            <v>34537</v>
          </cell>
          <cell r="B2181">
            <v>19.59</v>
          </cell>
        </row>
        <row r="2182">
          <cell r="A2182">
            <v>34540</v>
          </cell>
          <cell r="B2182">
            <v>19.420000000000002</v>
          </cell>
        </row>
        <row r="2183">
          <cell r="A2183">
            <v>34541</v>
          </cell>
          <cell r="B2183">
            <v>19.260000000000002</v>
          </cell>
        </row>
        <row r="2184">
          <cell r="A2184">
            <v>34542</v>
          </cell>
          <cell r="B2184">
            <v>19.46</v>
          </cell>
        </row>
        <row r="2185">
          <cell r="A2185">
            <v>34543</v>
          </cell>
          <cell r="B2185">
            <v>19.87</v>
          </cell>
        </row>
        <row r="2186">
          <cell r="A2186">
            <v>34544</v>
          </cell>
          <cell r="B2186">
            <v>20.3</v>
          </cell>
        </row>
        <row r="2187">
          <cell r="A2187">
            <v>34547</v>
          </cell>
          <cell r="B2187">
            <v>20.65</v>
          </cell>
        </row>
        <row r="2188">
          <cell r="A2188">
            <v>34548</v>
          </cell>
          <cell r="B2188">
            <v>20.22</v>
          </cell>
        </row>
        <row r="2189">
          <cell r="A2189">
            <v>34549</v>
          </cell>
          <cell r="B2189">
            <v>20.059999999999999</v>
          </cell>
        </row>
        <row r="2190">
          <cell r="A2190">
            <v>34550</v>
          </cell>
          <cell r="B2190">
            <v>20.14</v>
          </cell>
        </row>
        <row r="2191">
          <cell r="A2191">
            <v>34551</v>
          </cell>
          <cell r="B2191">
            <v>19.37</v>
          </cell>
        </row>
        <row r="2192">
          <cell r="A2192">
            <v>34554</v>
          </cell>
          <cell r="B2192">
            <v>19.41</v>
          </cell>
        </row>
        <row r="2193">
          <cell r="A2193">
            <v>34555</v>
          </cell>
          <cell r="B2193">
            <v>19.29</v>
          </cell>
        </row>
        <row r="2194">
          <cell r="A2194">
            <v>34556</v>
          </cell>
          <cell r="B2194">
            <v>18.96</v>
          </cell>
        </row>
        <row r="2195">
          <cell r="A2195">
            <v>34557</v>
          </cell>
          <cell r="B2195">
            <v>18.670000000000002</v>
          </cell>
        </row>
        <row r="2196">
          <cell r="A2196">
            <v>34558</v>
          </cell>
          <cell r="B2196">
            <v>18.05</v>
          </cell>
        </row>
        <row r="2197">
          <cell r="A2197">
            <v>34561</v>
          </cell>
          <cell r="B2197">
            <v>18.239999999999998</v>
          </cell>
        </row>
        <row r="2198">
          <cell r="A2198">
            <v>34562</v>
          </cell>
          <cell r="B2198">
            <v>17.64</v>
          </cell>
        </row>
        <row r="2199">
          <cell r="A2199">
            <v>34563</v>
          </cell>
          <cell r="B2199">
            <v>18.079999999999998</v>
          </cell>
        </row>
        <row r="2200">
          <cell r="A2200">
            <v>34564</v>
          </cell>
          <cell r="B2200">
            <v>17.73</v>
          </cell>
        </row>
        <row r="2201">
          <cell r="A2201">
            <v>34565</v>
          </cell>
          <cell r="B2201">
            <v>17.559999999999999</v>
          </cell>
        </row>
        <row r="2202">
          <cell r="A2202">
            <v>34568</v>
          </cell>
          <cell r="B2202">
            <v>16.87</v>
          </cell>
        </row>
        <row r="2203">
          <cell r="A2203">
            <v>34569</v>
          </cell>
          <cell r="B2203">
            <v>17.09</v>
          </cell>
        </row>
        <row r="2204">
          <cell r="A2204">
            <v>34570</v>
          </cell>
          <cell r="B2204">
            <v>17.54</v>
          </cell>
        </row>
        <row r="2205">
          <cell r="A2205">
            <v>34571</v>
          </cell>
          <cell r="B2205">
            <v>17.489999999999998</v>
          </cell>
        </row>
        <row r="2206">
          <cell r="A2206">
            <v>34572</v>
          </cell>
          <cell r="B2206">
            <v>17.14</v>
          </cell>
        </row>
        <row r="2207">
          <cell r="A2207">
            <v>34575</v>
          </cell>
          <cell r="B2207">
            <v>17.62</v>
          </cell>
        </row>
        <row r="2208">
          <cell r="A2208">
            <v>34576</v>
          </cell>
          <cell r="B2208">
            <v>17.399999999999999</v>
          </cell>
        </row>
        <row r="2209">
          <cell r="A2209">
            <v>34577</v>
          </cell>
          <cell r="B2209">
            <v>17.600000000000001</v>
          </cell>
        </row>
        <row r="2210">
          <cell r="A2210">
            <v>34578</v>
          </cell>
          <cell r="B2210">
            <v>17.47</v>
          </cell>
        </row>
        <row r="2211">
          <cell r="A2211">
            <v>34579</v>
          </cell>
          <cell r="B2211">
            <v>17.52</v>
          </cell>
        </row>
        <row r="2212">
          <cell r="A2212">
            <v>34583</v>
          </cell>
          <cell r="B2212">
            <v>17.62</v>
          </cell>
        </row>
        <row r="2213">
          <cell r="A2213">
            <v>34584</v>
          </cell>
          <cell r="B2213">
            <v>17.84</v>
          </cell>
        </row>
        <row r="2214">
          <cell r="A2214">
            <v>34585</v>
          </cell>
          <cell r="B2214">
            <v>17.62</v>
          </cell>
        </row>
        <row r="2215">
          <cell r="A2215">
            <v>34586</v>
          </cell>
          <cell r="B2215">
            <v>17.53</v>
          </cell>
        </row>
        <row r="2216">
          <cell r="A2216">
            <v>34589</v>
          </cell>
          <cell r="B2216">
            <v>17.39</v>
          </cell>
        </row>
        <row r="2217">
          <cell r="A2217">
            <v>34590</v>
          </cell>
          <cell r="B2217">
            <v>17</v>
          </cell>
        </row>
        <row r="2218">
          <cell r="A2218">
            <v>34591</v>
          </cell>
          <cell r="B2218">
            <v>16.72</v>
          </cell>
        </row>
        <row r="2219">
          <cell r="A2219">
            <v>34592</v>
          </cell>
          <cell r="B2219">
            <v>16.72</v>
          </cell>
        </row>
        <row r="2220">
          <cell r="A2220">
            <v>34593</v>
          </cell>
          <cell r="B2220">
            <v>16.84</v>
          </cell>
        </row>
        <row r="2221">
          <cell r="A2221">
            <v>34596</v>
          </cell>
          <cell r="B2221">
            <v>17.21</v>
          </cell>
        </row>
        <row r="2222">
          <cell r="A2222">
            <v>34597</v>
          </cell>
          <cell r="B2222">
            <v>17.239999999999998</v>
          </cell>
        </row>
        <row r="2223">
          <cell r="A2223">
            <v>34598</v>
          </cell>
          <cell r="B2223">
            <v>17.059999999999999</v>
          </cell>
        </row>
        <row r="2224">
          <cell r="A2224">
            <v>34599</v>
          </cell>
          <cell r="B2224">
            <v>17.649999999999999</v>
          </cell>
        </row>
        <row r="2225">
          <cell r="A2225">
            <v>34600</v>
          </cell>
          <cell r="B2225">
            <v>17.760000000000002</v>
          </cell>
        </row>
        <row r="2226">
          <cell r="A2226">
            <v>34603</v>
          </cell>
          <cell r="B2226">
            <v>17.68</v>
          </cell>
        </row>
        <row r="2227">
          <cell r="A2227">
            <v>34604</v>
          </cell>
          <cell r="B2227">
            <v>17.48</v>
          </cell>
        </row>
        <row r="2228">
          <cell r="A2228">
            <v>34605</v>
          </cell>
          <cell r="B2228">
            <v>17.690000000000001</v>
          </cell>
        </row>
        <row r="2229">
          <cell r="A2229">
            <v>34606</v>
          </cell>
          <cell r="B2229">
            <v>17.96</v>
          </cell>
        </row>
        <row r="2230">
          <cell r="A2230">
            <v>34607</v>
          </cell>
          <cell r="B2230">
            <v>18.36</v>
          </cell>
        </row>
        <row r="2231">
          <cell r="A2231">
            <v>34610</v>
          </cell>
          <cell r="B2231">
            <v>18.16</v>
          </cell>
        </row>
        <row r="2232">
          <cell r="A2232">
            <v>34611</v>
          </cell>
          <cell r="B2232">
            <v>17.97</v>
          </cell>
        </row>
        <row r="2233">
          <cell r="A2233">
            <v>34612</v>
          </cell>
          <cell r="B2233">
            <v>18.010000000000002</v>
          </cell>
        </row>
        <row r="2234">
          <cell r="A2234">
            <v>34613</v>
          </cell>
          <cell r="B2234">
            <v>18.239999999999998</v>
          </cell>
        </row>
        <row r="2235">
          <cell r="A2235">
            <v>34614</v>
          </cell>
          <cell r="B2235">
            <v>18.27</v>
          </cell>
        </row>
        <row r="2236">
          <cell r="A2236">
            <v>34617</v>
          </cell>
          <cell r="B2236">
            <v>17.95</v>
          </cell>
        </row>
        <row r="2237">
          <cell r="A2237">
            <v>34618</v>
          </cell>
          <cell r="B2237">
            <v>17.739999999999998</v>
          </cell>
        </row>
        <row r="2238">
          <cell r="A2238">
            <v>34619</v>
          </cell>
          <cell r="B2238">
            <v>17.13</v>
          </cell>
        </row>
        <row r="2239">
          <cell r="A2239">
            <v>34620</v>
          </cell>
          <cell r="B2239">
            <v>17.03</v>
          </cell>
        </row>
        <row r="2240">
          <cell r="A2240">
            <v>34621</v>
          </cell>
          <cell r="B2240">
            <v>16.98</v>
          </cell>
        </row>
        <row r="2241">
          <cell r="A2241">
            <v>34624</v>
          </cell>
          <cell r="B2241">
            <v>17.11</v>
          </cell>
        </row>
        <row r="2242">
          <cell r="A2242">
            <v>34625</v>
          </cell>
          <cell r="B2242">
            <v>17.34</v>
          </cell>
        </row>
        <row r="2243">
          <cell r="A2243">
            <v>34626</v>
          </cell>
          <cell r="B2243">
            <v>17.43</v>
          </cell>
        </row>
        <row r="2244">
          <cell r="A2244">
            <v>34627</v>
          </cell>
          <cell r="B2244">
            <v>17.57</v>
          </cell>
        </row>
        <row r="2245">
          <cell r="A2245">
            <v>34628</v>
          </cell>
          <cell r="B2245">
            <v>17.309999999999999</v>
          </cell>
        </row>
        <row r="2246">
          <cell r="A2246">
            <v>34631</v>
          </cell>
          <cell r="B2246">
            <v>17.5</v>
          </cell>
        </row>
        <row r="2247">
          <cell r="A2247">
            <v>34632</v>
          </cell>
          <cell r="B2247">
            <v>17.71</v>
          </cell>
        </row>
        <row r="2248">
          <cell r="A2248">
            <v>34633</v>
          </cell>
          <cell r="B2248">
            <v>18.010000000000002</v>
          </cell>
        </row>
        <row r="2249">
          <cell r="A2249">
            <v>34634</v>
          </cell>
          <cell r="B2249">
            <v>18.170000000000002</v>
          </cell>
        </row>
        <row r="2250">
          <cell r="A2250">
            <v>34635</v>
          </cell>
          <cell r="B2250">
            <v>18.25</v>
          </cell>
        </row>
        <row r="2251">
          <cell r="A2251">
            <v>34638</v>
          </cell>
          <cell r="B2251">
            <v>18.16</v>
          </cell>
        </row>
        <row r="2252">
          <cell r="A2252">
            <v>34639</v>
          </cell>
          <cell r="B2252">
            <v>18.66</v>
          </cell>
        </row>
        <row r="2253">
          <cell r="A2253">
            <v>34640</v>
          </cell>
          <cell r="B2253">
            <v>18.899999999999999</v>
          </cell>
        </row>
        <row r="2254">
          <cell r="A2254">
            <v>34641</v>
          </cell>
          <cell r="B2254">
            <v>18.97</v>
          </cell>
        </row>
        <row r="2255">
          <cell r="A2255">
            <v>34642</v>
          </cell>
          <cell r="B2255">
            <v>18.760000000000002</v>
          </cell>
        </row>
        <row r="2256">
          <cell r="A2256">
            <v>34645</v>
          </cell>
          <cell r="B2256">
            <v>18.38</v>
          </cell>
        </row>
        <row r="2257">
          <cell r="A2257">
            <v>34646</v>
          </cell>
          <cell r="B2257">
            <v>18.46</v>
          </cell>
        </row>
        <row r="2258">
          <cell r="A2258">
            <v>34647</v>
          </cell>
          <cell r="B2258">
            <v>18.16</v>
          </cell>
        </row>
        <row r="2259">
          <cell r="A2259">
            <v>34648</v>
          </cell>
          <cell r="B2259">
            <v>18.18</v>
          </cell>
        </row>
        <row r="2260">
          <cell r="A2260">
            <v>34649</v>
          </cell>
          <cell r="B2260">
            <v>18.07</v>
          </cell>
        </row>
        <row r="2261">
          <cell r="A2261">
            <v>34652</v>
          </cell>
          <cell r="B2261">
            <v>17.48</v>
          </cell>
        </row>
        <row r="2262">
          <cell r="A2262">
            <v>34653</v>
          </cell>
          <cell r="B2262">
            <v>17.579999999999998</v>
          </cell>
        </row>
        <row r="2263">
          <cell r="A2263">
            <v>34654</v>
          </cell>
          <cell r="B2263">
            <v>17.38</v>
          </cell>
        </row>
        <row r="2264">
          <cell r="A2264">
            <v>34655</v>
          </cell>
          <cell r="B2264">
            <v>17.63</v>
          </cell>
        </row>
        <row r="2265">
          <cell r="A2265">
            <v>34656</v>
          </cell>
          <cell r="B2265">
            <v>17.47</v>
          </cell>
        </row>
        <row r="2266">
          <cell r="A2266">
            <v>34659</v>
          </cell>
          <cell r="B2266">
            <v>17.43</v>
          </cell>
        </row>
        <row r="2267">
          <cell r="A2267">
            <v>34660</v>
          </cell>
          <cell r="B2267">
            <v>17.7</v>
          </cell>
        </row>
        <row r="2268">
          <cell r="A2268">
            <v>34661</v>
          </cell>
          <cell r="B2268">
            <v>18.05</v>
          </cell>
        </row>
        <row r="2269">
          <cell r="A2269">
            <v>34666</v>
          </cell>
          <cell r="B2269">
            <v>18.100000000000001</v>
          </cell>
        </row>
        <row r="2270">
          <cell r="A2270">
            <v>34667</v>
          </cell>
          <cell r="B2270">
            <v>17.97</v>
          </cell>
        </row>
        <row r="2271">
          <cell r="A2271">
            <v>34668</v>
          </cell>
          <cell r="B2271">
            <v>18.059999999999999</v>
          </cell>
        </row>
        <row r="2272">
          <cell r="A2272">
            <v>34669</v>
          </cell>
          <cell r="B2272">
            <v>17.77</v>
          </cell>
        </row>
        <row r="2273">
          <cell r="A2273">
            <v>34670</v>
          </cell>
          <cell r="B2273">
            <v>17</v>
          </cell>
        </row>
        <row r="2274">
          <cell r="A2274">
            <v>34673</v>
          </cell>
          <cell r="B2274">
            <v>16.88</v>
          </cell>
        </row>
        <row r="2275">
          <cell r="A2275">
            <v>34674</v>
          </cell>
          <cell r="B2275">
            <v>16.93</v>
          </cell>
        </row>
        <row r="2276">
          <cell r="A2276">
            <v>34675</v>
          </cell>
          <cell r="B2276">
            <v>16.86</v>
          </cell>
        </row>
        <row r="2277">
          <cell r="A2277">
            <v>34676</v>
          </cell>
          <cell r="B2277">
            <v>17.14</v>
          </cell>
        </row>
        <row r="2278">
          <cell r="A2278">
            <v>34677</v>
          </cell>
          <cell r="B2278">
            <v>17.12</v>
          </cell>
        </row>
        <row r="2279">
          <cell r="A2279">
            <v>34680</v>
          </cell>
          <cell r="B2279">
            <v>16.920000000000002</v>
          </cell>
        </row>
        <row r="2280">
          <cell r="A2280">
            <v>34681</v>
          </cell>
          <cell r="B2280">
            <v>16.98</v>
          </cell>
        </row>
        <row r="2281">
          <cell r="A2281">
            <v>34682</v>
          </cell>
          <cell r="B2281">
            <v>16.96</v>
          </cell>
        </row>
        <row r="2282">
          <cell r="A2282">
            <v>34683</v>
          </cell>
          <cell r="B2282">
            <v>16.600000000000001</v>
          </cell>
        </row>
        <row r="2283">
          <cell r="A2283">
            <v>34684</v>
          </cell>
          <cell r="B2283">
            <v>16.84</v>
          </cell>
        </row>
        <row r="2284">
          <cell r="A2284">
            <v>34687</v>
          </cell>
          <cell r="B2284">
            <v>16.91</v>
          </cell>
        </row>
        <row r="2285">
          <cell r="A2285">
            <v>34688</v>
          </cell>
          <cell r="B2285">
            <v>16.98</v>
          </cell>
        </row>
        <row r="2286">
          <cell r="A2286">
            <v>34689</v>
          </cell>
          <cell r="B2286">
            <v>17.07</v>
          </cell>
        </row>
        <row r="2287">
          <cell r="A2287">
            <v>34690</v>
          </cell>
          <cell r="B2287">
            <v>17.149999999999999</v>
          </cell>
        </row>
        <row r="2288">
          <cell r="A2288">
            <v>34691</v>
          </cell>
          <cell r="B2288">
            <v>17.41</v>
          </cell>
        </row>
        <row r="2289">
          <cell r="A2289">
            <v>34695</v>
          </cell>
          <cell r="B2289">
            <v>17.63</v>
          </cell>
        </row>
        <row r="2290">
          <cell r="A2290">
            <v>34696</v>
          </cell>
          <cell r="B2290">
            <v>17.739999999999998</v>
          </cell>
        </row>
        <row r="2291">
          <cell r="A2291">
            <v>34697</v>
          </cell>
          <cell r="B2291">
            <v>17.690000000000001</v>
          </cell>
        </row>
        <row r="2292">
          <cell r="A2292">
            <v>34698</v>
          </cell>
          <cell r="B2292">
            <v>17.77</v>
          </cell>
        </row>
        <row r="2293">
          <cell r="A2293">
            <v>34702</v>
          </cell>
          <cell r="B2293">
            <v>17.45</v>
          </cell>
        </row>
        <row r="2294">
          <cell r="A2294">
            <v>34703</v>
          </cell>
          <cell r="B2294">
            <v>17.559999999999999</v>
          </cell>
        </row>
        <row r="2295">
          <cell r="A2295">
            <v>34704</v>
          </cell>
          <cell r="B2295">
            <v>17.760000000000002</v>
          </cell>
        </row>
        <row r="2296">
          <cell r="A2296">
            <v>34705</v>
          </cell>
          <cell r="B2296">
            <v>17.690000000000001</v>
          </cell>
        </row>
        <row r="2297">
          <cell r="A2297">
            <v>34708</v>
          </cell>
          <cell r="B2297">
            <v>17.399999999999999</v>
          </cell>
        </row>
        <row r="2298">
          <cell r="A2298">
            <v>34709</v>
          </cell>
          <cell r="B2298">
            <v>17.420000000000002</v>
          </cell>
        </row>
        <row r="2299">
          <cell r="A2299">
            <v>34710</v>
          </cell>
          <cell r="B2299">
            <v>17.7</v>
          </cell>
        </row>
        <row r="2300">
          <cell r="A2300">
            <v>34711</v>
          </cell>
          <cell r="B2300">
            <v>17.72</v>
          </cell>
        </row>
        <row r="2301">
          <cell r="A2301">
            <v>34712</v>
          </cell>
          <cell r="B2301">
            <v>17.52</v>
          </cell>
        </row>
        <row r="2302">
          <cell r="A2302">
            <v>34715</v>
          </cell>
          <cell r="B2302">
            <v>17.89</v>
          </cell>
        </row>
        <row r="2303">
          <cell r="A2303">
            <v>34716</v>
          </cell>
          <cell r="B2303">
            <v>18.47</v>
          </cell>
        </row>
        <row r="2304">
          <cell r="A2304">
            <v>34717</v>
          </cell>
          <cell r="B2304">
            <v>18.72</v>
          </cell>
        </row>
        <row r="2305">
          <cell r="A2305">
            <v>34718</v>
          </cell>
          <cell r="B2305">
            <v>18.7</v>
          </cell>
        </row>
        <row r="2306">
          <cell r="A2306">
            <v>34719</v>
          </cell>
          <cell r="B2306">
            <v>18.46</v>
          </cell>
        </row>
        <row r="2307">
          <cell r="A2307">
            <v>34722</v>
          </cell>
          <cell r="B2307">
            <v>18.16</v>
          </cell>
        </row>
        <row r="2308">
          <cell r="A2308">
            <v>34723</v>
          </cell>
          <cell r="B2308">
            <v>18.53</v>
          </cell>
        </row>
        <row r="2309">
          <cell r="A2309">
            <v>34724</v>
          </cell>
          <cell r="B2309">
            <v>18.82</v>
          </cell>
        </row>
        <row r="2310">
          <cell r="A2310">
            <v>34725</v>
          </cell>
          <cell r="B2310">
            <v>18.23</v>
          </cell>
        </row>
        <row r="2311">
          <cell r="A2311">
            <v>34726</v>
          </cell>
          <cell r="B2311">
            <v>17.95</v>
          </cell>
        </row>
        <row r="2312">
          <cell r="A2312">
            <v>34729</v>
          </cell>
          <cell r="B2312">
            <v>18.2</v>
          </cell>
        </row>
        <row r="2313">
          <cell r="A2313">
            <v>34730</v>
          </cell>
          <cell r="B2313">
            <v>18.48</v>
          </cell>
        </row>
        <row r="2314">
          <cell r="A2314">
            <v>34731</v>
          </cell>
          <cell r="B2314">
            <v>18.48</v>
          </cell>
        </row>
        <row r="2315">
          <cell r="A2315">
            <v>34732</v>
          </cell>
          <cell r="B2315">
            <v>18.54</v>
          </cell>
        </row>
        <row r="2316">
          <cell r="A2316">
            <v>34733</v>
          </cell>
          <cell r="B2316">
            <v>18.78</v>
          </cell>
        </row>
        <row r="2317">
          <cell r="A2317">
            <v>34736</v>
          </cell>
          <cell r="B2317">
            <v>18.579999999999998</v>
          </cell>
        </row>
        <row r="2318">
          <cell r="A2318">
            <v>34737</v>
          </cell>
          <cell r="B2318">
            <v>18.43</v>
          </cell>
        </row>
        <row r="2319">
          <cell r="A2319">
            <v>34738</v>
          </cell>
          <cell r="B2319">
            <v>18.36</v>
          </cell>
        </row>
        <row r="2320">
          <cell r="A2320">
            <v>34739</v>
          </cell>
          <cell r="B2320">
            <v>18.28</v>
          </cell>
        </row>
        <row r="2321">
          <cell r="A2321">
            <v>34740</v>
          </cell>
          <cell r="B2321">
            <v>18.47</v>
          </cell>
        </row>
        <row r="2322">
          <cell r="A2322">
            <v>34743</v>
          </cell>
          <cell r="B2322">
            <v>18.29</v>
          </cell>
        </row>
        <row r="2323">
          <cell r="A2323">
            <v>34744</v>
          </cell>
          <cell r="B2323">
            <v>18.440000000000001</v>
          </cell>
        </row>
        <row r="2324">
          <cell r="A2324">
            <v>34745</v>
          </cell>
          <cell r="B2324">
            <v>18.46</v>
          </cell>
        </row>
        <row r="2325">
          <cell r="A2325">
            <v>34746</v>
          </cell>
          <cell r="B2325">
            <v>18.63</v>
          </cell>
        </row>
        <row r="2326">
          <cell r="A2326">
            <v>34747</v>
          </cell>
          <cell r="B2326">
            <v>18.940000000000001</v>
          </cell>
        </row>
        <row r="2327">
          <cell r="A2327">
            <v>34751</v>
          </cell>
          <cell r="B2327">
            <v>18.86</v>
          </cell>
        </row>
        <row r="2328">
          <cell r="A2328">
            <v>34752</v>
          </cell>
          <cell r="B2328">
            <v>18.84</v>
          </cell>
        </row>
        <row r="2329">
          <cell r="A2329">
            <v>34753</v>
          </cell>
          <cell r="B2329">
            <v>18.59</v>
          </cell>
        </row>
        <row r="2330">
          <cell r="A2330">
            <v>34754</v>
          </cell>
          <cell r="B2330">
            <v>18.7</v>
          </cell>
        </row>
        <row r="2331">
          <cell r="A2331">
            <v>34757</v>
          </cell>
          <cell r="B2331">
            <v>18.64</v>
          </cell>
        </row>
        <row r="2332">
          <cell r="A2332">
            <v>34758</v>
          </cell>
          <cell r="B2332">
            <v>18.52</v>
          </cell>
        </row>
        <row r="2333">
          <cell r="A2333">
            <v>34759</v>
          </cell>
          <cell r="B2333">
            <v>18.309999999999999</v>
          </cell>
        </row>
        <row r="2334">
          <cell r="A2334">
            <v>34760</v>
          </cell>
          <cell r="B2334">
            <v>18.399999999999999</v>
          </cell>
        </row>
        <row r="2335">
          <cell r="A2335">
            <v>34761</v>
          </cell>
          <cell r="B2335">
            <v>18.63</v>
          </cell>
        </row>
        <row r="2336">
          <cell r="A2336">
            <v>34764</v>
          </cell>
          <cell r="B2336">
            <v>18.559999999999999</v>
          </cell>
        </row>
        <row r="2337">
          <cell r="A2337">
            <v>34765</v>
          </cell>
          <cell r="B2337">
            <v>18.59</v>
          </cell>
        </row>
        <row r="2338">
          <cell r="A2338">
            <v>34766</v>
          </cell>
          <cell r="B2338">
            <v>18.3</v>
          </cell>
        </row>
        <row r="2339">
          <cell r="A2339">
            <v>34767</v>
          </cell>
          <cell r="B2339">
            <v>17.98</v>
          </cell>
        </row>
        <row r="2340">
          <cell r="A2340">
            <v>34768</v>
          </cell>
          <cell r="B2340">
            <v>17.920000000000002</v>
          </cell>
        </row>
        <row r="2341">
          <cell r="A2341">
            <v>34771</v>
          </cell>
          <cell r="B2341">
            <v>18.190000000000001</v>
          </cell>
        </row>
        <row r="2342">
          <cell r="A2342">
            <v>34772</v>
          </cell>
          <cell r="B2342">
            <v>17.899999999999999</v>
          </cell>
        </row>
        <row r="2343">
          <cell r="A2343">
            <v>34773</v>
          </cell>
          <cell r="B2343">
            <v>18.12</v>
          </cell>
        </row>
        <row r="2344">
          <cell r="A2344">
            <v>34774</v>
          </cell>
          <cell r="B2344">
            <v>18.18</v>
          </cell>
        </row>
        <row r="2345">
          <cell r="A2345">
            <v>34775</v>
          </cell>
          <cell r="B2345">
            <v>18.27</v>
          </cell>
        </row>
        <row r="2346">
          <cell r="A2346">
            <v>34778</v>
          </cell>
          <cell r="B2346">
            <v>18.579999999999998</v>
          </cell>
        </row>
        <row r="2347">
          <cell r="A2347">
            <v>34779</v>
          </cell>
          <cell r="B2347">
            <v>18.440000000000001</v>
          </cell>
        </row>
        <row r="2348">
          <cell r="A2348">
            <v>34780</v>
          </cell>
          <cell r="B2348">
            <v>18.91</v>
          </cell>
        </row>
        <row r="2349">
          <cell r="A2349">
            <v>34781</v>
          </cell>
          <cell r="B2349">
            <v>18.850000000000001</v>
          </cell>
        </row>
        <row r="2350">
          <cell r="A2350">
            <v>34782</v>
          </cell>
          <cell r="B2350">
            <v>18.68</v>
          </cell>
        </row>
        <row r="2351">
          <cell r="A2351">
            <v>34785</v>
          </cell>
          <cell r="B2351">
            <v>19.079999999999998</v>
          </cell>
        </row>
        <row r="2352">
          <cell r="A2352">
            <v>34786</v>
          </cell>
          <cell r="B2352">
            <v>18.95</v>
          </cell>
        </row>
        <row r="2353">
          <cell r="A2353">
            <v>34787</v>
          </cell>
          <cell r="B2353">
            <v>19.21</v>
          </cell>
        </row>
        <row r="2354">
          <cell r="A2354">
            <v>34788</v>
          </cell>
          <cell r="B2354">
            <v>19.170000000000002</v>
          </cell>
        </row>
        <row r="2355">
          <cell r="A2355">
            <v>34789</v>
          </cell>
          <cell r="B2355">
            <v>19.18</v>
          </cell>
        </row>
        <row r="2356">
          <cell r="A2356">
            <v>34792</v>
          </cell>
          <cell r="B2356">
            <v>19.05</v>
          </cell>
        </row>
        <row r="2357">
          <cell r="A2357">
            <v>34793</v>
          </cell>
          <cell r="B2357">
            <v>19.11</v>
          </cell>
        </row>
        <row r="2358">
          <cell r="A2358">
            <v>34794</v>
          </cell>
          <cell r="B2358">
            <v>19.57</v>
          </cell>
        </row>
        <row r="2359">
          <cell r="A2359">
            <v>34795</v>
          </cell>
          <cell r="B2359">
            <v>19.739999999999998</v>
          </cell>
        </row>
        <row r="2360">
          <cell r="A2360">
            <v>34796</v>
          </cell>
          <cell r="B2360">
            <v>19.670000000000002</v>
          </cell>
        </row>
        <row r="2361">
          <cell r="A2361">
            <v>34799</v>
          </cell>
          <cell r="B2361">
            <v>19.61</v>
          </cell>
        </row>
        <row r="2362">
          <cell r="A2362">
            <v>34800</v>
          </cell>
          <cell r="B2362">
            <v>19.84</v>
          </cell>
        </row>
        <row r="2363">
          <cell r="A2363">
            <v>34801</v>
          </cell>
          <cell r="B2363">
            <v>19.5</v>
          </cell>
        </row>
        <row r="2364">
          <cell r="A2364">
            <v>34802</v>
          </cell>
          <cell r="B2364">
            <v>19.16</v>
          </cell>
        </row>
        <row r="2365">
          <cell r="A2365">
            <v>34806</v>
          </cell>
          <cell r="B2365">
            <v>19.8</v>
          </cell>
        </row>
        <row r="2366">
          <cell r="A2366">
            <v>34807</v>
          </cell>
          <cell r="B2366">
            <v>20.14</v>
          </cell>
        </row>
        <row r="2367">
          <cell r="A2367">
            <v>34808</v>
          </cell>
          <cell r="B2367">
            <v>20.399999999999999</v>
          </cell>
        </row>
        <row r="2368">
          <cell r="A2368">
            <v>34809</v>
          </cell>
          <cell r="B2368">
            <v>20.52</v>
          </cell>
        </row>
        <row r="2369">
          <cell r="A2369">
            <v>34810</v>
          </cell>
          <cell r="B2369">
            <v>20.46</v>
          </cell>
        </row>
        <row r="2370">
          <cell r="A2370">
            <v>34813</v>
          </cell>
          <cell r="B2370">
            <v>20.13</v>
          </cell>
        </row>
        <row r="2371">
          <cell r="A2371">
            <v>34814</v>
          </cell>
          <cell r="B2371">
            <v>20.309999999999999</v>
          </cell>
        </row>
        <row r="2372">
          <cell r="A2372">
            <v>34815</v>
          </cell>
          <cell r="B2372">
            <v>20.18</v>
          </cell>
        </row>
        <row r="2373">
          <cell r="A2373">
            <v>34816</v>
          </cell>
          <cell r="B2373">
            <v>20.48</v>
          </cell>
        </row>
        <row r="2374">
          <cell r="A2374">
            <v>34817</v>
          </cell>
          <cell r="B2374">
            <v>20.36</v>
          </cell>
        </row>
        <row r="2375">
          <cell r="A2375">
            <v>34820</v>
          </cell>
          <cell r="B2375">
            <v>20.53</v>
          </cell>
        </row>
        <row r="2376">
          <cell r="A2376">
            <v>34821</v>
          </cell>
          <cell r="B2376">
            <v>20.18</v>
          </cell>
        </row>
        <row r="2377">
          <cell r="A2377">
            <v>34822</v>
          </cell>
          <cell r="B2377">
            <v>19.88</v>
          </cell>
        </row>
        <row r="2378">
          <cell r="A2378">
            <v>34823</v>
          </cell>
          <cell r="B2378">
            <v>20.3</v>
          </cell>
        </row>
        <row r="2379">
          <cell r="A2379">
            <v>34824</v>
          </cell>
          <cell r="B2379">
            <v>20.329999999999998</v>
          </cell>
        </row>
        <row r="2380">
          <cell r="A2380">
            <v>34827</v>
          </cell>
          <cell r="B2380">
            <v>20.32</v>
          </cell>
        </row>
        <row r="2381">
          <cell r="A2381">
            <v>34828</v>
          </cell>
          <cell r="B2381">
            <v>19.670000000000002</v>
          </cell>
        </row>
        <row r="2382">
          <cell r="A2382">
            <v>34829</v>
          </cell>
          <cell r="B2382">
            <v>19.760000000000002</v>
          </cell>
        </row>
        <row r="2383">
          <cell r="A2383">
            <v>34830</v>
          </cell>
          <cell r="B2383">
            <v>19.399999999999999</v>
          </cell>
        </row>
        <row r="2384">
          <cell r="A2384">
            <v>34831</v>
          </cell>
          <cell r="B2384">
            <v>19.55</v>
          </cell>
        </row>
        <row r="2385">
          <cell r="A2385">
            <v>34834</v>
          </cell>
          <cell r="B2385">
            <v>19.91</v>
          </cell>
        </row>
        <row r="2386">
          <cell r="A2386">
            <v>34835</v>
          </cell>
          <cell r="B2386">
            <v>20.010000000000002</v>
          </cell>
        </row>
        <row r="2387">
          <cell r="A2387">
            <v>34836</v>
          </cell>
          <cell r="B2387">
            <v>19.940000000000001</v>
          </cell>
        </row>
        <row r="2388">
          <cell r="A2388">
            <v>34837</v>
          </cell>
          <cell r="B2388">
            <v>19.989999999999998</v>
          </cell>
        </row>
        <row r="2389">
          <cell r="A2389">
            <v>34838</v>
          </cell>
          <cell r="B2389">
            <v>20.059999999999999</v>
          </cell>
        </row>
        <row r="2390">
          <cell r="A2390">
            <v>34841</v>
          </cell>
          <cell r="B2390">
            <v>19.86</v>
          </cell>
        </row>
        <row r="2391">
          <cell r="A2391">
            <v>34842</v>
          </cell>
          <cell r="B2391">
            <v>19.809999999999999</v>
          </cell>
        </row>
        <row r="2392">
          <cell r="A2392">
            <v>34843</v>
          </cell>
          <cell r="B2392">
            <v>19.34</v>
          </cell>
        </row>
        <row r="2393">
          <cell r="A2393">
            <v>34844</v>
          </cell>
          <cell r="B2393">
            <v>19.12</v>
          </cell>
        </row>
        <row r="2394">
          <cell r="A2394">
            <v>34845</v>
          </cell>
          <cell r="B2394">
            <v>18.7</v>
          </cell>
        </row>
        <row r="2395">
          <cell r="A2395">
            <v>34849</v>
          </cell>
          <cell r="B2395">
            <v>18.78</v>
          </cell>
        </row>
        <row r="2396">
          <cell r="A2396">
            <v>34850</v>
          </cell>
          <cell r="B2396">
            <v>18.88</v>
          </cell>
        </row>
        <row r="2397">
          <cell r="A2397">
            <v>34851</v>
          </cell>
          <cell r="B2397">
            <v>18.89</v>
          </cell>
        </row>
        <row r="2398">
          <cell r="A2398">
            <v>34852</v>
          </cell>
          <cell r="B2398">
            <v>19.14</v>
          </cell>
        </row>
        <row r="2399">
          <cell r="A2399">
            <v>34855</v>
          </cell>
          <cell r="B2399">
            <v>19.25</v>
          </cell>
        </row>
        <row r="2400">
          <cell r="A2400">
            <v>34856</v>
          </cell>
          <cell r="B2400">
            <v>19.16</v>
          </cell>
        </row>
        <row r="2401">
          <cell r="A2401">
            <v>34857</v>
          </cell>
          <cell r="B2401">
            <v>19.079999999999998</v>
          </cell>
        </row>
        <row r="2402">
          <cell r="A2402">
            <v>34858</v>
          </cell>
          <cell r="B2402">
            <v>18.940000000000001</v>
          </cell>
        </row>
        <row r="2403">
          <cell r="A2403">
            <v>34859</v>
          </cell>
          <cell r="B2403">
            <v>18.829999999999998</v>
          </cell>
        </row>
        <row r="2404">
          <cell r="A2404">
            <v>34862</v>
          </cell>
          <cell r="B2404">
            <v>18.87</v>
          </cell>
        </row>
        <row r="2405">
          <cell r="A2405">
            <v>34863</v>
          </cell>
          <cell r="B2405">
            <v>18.93</v>
          </cell>
        </row>
        <row r="2406">
          <cell r="A2406">
            <v>34864</v>
          </cell>
          <cell r="B2406">
            <v>19.05</v>
          </cell>
        </row>
        <row r="2407">
          <cell r="A2407">
            <v>34865</v>
          </cell>
          <cell r="B2407">
            <v>18.899999999999999</v>
          </cell>
        </row>
        <row r="2408">
          <cell r="A2408">
            <v>34866</v>
          </cell>
          <cell r="B2408">
            <v>18.8</v>
          </cell>
        </row>
        <row r="2409">
          <cell r="A2409">
            <v>34869</v>
          </cell>
          <cell r="B2409">
            <v>18.23</v>
          </cell>
        </row>
        <row r="2410">
          <cell r="A2410">
            <v>34870</v>
          </cell>
          <cell r="B2410">
            <v>18.010000000000002</v>
          </cell>
        </row>
        <row r="2411">
          <cell r="A2411">
            <v>34871</v>
          </cell>
          <cell r="B2411">
            <v>17.59</v>
          </cell>
        </row>
        <row r="2412">
          <cell r="A2412">
            <v>34872</v>
          </cell>
          <cell r="B2412">
            <v>17.760000000000002</v>
          </cell>
        </row>
        <row r="2413">
          <cell r="A2413">
            <v>34873</v>
          </cell>
          <cell r="B2413">
            <v>17.809999999999999</v>
          </cell>
        </row>
        <row r="2414">
          <cell r="A2414">
            <v>34876</v>
          </cell>
          <cell r="B2414">
            <v>17.670000000000002</v>
          </cell>
        </row>
        <row r="2415">
          <cell r="A2415">
            <v>34877</v>
          </cell>
          <cell r="B2415">
            <v>17.95</v>
          </cell>
        </row>
        <row r="2416">
          <cell r="A2416">
            <v>34878</v>
          </cell>
          <cell r="B2416">
            <v>17.98</v>
          </cell>
        </row>
        <row r="2417">
          <cell r="A2417">
            <v>34879</v>
          </cell>
          <cell r="B2417">
            <v>17.59</v>
          </cell>
        </row>
        <row r="2418">
          <cell r="A2418">
            <v>34880</v>
          </cell>
          <cell r="B2418">
            <v>17.38</v>
          </cell>
        </row>
        <row r="2419">
          <cell r="A2419">
            <v>34883</v>
          </cell>
          <cell r="B2419">
            <v>17.329999999999998</v>
          </cell>
        </row>
        <row r="2420">
          <cell r="A2420">
            <v>34885</v>
          </cell>
          <cell r="B2420">
            <v>17.21</v>
          </cell>
        </row>
        <row r="2421">
          <cell r="A2421">
            <v>34886</v>
          </cell>
          <cell r="B2421">
            <v>17.420000000000002</v>
          </cell>
        </row>
        <row r="2422">
          <cell r="A2422">
            <v>34887</v>
          </cell>
          <cell r="B2422">
            <v>17.14</v>
          </cell>
        </row>
        <row r="2423">
          <cell r="A2423">
            <v>34890</v>
          </cell>
          <cell r="B2423">
            <v>17.350000000000001</v>
          </cell>
        </row>
        <row r="2424">
          <cell r="A2424">
            <v>34891</v>
          </cell>
          <cell r="B2424">
            <v>17.309999999999999</v>
          </cell>
        </row>
        <row r="2425">
          <cell r="A2425">
            <v>34892</v>
          </cell>
          <cell r="B2425">
            <v>17.489999999999998</v>
          </cell>
        </row>
        <row r="2426">
          <cell r="A2426">
            <v>34893</v>
          </cell>
          <cell r="B2426">
            <v>17.25</v>
          </cell>
        </row>
        <row r="2427">
          <cell r="A2427">
            <v>34894</v>
          </cell>
          <cell r="B2427">
            <v>17.32</v>
          </cell>
        </row>
        <row r="2428">
          <cell r="A2428">
            <v>34897</v>
          </cell>
          <cell r="B2428">
            <v>17.28</v>
          </cell>
        </row>
        <row r="2429">
          <cell r="A2429">
            <v>34898</v>
          </cell>
          <cell r="B2429">
            <v>17.329999999999998</v>
          </cell>
        </row>
        <row r="2430">
          <cell r="A2430">
            <v>34899</v>
          </cell>
          <cell r="B2430">
            <v>17.329999999999998</v>
          </cell>
        </row>
        <row r="2431">
          <cell r="A2431">
            <v>34900</v>
          </cell>
          <cell r="B2431">
            <v>17.03</v>
          </cell>
        </row>
        <row r="2432">
          <cell r="A2432">
            <v>34901</v>
          </cell>
          <cell r="B2432">
            <v>17.07</v>
          </cell>
        </row>
        <row r="2433">
          <cell r="A2433">
            <v>34904</v>
          </cell>
          <cell r="B2433">
            <v>17.170000000000002</v>
          </cell>
        </row>
        <row r="2434">
          <cell r="A2434">
            <v>34905</v>
          </cell>
          <cell r="B2434">
            <v>17.45</v>
          </cell>
        </row>
        <row r="2435">
          <cell r="A2435">
            <v>34906</v>
          </cell>
          <cell r="B2435">
            <v>17.47</v>
          </cell>
        </row>
        <row r="2436">
          <cell r="A2436">
            <v>34907</v>
          </cell>
          <cell r="B2436">
            <v>17.510000000000002</v>
          </cell>
        </row>
        <row r="2437">
          <cell r="A2437">
            <v>34908</v>
          </cell>
          <cell r="B2437">
            <v>17.43</v>
          </cell>
        </row>
        <row r="2438">
          <cell r="A2438">
            <v>34911</v>
          </cell>
          <cell r="B2438">
            <v>17.62</v>
          </cell>
        </row>
        <row r="2439">
          <cell r="A2439">
            <v>34912</v>
          </cell>
          <cell r="B2439">
            <v>17.59</v>
          </cell>
        </row>
        <row r="2440">
          <cell r="A2440">
            <v>34913</v>
          </cell>
          <cell r="B2440">
            <v>17.95</v>
          </cell>
        </row>
        <row r="2441">
          <cell r="A2441">
            <v>34914</v>
          </cell>
          <cell r="B2441">
            <v>17.72</v>
          </cell>
        </row>
        <row r="2442">
          <cell r="A2442">
            <v>34915</v>
          </cell>
          <cell r="B2442">
            <v>17.739999999999998</v>
          </cell>
        </row>
        <row r="2443">
          <cell r="A2443">
            <v>34918</v>
          </cell>
          <cell r="B2443">
            <v>17.649999999999999</v>
          </cell>
        </row>
        <row r="2444">
          <cell r="A2444">
            <v>34919</v>
          </cell>
          <cell r="B2444">
            <v>17.86</v>
          </cell>
        </row>
        <row r="2445">
          <cell r="A2445">
            <v>34920</v>
          </cell>
          <cell r="B2445">
            <v>17.77</v>
          </cell>
        </row>
        <row r="2446">
          <cell r="A2446">
            <v>34921</v>
          </cell>
          <cell r="B2446">
            <v>17.91</v>
          </cell>
        </row>
        <row r="2447">
          <cell r="A2447">
            <v>34922</v>
          </cell>
          <cell r="B2447">
            <v>17.86</v>
          </cell>
        </row>
        <row r="2448">
          <cell r="A2448">
            <v>34925</v>
          </cell>
          <cell r="B2448">
            <v>17.48</v>
          </cell>
        </row>
        <row r="2449">
          <cell r="A2449">
            <v>34926</v>
          </cell>
          <cell r="B2449">
            <v>17.399999999999999</v>
          </cell>
        </row>
        <row r="2450">
          <cell r="A2450">
            <v>34927</v>
          </cell>
          <cell r="B2450">
            <v>17.59</v>
          </cell>
        </row>
        <row r="2451">
          <cell r="A2451">
            <v>34928</v>
          </cell>
          <cell r="B2451">
            <v>17.649999999999999</v>
          </cell>
        </row>
        <row r="2452">
          <cell r="A2452">
            <v>34929</v>
          </cell>
          <cell r="B2452">
            <v>17.87</v>
          </cell>
        </row>
        <row r="2453">
          <cell r="A2453">
            <v>34932</v>
          </cell>
          <cell r="B2453">
            <v>18.260000000000002</v>
          </cell>
        </row>
        <row r="2454">
          <cell r="A2454">
            <v>34933</v>
          </cell>
          <cell r="B2454">
            <v>18.54</v>
          </cell>
        </row>
        <row r="2455">
          <cell r="A2455">
            <v>34934</v>
          </cell>
          <cell r="B2455">
            <v>18.79</v>
          </cell>
        </row>
        <row r="2456">
          <cell r="A2456">
            <v>34935</v>
          </cell>
          <cell r="B2456">
            <v>19.600000000000001</v>
          </cell>
        </row>
        <row r="2457">
          <cell r="A2457">
            <v>34936</v>
          </cell>
          <cell r="B2457">
            <v>19.91</v>
          </cell>
        </row>
        <row r="2458">
          <cell r="A2458">
            <v>34939</v>
          </cell>
          <cell r="B2458">
            <v>17.84</v>
          </cell>
        </row>
        <row r="2459">
          <cell r="A2459">
            <v>34940</v>
          </cell>
          <cell r="B2459">
            <v>17.87</v>
          </cell>
        </row>
        <row r="2460">
          <cell r="A2460">
            <v>34941</v>
          </cell>
          <cell r="B2460">
            <v>17.739999999999998</v>
          </cell>
        </row>
        <row r="2461">
          <cell r="A2461">
            <v>34942</v>
          </cell>
          <cell r="B2461">
            <v>17.89</v>
          </cell>
        </row>
        <row r="2462">
          <cell r="A2462">
            <v>34943</v>
          </cell>
          <cell r="B2462">
            <v>18.079999999999998</v>
          </cell>
        </row>
        <row r="2463">
          <cell r="A2463">
            <v>34947</v>
          </cell>
          <cell r="B2463">
            <v>18.489999999999998</v>
          </cell>
        </row>
        <row r="2464">
          <cell r="A2464">
            <v>34948</v>
          </cell>
          <cell r="B2464">
            <v>18.27</v>
          </cell>
        </row>
        <row r="2465">
          <cell r="A2465">
            <v>34949</v>
          </cell>
          <cell r="B2465">
            <v>18.27</v>
          </cell>
        </row>
        <row r="2466">
          <cell r="A2466">
            <v>34950</v>
          </cell>
          <cell r="B2466">
            <v>18.440000000000001</v>
          </cell>
        </row>
        <row r="2467">
          <cell r="A2467">
            <v>34953</v>
          </cell>
          <cell r="B2467">
            <v>18.489999999999998</v>
          </cell>
        </row>
        <row r="2468">
          <cell r="A2468">
            <v>34954</v>
          </cell>
          <cell r="B2468">
            <v>18.760000000000002</v>
          </cell>
        </row>
        <row r="2469">
          <cell r="A2469">
            <v>34955</v>
          </cell>
          <cell r="B2469">
            <v>18.53</v>
          </cell>
        </row>
        <row r="2470">
          <cell r="A2470">
            <v>34956</v>
          </cell>
          <cell r="B2470">
            <v>18.87</v>
          </cell>
        </row>
        <row r="2471">
          <cell r="A2471">
            <v>34957</v>
          </cell>
          <cell r="B2471">
            <v>18.940000000000001</v>
          </cell>
        </row>
        <row r="2472">
          <cell r="A2472">
            <v>34960</v>
          </cell>
          <cell r="B2472">
            <v>18.920000000000002</v>
          </cell>
        </row>
        <row r="2473">
          <cell r="A2473">
            <v>34961</v>
          </cell>
          <cell r="B2473">
            <v>19.010000000000002</v>
          </cell>
        </row>
        <row r="2474">
          <cell r="A2474">
            <v>34962</v>
          </cell>
          <cell r="B2474">
            <v>18.53</v>
          </cell>
        </row>
        <row r="2475">
          <cell r="A2475">
            <v>34963</v>
          </cell>
          <cell r="B2475">
            <v>17.89</v>
          </cell>
        </row>
        <row r="2476">
          <cell r="A2476">
            <v>34964</v>
          </cell>
          <cell r="B2476">
            <v>17.27</v>
          </cell>
        </row>
        <row r="2477">
          <cell r="A2477">
            <v>34967</v>
          </cell>
          <cell r="B2477">
            <v>17.38</v>
          </cell>
        </row>
        <row r="2478">
          <cell r="A2478">
            <v>34968</v>
          </cell>
          <cell r="B2478">
            <v>17.47</v>
          </cell>
        </row>
        <row r="2479">
          <cell r="A2479">
            <v>34969</v>
          </cell>
          <cell r="B2479">
            <v>17.64</v>
          </cell>
        </row>
        <row r="2480">
          <cell r="A2480">
            <v>34970</v>
          </cell>
          <cell r="B2480">
            <v>17.72</v>
          </cell>
        </row>
        <row r="2481">
          <cell r="A2481">
            <v>34971</v>
          </cell>
          <cell r="B2481">
            <v>17.54</v>
          </cell>
        </row>
        <row r="2482">
          <cell r="A2482">
            <v>34974</v>
          </cell>
          <cell r="B2482">
            <v>17.670000000000002</v>
          </cell>
        </row>
        <row r="2483">
          <cell r="A2483">
            <v>34975</v>
          </cell>
          <cell r="B2483">
            <v>17.559999999999999</v>
          </cell>
        </row>
        <row r="2484">
          <cell r="A2484">
            <v>34976</v>
          </cell>
          <cell r="B2484">
            <v>17.32</v>
          </cell>
        </row>
        <row r="2485">
          <cell r="A2485">
            <v>34977</v>
          </cell>
          <cell r="B2485">
            <v>16.86</v>
          </cell>
        </row>
        <row r="2486">
          <cell r="A2486">
            <v>34978</v>
          </cell>
          <cell r="B2486">
            <v>17.03</v>
          </cell>
        </row>
        <row r="2487">
          <cell r="A2487">
            <v>34981</v>
          </cell>
          <cell r="B2487">
            <v>17.36</v>
          </cell>
        </row>
        <row r="2488">
          <cell r="A2488">
            <v>34982</v>
          </cell>
          <cell r="B2488">
            <v>17.29</v>
          </cell>
        </row>
        <row r="2489">
          <cell r="A2489">
            <v>34983</v>
          </cell>
          <cell r="B2489">
            <v>17.28</v>
          </cell>
        </row>
        <row r="2490">
          <cell r="A2490">
            <v>34984</v>
          </cell>
          <cell r="B2490">
            <v>17.079999999999998</v>
          </cell>
        </row>
        <row r="2491">
          <cell r="A2491">
            <v>34985</v>
          </cell>
          <cell r="B2491">
            <v>17.38</v>
          </cell>
        </row>
        <row r="2492">
          <cell r="A2492">
            <v>34988</v>
          </cell>
          <cell r="B2492">
            <v>17.600000000000001</v>
          </cell>
        </row>
        <row r="2493">
          <cell r="A2493">
            <v>34989</v>
          </cell>
          <cell r="B2493">
            <v>17.59</v>
          </cell>
        </row>
        <row r="2494">
          <cell r="A2494">
            <v>34990</v>
          </cell>
          <cell r="B2494">
            <v>17.57</v>
          </cell>
        </row>
        <row r="2495">
          <cell r="A2495">
            <v>34991</v>
          </cell>
          <cell r="B2495">
            <v>17.34</v>
          </cell>
        </row>
        <row r="2496">
          <cell r="A2496">
            <v>34992</v>
          </cell>
          <cell r="B2496">
            <v>17.440000000000001</v>
          </cell>
        </row>
        <row r="2497">
          <cell r="A2497">
            <v>34995</v>
          </cell>
          <cell r="B2497">
            <v>17.48</v>
          </cell>
        </row>
        <row r="2498">
          <cell r="A2498">
            <v>34996</v>
          </cell>
          <cell r="B2498">
            <v>17.61</v>
          </cell>
        </row>
        <row r="2499">
          <cell r="A2499">
            <v>34997</v>
          </cell>
          <cell r="B2499">
            <v>17.579999999999998</v>
          </cell>
        </row>
        <row r="2500">
          <cell r="A2500">
            <v>34998</v>
          </cell>
          <cell r="B2500">
            <v>17.61</v>
          </cell>
        </row>
        <row r="2501">
          <cell r="A2501">
            <v>34999</v>
          </cell>
          <cell r="B2501">
            <v>17.54</v>
          </cell>
        </row>
        <row r="2502">
          <cell r="A2502">
            <v>35002</v>
          </cell>
          <cell r="B2502">
            <v>17.670000000000002</v>
          </cell>
        </row>
        <row r="2503">
          <cell r="A2503">
            <v>35003</v>
          </cell>
          <cell r="B2503">
            <v>17.670000000000002</v>
          </cell>
        </row>
        <row r="2504">
          <cell r="A2504">
            <v>35004</v>
          </cell>
          <cell r="B2504">
            <v>17.739999999999998</v>
          </cell>
        </row>
        <row r="2505">
          <cell r="A2505">
            <v>35005</v>
          </cell>
          <cell r="B2505">
            <v>17.940000000000001</v>
          </cell>
        </row>
        <row r="2506">
          <cell r="A2506">
            <v>35006</v>
          </cell>
          <cell r="B2506">
            <v>17.93</v>
          </cell>
        </row>
        <row r="2507">
          <cell r="A2507">
            <v>35009</v>
          </cell>
          <cell r="B2507">
            <v>17.68</v>
          </cell>
        </row>
        <row r="2508">
          <cell r="A2508">
            <v>35010</v>
          </cell>
          <cell r="B2508">
            <v>17.62</v>
          </cell>
        </row>
        <row r="2509">
          <cell r="A2509">
            <v>35011</v>
          </cell>
          <cell r="B2509">
            <v>17.82</v>
          </cell>
        </row>
        <row r="2510">
          <cell r="A2510">
            <v>35012</v>
          </cell>
          <cell r="B2510">
            <v>17.829999999999998</v>
          </cell>
        </row>
        <row r="2511">
          <cell r="A2511">
            <v>35013</v>
          </cell>
          <cell r="B2511">
            <v>17.829999999999998</v>
          </cell>
        </row>
        <row r="2512">
          <cell r="A2512">
            <v>35016</v>
          </cell>
          <cell r="B2512">
            <v>17.78</v>
          </cell>
        </row>
        <row r="2513">
          <cell r="A2513">
            <v>35017</v>
          </cell>
          <cell r="B2513">
            <v>17.89</v>
          </cell>
        </row>
        <row r="2514">
          <cell r="A2514">
            <v>35018</v>
          </cell>
          <cell r="B2514">
            <v>17.920000000000002</v>
          </cell>
        </row>
        <row r="2515">
          <cell r="A2515">
            <v>35019</v>
          </cell>
          <cell r="B2515">
            <v>18.16</v>
          </cell>
        </row>
        <row r="2516">
          <cell r="A2516">
            <v>35020</v>
          </cell>
          <cell r="B2516">
            <v>18.559999999999999</v>
          </cell>
        </row>
        <row r="2517">
          <cell r="A2517">
            <v>35023</v>
          </cell>
          <cell r="B2517">
            <v>18.14</v>
          </cell>
        </row>
        <row r="2518">
          <cell r="A2518">
            <v>35024</v>
          </cell>
          <cell r="B2518">
            <v>17.89</v>
          </cell>
        </row>
        <row r="2519">
          <cell r="A2519">
            <v>35025</v>
          </cell>
          <cell r="B2519">
            <v>17.93</v>
          </cell>
        </row>
        <row r="2520">
          <cell r="A2520">
            <v>35030</v>
          </cell>
          <cell r="B2520">
            <v>18.37</v>
          </cell>
        </row>
        <row r="2521">
          <cell r="A2521">
            <v>35031</v>
          </cell>
          <cell r="B2521">
            <v>18.28</v>
          </cell>
        </row>
        <row r="2522">
          <cell r="A2522">
            <v>35032</v>
          </cell>
          <cell r="B2522">
            <v>18.27</v>
          </cell>
        </row>
        <row r="2523">
          <cell r="A2523">
            <v>35033</v>
          </cell>
          <cell r="B2523">
            <v>18.27</v>
          </cell>
        </row>
        <row r="2524">
          <cell r="A2524">
            <v>35034</v>
          </cell>
          <cell r="B2524">
            <v>18.43</v>
          </cell>
        </row>
        <row r="2525">
          <cell r="A2525">
            <v>35037</v>
          </cell>
          <cell r="B2525">
            <v>18.61</v>
          </cell>
        </row>
        <row r="2526">
          <cell r="A2526">
            <v>35038</v>
          </cell>
          <cell r="B2526">
            <v>18.66</v>
          </cell>
        </row>
        <row r="2527">
          <cell r="A2527">
            <v>35039</v>
          </cell>
          <cell r="B2527">
            <v>18.760000000000002</v>
          </cell>
        </row>
        <row r="2528">
          <cell r="A2528">
            <v>35040</v>
          </cell>
          <cell r="B2528">
            <v>18.690000000000001</v>
          </cell>
        </row>
        <row r="2529">
          <cell r="A2529">
            <v>35041</v>
          </cell>
          <cell r="B2529">
            <v>18.97</v>
          </cell>
        </row>
        <row r="2530">
          <cell r="A2530">
            <v>35044</v>
          </cell>
          <cell r="B2530">
            <v>18.62</v>
          </cell>
        </row>
        <row r="2531">
          <cell r="A2531">
            <v>35045</v>
          </cell>
          <cell r="B2531">
            <v>18.8</v>
          </cell>
        </row>
        <row r="2532">
          <cell r="A2532">
            <v>35046</v>
          </cell>
          <cell r="B2532">
            <v>19.010000000000002</v>
          </cell>
        </row>
        <row r="2533">
          <cell r="A2533">
            <v>35047</v>
          </cell>
          <cell r="B2533">
            <v>19.14</v>
          </cell>
        </row>
        <row r="2534">
          <cell r="A2534">
            <v>35048</v>
          </cell>
          <cell r="B2534">
            <v>19.510000000000002</v>
          </cell>
        </row>
        <row r="2535">
          <cell r="A2535">
            <v>35051</v>
          </cell>
          <cell r="B2535">
            <v>19.71</v>
          </cell>
        </row>
        <row r="2536">
          <cell r="A2536">
            <v>35052</v>
          </cell>
          <cell r="B2536">
            <v>19.05</v>
          </cell>
        </row>
        <row r="2537">
          <cell r="A2537">
            <v>35053</v>
          </cell>
          <cell r="B2537">
            <v>18.87</v>
          </cell>
        </row>
        <row r="2538">
          <cell r="A2538">
            <v>35054</v>
          </cell>
          <cell r="B2538">
            <v>18.829999999999998</v>
          </cell>
        </row>
        <row r="2539">
          <cell r="A2539">
            <v>35055</v>
          </cell>
          <cell r="B2539">
            <v>19.12</v>
          </cell>
        </row>
        <row r="2540">
          <cell r="A2540">
            <v>35059</v>
          </cell>
          <cell r="B2540">
            <v>19.25</v>
          </cell>
        </row>
        <row r="2541">
          <cell r="A2541">
            <v>35060</v>
          </cell>
          <cell r="B2541">
            <v>19.489999999999998</v>
          </cell>
        </row>
        <row r="2542">
          <cell r="A2542">
            <v>35061</v>
          </cell>
          <cell r="B2542">
            <v>19.47</v>
          </cell>
        </row>
        <row r="2543">
          <cell r="A2543">
            <v>35062</v>
          </cell>
          <cell r="B2543">
            <v>19.54</v>
          </cell>
        </row>
        <row r="2544">
          <cell r="A2544">
            <v>35066</v>
          </cell>
          <cell r="B2544">
            <v>19.829999999999998</v>
          </cell>
        </row>
        <row r="2545">
          <cell r="A2545">
            <v>35067</v>
          </cell>
          <cell r="B2545">
            <v>19.899999999999999</v>
          </cell>
        </row>
        <row r="2546">
          <cell r="A2546">
            <v>35068</v>
          </cell>
          <cell r="B2546">
            <v>19.96</v>
          </cell>
        </row>
        <row r="2547">
          <cell r="A2547">
            <v>35069</v>
          </cell>
          <cell r="B2547">
            <v>20.260000000000002</v>
          </cell>
        </row>
        <row r="2548">
          <cell r="A2548">
            <v>35072</v>
          </cell>
          <cell r="B2548">
            <v>20.5</v>
          </cell>
        </row>
        <row r="2549">
          <cell r="A2549">
            <v>35073</v>
          </cell>
          <cell r="B2549">
            <v>19.86</v>
          </cell>
        </row>
        <row r="2550">
          <cell r="A2550">
            <v>35074</v>
          </cell>
          <cell r="B2550">
            <v>19.66</v>
          </cell>
        </row>
        <row r="2551">
          <cell r="A2551">
            <v>35075</v>
          </cell>
          <cell r="B2551">
            <v>18.87</v>
          </cell>
        </row>
        <row r="2552">
          <cell r="A2552">
            <v>35076</v>
          </cell>
          <cell r="B2552">
            <v>18.28</v>
          </cell>
        </row>
        <row r="2553">
          <cell r="A2553">
            <v>35079</v>
          </cell>
          <cell r="B2553">
            <v>18.420000000000002</v>
          </cell>
        </row>
        <row r="2554">
          <cell r="A2554">
            <v>35080</v>
          </cell>
          <cell r="B2554">
            <v>18.12</v>
          </cell>
        </row>
        <row r="2555">
          <cell r="A2555">
            <v>35081</v>
          </cell>
          <cell r="B2555">
            <v>18.579999999999998</v>
          </cell>
        </row>
        <row r="2556">
          <cell r="A2556">
            <v>35082</v>
          </cell>
          <cell r="B2556">
            <v>19.12</v>
          </cell>
        </row>
        <row r="2557">
          <cell r="A2557">
            <v>35083</v>
          </cell>
          <cell r="B2557">
            <v>18.940000000000001</v>
          </cell>
        </row>
        <row r="2558">
          <cell r="A2558">
            <v>35086</v>
          </cell>
          <cell r="B2558">
            <v>18.489999999999998</v>
          </cell>
        </row>
        <row r="2559">
          <cell r="A2559">
            <v>35087</v>
          </cell>
          <cell r="B2559">
            <v>18.579999999999998</v>
          </cell>
        </row>
        <row r="2560">
          <cell r="A2560">
            <v>35088</v>
          </cell>
          <cell r="B2560">
            <v>18.95</v>
          </cell>
        </row>
        <row r="2561">
          <cell r="A2561">
            <v>35089</v>
          </cell>
          <cell r="B2561">
            <v>18.059999999999999</v>
          </cell>
        </row>
        <row r="2562">
          <cell r="A2562">
            <v>35090</v>
          </cell>
          <cell r="B2562">
            <v>17.68</v>
          </cell>
        </row>
        <row r="2563">
          <cell r="A2563">
            <v>35093</v>
          </cell>
          <cell r="B2563">
            <v>17.329999999999998</v>
          </cell>
        </row>
        <row r="2564">
          <cell r="A2564">
            <v>35094</v>
          </cell>
          <cell r="B2564">
            <v>17.649999999999999</v>
          </cell>
        </row>
        <row r="2565">
          <cell r="A2565">
            <v>35095</v>
          </cell>
          <cell r="B2565">
            <v>17.760000000000002</v>
          </cell>
        </row>
        <row r="2566">
          <cell r="A2566">
            <v>35096</v>
          </cell>
          <cell r="B2566">
            <v>17.63</v>
          </cell>
        </row>
        <row r="2567">
          <cell r="A2567">
            <v>35097</v>
          </cell>
          <cell r="B2567">
            <v>17.829999999999998</v>
          </cell>
        </row>
        <row r="2568">
          <cell r="A2568">
            <v>35100</v>
          </cell>
          <cell r="B2568">
            <v>17.53</v>
          </cell>
        </row>
        <row r="2569">
          <cell r="A2569">
            <v>35101</v>
          </cell>
          <cell r="B2569">
            <v>17.739999999999998</v>
          </cell>
        </row>
        <row r="2570">
          <cell r="A2570">
            <v>35102</v>
          </cell>
          <cell r="B2570">
            <v>17.71</v>
          </cell>
        </row>
        <row r="2571">
          <cell r="A2571">
            <v>35103</v>
          </cell>
          <cell r="B2571">
            <v>17.79</v>
          </cell>
        </row>
        <row r="2572">
          <cell r="A2572">
            <v>35104</v>
          </cell>
          <cell r="B2572">
            <v>17.829999999999998</v>
          </cell>
        </row>
        <row r="2573">
          <cell r="A2573">
            <v>35107</v>
          </cell>
          <cell r="B2573">
            <v>18.010000000000002</v>
          </cell>
        </row>
        <row r="2574">
          <cell r="A2574">
            <v>35108</v>
          </cell>
          <cell r="B2574">
            <v>18.96</v>
          </cell>
        </row>
        <row r="2575">
          <cell r="A2575">
            <v>35109</v>
          </cell>
          <cell r="B2575">
            <v>18.86</v>
          </cell>
        </row>
        <row r="2576">
          <cell r="A2576">
            <v>35110</v>
          </cell>
          <cell r="B2576">
            <v>19.02</v>
          </cell>
        </row>
        <row r="2577">
          <cell r="A2577">
            <v>35111</v>
          </cell>
          <cell r="B2577">
            <v>19.16</v>
          </cell>
        </row>
        <row r="2578">
          <cell r="A2578">
            <v>35115</v>
          </cell>
          <cell r="B2578">
            <v>21.07</v>
          </cell>
        </row>
        <row r="2579">
          <cell r="A2579">
            <v>35116</v>
          </cell>
          <cell r="B2579">
            <v>21.63</v>
          </cell>
        </row>
        <row r="2580">
          <cell r="A2580">
            <v>35117</v>
          </cell>
          <cell r="B2580">
            <v>22.14</v>
          </cell>
        </row>
        <row r="2581">
          <cell r="A2581">
            <v>35118</v>
          </cell>
          <cell r="B2581">
            <v>20.97</v>
          </cell>
        </row>
        <row r="2582">
          <cell r="A2582">
            <v>35121</v>
          </cell>
          <cell r="B2582">
            <v>19.45</v>
          </cell>
        </row>
        <row r="2583">
          <cell r="A2583">
            <v>35122</v>
          </cell>
          <cell r="B2583">
            <v>19.649999999999999</v>
          </cell>
        </row>
        <row r="2584">
          <cell r="A2584">
            <v>35123</v>
          </cell>
          <cell r="B2584">
            <v>19.3</v>
          </cell>
        </row>
        <row r="2585">
          <cell r="A2585">
            <v>35124</v>
          </cell>
          <cell r="B2585">
            <v>19.59</v>
          </cell>
        </row>
        <row r="2586">
          <cell r="A2586">
            <v>35125</v>
          </cell>
          <cell r="B2586">
            <v>19.45</v>
          </cell>
        </row>
        <row r="2587">
          <cell r="A2587">
            <v>35128</v>
          </cell>
          <cell r="B2587">
            <v>19.239999999999998</v>
          </cell>
        </row>
        <row r="2588">
          <cell r="A2588">
            <v>35129</v>
          </cell>
          <cell r="B2588">
            <v>19.649999999999999</v>
          </cell>
        </row>
        <row r="2589">
          <cell r="A2589">
            <v>35130</v>
          </cell>
          <cell r="B2589">
            <v>20.16</v>
          </cell>
        </row>
        <row r="2590">
          <cell r="A2590">
            <v>35131</v>
          </cell>
          <cell r="B2590">
            <v>19.87</v>
          </cell>
        </row>
        <row r="2591">
          <cell r="A2591">
            <v>35132</v>
          </cell>
          <cell r="B2591">
            <v>19.66</v>
          </cell>
        </row>
        <row r="2592">
          <cell r="A2592">
            <v>35135</v>
          </cell>
          <cell r="B2592">
            <v>19.920000000000002</v>
          </cell>
        </row>
        <row r="2593">
          <cell r="A2593">
            <v>35136</v>
          </cell>
          <cell r="B2593">
            <v>20.420000000000002</v>
          </cell>
        </row>
        <row r="2594">
          <cell r="A2594">
            <v>35137</v>
          </cell>
          <cell r="B2594">
            <v>20.49</v>
          </cell>
        </row>
        <row r="2595">
          <cell r="A2595">
            <v>35138</v>
          </cell>
          <cell r="B2595">
            <v>21.18</v>
          </cell>
        </row>
        <row r="2596">
          <cell r="A2596">
            <v>35139</v>
          </cell>
          <cell r="B2596">
            <v>21.99</v>
          </cell>
        </row>
        <row r="2597">
          <cell r="A2597">
            <v>35142</v>
          </cell>
          <cell r="B2597">
            <v>23.23</v>
          </cell>
        </row>
        <row r="2598">
          <cell r="A2598">
            <v>35143</v>
          </cell>
          <cell r="B2598">
            <v>24.56</v>
          </cell>
        </row>
        <row r="2599">
          <cell r="A2599">
            <v>35144</v>
          </cell>
          <cell r="B2599">
            <v>22.74</v>
          </cell>
        </row>
        <row r="2600">
          <cell r="A2600">
            <v>35145</v>
          </cell>
          <cell r="B2600">
            <v>22.44</v>
          </cell>
        </row>
        <row r="2601">
          <cell r="A2601">
            <v>35146</v>
          </cell>
          <cell r="B2601">
            <v>22.85</v>
          </cell>
        </row>
        <row r="2602">
          <cell r="A2602">
            <v>35149</v>
          </cell>
          <cell r="B2602">
            <v>23.23</v>
          </cell>
        </row>
        <row r="2603">
          <cell r="A2603">
            <v>35150</v>
          </cell>
          <cell r="B2603">
            <v>22.38</v>
          </cell>
        </row>
        <row r="2604">
          <cell r="A2604">
            <v>35151</v>
          </cell>
          <cell r="B2604">
            <v>21.64</v>
          </cell>
        </row>
        <row r="2605">
          <cell r="A2605">
            <v>35152</v>
          </cell>
          <cell r="B2605">
            <v>21.45</v>
          </cell>
        </row>
        <row r="2606">
          <cell r="A2606">
            <v>35153</v>
          </cell>
          <cell r="B2606">
            <v>21.43</v>
          </cell>
        </row>
        <row r="2607">
          <cell r="A2607">
            <v>35156</v>
          </cell>
          <cell r="B2607">
            <v>22.29</v>
          </cell>
        </row>
        <row r="2608">
          <cell r="A2608">
            <v>35157</v>
          </cell>
          <cell r="B2608">
            <v>22.68</v>
          </cell>
        </row>
        <row r="2609">
          <cell r="A2609">
            <v>35158</v>
          </cell>
          <cell r="B2609">
            <v>22.22</v>
          </cell>
        </row>
        <row r="2610">
          <cell r="A2610">
            <v>35159</v>
          </cell>
          <cell r="B2610">
            <v>22.75</v>
          </cell>
        </row>
        <row r="2611">
          <cell r="A2611">
            <v>35163</v>
          </cell>
          <cell r="B2611">
            <v>23.01</v>
          </cell>
        </row>
        <row r="2612">
          <cell r="A2612">
            <v>35164</v>
          </cell>
          <cell r="B2612">
            <v>23.23</v>
          </cell>
        </row>
        <row r="2613">
          <cell r="A2613">
            <v>35165</v>
          </cell>
          <cell r="B2613">
            <v>24.08</v>
          </cell>
        </row>
        <row r="2614">
          <cell r="A2614">
            <v>35166</v>
          </cell>
          <cell r="B2614">
            <v>25.15</v>
          </cell>
        </row>
        <row r="2615">
          <cell r="A2615">
            <v>35167</v>
          </cell>
          <cell r="B2615">
            <v>24.29</v>
          </cell>
        </row>
        <row r="2616">
          <cell r="A2616">
            <v>35170</v>
          </cell>
          <cell r="B2616">
            <v>25.13</v>
          </cell>
        </row>
        <row r="2617">
          <cell r="A2617">
            <v>35171</v>
          </cell>
          <cell r="B2617">
            <v>24.48</v>
          </cell>
        </row>
        <row r="2618">
          <cell r="A2618">
            <v>35172</v>
          </cell>
          <cell r="B2618">
            <v>24.67</v>
          </cell>
        </row>
        <row r="2619">
          <cell r="A2619">
            <v>35173</v>
          </cell>
          <cell r="B2619">
            <v>23.47</v>
          </cell>
        </row>
        <row r="2620">
          <cell r="A2620">
            <v>35174</v>
          </cell>
          <cell r="B2620">
            <v>23.96</v>
          </cell>
        </row>
        <row r="2621">
          <cell r="A2621">
            <v>35177</v>
          </cell>
          <cell r="B2621">
            <v>23.94</v>
          </cell>
        </row>
        <row r="2622">
          <cell r="A2622">
            <v>35178</v>
          </cell>
          <cell r="B2622">
            <v>24.39</v>
          </cell>
        </row>
        <row r="2623">
          <cell r="A2623">
            <v>35179</v>
          </cell>
          <cell r="B2623">
            <v>24</v>
          </cell>
        </row>
        <row r="2624">
          <cell r="A2624">
            <v>35180</v>
          </cell>
          <cell r="B2624">
            <v>24.35</v>
          </cell>
        </row>
        <row r="2625">
          <cell r="A2625">
            <v>35181</v>
          </cell>
          <cell r="B2625">
            <v>22.33</v>
          </cell>
        </row>
        <row r="2626">
          <cell r="A2626">
            <v>35184</v>
          </cell>
          <cell r="B2626">
            <v>22.07</v>
          </cell>
        </row>
        <row r="2627">
          <cell r="A2627">
            <v>35185</v>
          </cell>
          <cell r="B2627">
            <v>20.95</v>
          </cell>
        </row>
        <row r="2628">
          <cell r="A2628">
            <v>35186</v>
          </cell>
          <cell r="B2628">
            <v>20.81</v>
          </cell>
        </row>
        <row r="2629">
          <cell r="A2629">
            <v>35187</v>
          </cell>
          <cell r="B2629">
            <v>20.78</v>
          </cell>
        </row>
        <row r="2630">
          <cell r="A2630">
            <v>35188</v>
          </cell>
          <cell r="B2630">
            <v>21.19</v>
          </cell>
        </row>
        <row r="2631">
          <cell r="A2631">
            <v>35191</v>
          </cell>
          <cell r="B2631">
            <v>21.06</v>
          </cell>
        </row>
        <row r="2632">
          <cell r="A2632">
            <v>35192</v>
          </cell>
          <cell r="B2632">
            <v>21.07</v>
          </cell>
        </row>
        <row r="2633">
          <cell r="A2633">
            <v>35193</v>
          </cell>
          <cell r="B2633">
            <v>21.13</v>
          </cell>
        </row>
        <row r="2634">
          <cell r="A2634">
            <v>35194</v>
          </cell>
          <cell r="B2634">
            <v>20.65</v>
          </cell>
        </row>
        <row r="2635">
          <cell r="A2635">
            <v>35195</v>
          </cell>
          <cell r="B2635">
            <v>21.01</v>
          </cell>
        </row>
        <row r="2636">
          <cell r="A2636">
            <v>35198</v>
          </cell>
          <cell r="B2636">
            <v>21.23</v>
          </cell>
        </row>
        <row r="2637">
          <cell r="A2637">
            <v>35199</v>
          </cell>
          <cell r="B2637">
            <v>21.35</v>
          </cell>
        </row>
        <row r="2638">
          <cell r="A2638">
            <v>35200</v>
          </cell>
          <cell r="B2638">
            <v>21.28</v>
          </cell>
        </row>
        <row r="2639">
          <cell r="A2639">
            <v>35201</v>
          </cell>
          <cell r="B2639">
            <v>20.79</v>
          </cell>
        </row>
        <row r="2640">
          <cell r="A2640">
            <v>35202</v>
          </cell>
          <cell r="B2640">
            <v>20.64</v>
          </cell>
        </row>
        <row r="2641">
          <cell r="A2641">
            <v>35205</v>
          </cell>
          <cell r="B2641">
            <v>22.28</v>
          </cell>
        </row>
        <row r="2642">
          <cell r="A2642">
            <v>35206</v>
          </cell>
          <cell r="B2642">
            <v>21.95</v>
          </cell>
        </row>
        <row r="2643">
          <cell r="A2643">
            <v>35207</v>
          </cell>
          <cell r="B2643">
            <v>23.02</v>
          </cell>
        </row>
        <row r="2644">
          <cell r="A2644">
            <v>35208</v>
          </cell>
          <cell r="B2644">
            <v>22.35</v>
          </cell>
        </row>
        <row r="2645">
          <cell r="A2645">
            <v>35209</v>
          </cell>
          <cell r="B2645">
            <v>21.58</v>
          </cell>
        </row>
        <row r="2646">
          <cell r="A2646">
            <v>35213</v>
          </cell>
          <cell r="B2646">
            <v>21.1</v>
          </cell>
        </row>
        <row r="2647">
          <cell r="A2647">
            <v>35214</v>
          </cell>
          <cell r="B2647">
            <v>20.65</v>
          </cell>
        </row>
        <row r="2648">
          <cell r="A2648">
            <v>35215</v>
          </cell>
          <cell r="B2648">
            <v>19.95</v>
          </cell>
        </row>
        <row r="2649">
          <cell r="A2649">
            <v>35216</v>
          </cell>
          <cell r="B2649">
            <v>19.77</v>
          </cell>
        </row>
        <row r="2650">
          <cell r="A2650">
            <v>35219</v>
          </cell>
          <cell r="B2650">
            <v>19.86</v>
          </cell>
        </row>
        <row r="2651">
          <cell r="A2651">
            <v>35220</v>
          </cell>
          <cell r="B2651">
            <v>20.28</v>
          </cell>
        </row>
        <row r="2652">
          <cell r="A2652">
            <v>35221</v>
          </cell>
          <cell r="B2652">
            <v>19.73</v>
          </cell>
        </row>
        <row r="2653">
          <cell r="A2653">
            <v>35222</v>
          </cell>
          <cell r="B2653">
            <v>20.059999999999999</v>
          </cell>
        </row>
        <row r="2654">
          <cell r="A2654">
            <v>35223</v>
          </cell>
          <cell r="B2654">
            <v>20.28</v>
          </cell>
        </row>
        <row r="2655">
          <cell r="A2655">
            <v>35226</v>
          </cell>
          <cell r="B2655">
            <v>20.18</v>
          </cell>
        </row>
        <row r="2656">
          <cell r="A2656">
            <v>35227</v>
          </cell>
          <cell r="B2656">
            <v>20.13</v>
          </cell>
        </row>
        <row r="2657">
          <cell r="A2657">
            <v>35228</v>
          </cell>
          <cell r="B2657">
            <v>20.13</v>
          </cell>
        </row>
        <row r="2658">
          <cell r="A2658">
            <v>35229</v>
          </cell>
          <cell r="B2658">
            <v>20.03</v>
          </cell>
        </row>
        <row r="2659">
          <cell r="A2659">
            <v>35230</v>
          </cell>
          <cell r="B2659">
            <v>20.28</v>
          </cell>
        </row>
        <row r="2660">
          <cell r="A2660">
            <v>35233</v>
          </cell>
          <cell r="B2660">
            <v>21.43</v>
          </cell>
        </row>
        <row r="2661">
          <cell r="A2661">
            <v>35234</v>
          </cell>
          <cell r="B2661">
            <v>21.53</v>
          </cell>
        </row>
        <row r="2662">
          <cell r="A2662">
            <v>35235</v>
          </cell>
          <cell r="B2662">
            <v>20.73</v>
          </cell>
        </row>
        <row r="2663">
          <cell r="A2663">
            <v>35236</v>
          </cell>
          <cell r="B2663">
            <v>20.68</v>
          </cell>
        </row>
        <row r="2664">
          <cell r="A2664">
            <v>35237</v>
          </cell>
          <cell r="B2664">
            <v>20.38</v>
          </cell>
        </row>
        <row r="2665">
          <cell r="A2665">
            <v>35240</v>
          </cell>
          <cell r="B2665">
            <v>20.100000000000001</v>
          </cell>
        </row>
        <row r="2666">
          <cell r="A2666">
            <v>35241</v>
          </cell>
          <cell r="B2666">
            <v>20.13</v>
          </cell>
        </row>
        <row r="2667">
          <cell r="A2667">
            <v>35242</v>
          </cell>
          <cell r="B2667">
            <v>20.63</v>
          </cell>
        </row>
        <row r="2668">
          <cell r="A2668">
            <v>35243</v>
          </cell>
          <cell r="B2668">
            <v>20.98</v>
          </cell>
        </row>
        <row r="2669">
          <cell r="A2669">
            <v>35244</v>
          </cell>
          <cell r="B2669">
            <v>20.92</v>
          </cell>
        </row>
        <row r="2670">
          <cell r="A2670">
            <v>35247</v>
          </cell>
          <cell r="B2670">
            <v>21.48</v>
          </cell>
        </row>
        <row r="2671">
          <cell r="A2671">
            <v>35248</v>
          </cell>
          <cell r="B2671">
            <v>21.08</v>
          </cell>
        </row>
        <row r="2672">
          <cell r="A2672">
            <v>35249</v>
          </cell>
          <cell r="B2672">
            <v>21.38</v>
          </cell>
        </row>
        <row r="2673">
          <cell r="A2673">
            <v>35251</v>
          </cell>
          <cell r="B2673">
            <v>21.65</v>
          </cell>
        </row>
        <row r="2674">
          <cell r="A2674">
            <v>35254</v>
          </cell>
          <cell r="B2674">
            <v>21.33</v>
          </cell>
        </row>
        <row r="2675">
          <cell r="A2675">
            <v>35255</v>
          </cell>
          <cell r="B2675">
            <v>21.52</v>
          </cell>
        </row>
        <row r="2676">
          <cell r="A2676">
            <v>35256</v>
          </cell>
          <cell r="B2676">
            <v>21.56</v>
          </cell>
        </row>
        <row r="2677">
          <cell r="A2677">
            <v>35257</v>
          </cell>
          <cell r="B2677">
            <v>21.96</v>
          </cell>
        </row>
        <row r="2678">
          <cell r="A2678">
            <v>35258</v>
          </cell>
          <cell r="B2678">
            <v>21.9</v>
          </cell>
        </row>
        <row r="2679">
          <cell r="A2679">
            <v>35261</v>
          </cell>
          <cell r="B2679">
            <v>22.43</v>
          </cell>
        </row>
        <row r="2680">
          <cell r="A2680">
            <v>35262</v>
          </cell>
          <cell r="B2680">
            <v>22.28</v>
          </cell>
        </row>
        <row r="2681">
          <cell r="A2681">
            <v>35263</v>
          </cell>
          <cell r="B2681">
            <v>21.65</v>
          </cell>
        </row>
        <row r="2682">
          <cell r="A2682">
            <v>35264</v>
          </cell>
          <cell r="B2682">
            <v>21.68</v>
          </cell>
        </row>
        <row r="2683">
          <cell r="A2683">
            <v>35265</v>
          </cell>
          <cell r="B2683">
            <v>20.95</v>
          </cell>
        </row>
        <row r="2684">
          <cell r="A2684">
            <v>35268</v>
          </cell>
          <cell r="B2684">
            <v>21.05</v>
          </cell>
        </row>
        <row r="2685">
          <cell r="A2685">
            <v>35269</v>
          </cell>
          <cell r="B2685">
            <v>21.58</v>
          </cell>
        </row>
        <row r="2686">
          <cell r="A2686">
            <v>35270</v>
          </cell>
          <cell r="B2686">
            <v>20.97</v>
          </cell>
        </row>
        <row r="2687">
          <cell r="A2687">
            <v>35271</v>
          </cell>
          <cell r="B2687">
            <v>21.05</v>
          </cell>
        </row>
        <row r="2688">
          <cell r="A2688">
            <v>35272</v>
          </cell>
          <cell r="B2688">
            <v>20.13</v>
          </cell>
        </row>
        <row r="2689">
          <cell r="A2689">
            <v>35275</v>
          </cell>
          <cell r="B2689">
            <v>20.28</v>
          </cell>
        </row>
        <row r="2690">
          <cell r="A2690">
            <v>35276</v>
          </cell>
          <cell r="B2690">
            <v>20.28</v>
          </cell>
        </row>
        <row r="2691">
          <cell r="A2691">
            <v>35277</v>
          </cell>
          <cell r="B2691">
            <v>20.46</v>
          </cell>
        </row>
        <row r="2692">
          <cell r="A2692">
            <v>35278</v>
          </cell>
          <cell r="B2692">
            <v>20.95</v>
          </cell>
        </row>
        <row r="2693">
          <cell r="A2693">
            <v>35279</v>
          </cell>
          <cell r="B2693">
            <v>21.35</v>
          </cell>
        </row>
        <row r="2694">
          <cell r="A2694">
            <v>35282</v>
          </cell>
          <cell r="B2694">
            <v>21.25</v>
          </cell>
        </row>
        <row r="2695">
          <cell r="A2695">
            <v>35283</v>
          </cell>
          <cell r="B2695">
            <v>21.08</v>
          </cell>
        </row>
        <row r="2696">
          <cell r="A2696">
            <v>35284</v>
          </cell>
          <cell r="B2696">
            <v>21.35</v>
          </cell>
        </row>
        <row r="2697">
          <cell r="A2697">
            <v>35285</v>
          </cell>
          <cell r="B2697">
            <v>21.45</v>
          </cell>
        </row>
        <row r="2698">
          <cell r="A2698">
            <v>35286</v>
          </cell>
          <cell r="B2698">
            <v>21.6</v>
          </cell>
        </row>
        <row r="2699">
          <cell r="A2699">
            <v>35289</v>
          </cell>
          <cell r="B2699">
            <v>22.25</v>
          </cell>
        </row>
        <row r="2700">
          <cell r="A2700">
            <v>35290</v>
          </cell>
          <cell r="B2700">
            <v>22.35</v>
          </cell>
        </row>
        <row r="2701">
          <cell r="A2701">
            <v>35291</v>
          </cell>
          <cell r="B2701">
            <v>22.1</v>
          </cell>
        </row>
        <row r="2702">
          <cell r="A2702">
            <v>35292</v>
          </cell>
          <cell r="B2702">
            <v>21.95</v>
          </cell>
        </row>
        <row r="2703">
          <cell r="A2703">
            <v>35293</v>
          </cell>
          <cell r="B2703">
            <v>22.6</v>
          </cell>
        </row>
        <row r="2704">
          <cell r="A2704">
            <v>35296</v>
          </cell>
          <cell r="B2704">
            <v>23.1</v>
          </cell>
        </row>
        <row r="2705">
          <cell r="A2705">
            <v>35297</v>
          </cell>
          <cell r="B2705">
            <v>22.53</v>
          </cell>
        </row>
        <row r="2706">
          <cell r="A2706">
            <v>35298</v>
          </cell>
          <cell r="B2706">
            <v>22.15</v>
          </cell>
        </row>
        <row r="2707">
          <cell r="A2707">
            <v>35299</v>
          </cell>
          <cell r="B2707">
            <v>22.48</v>
          </cell>
        </row>
        <row r="2708">
          <cell r="A2708">
            <v>35300</v>
          </cell>
          <cell r="B2708">
            <v>22.23</v>
          </cell>
        </row>
        <row r="2709">
          <cell r="A2709">
            <v>35303</v>
          </cell>
          <cell r="B2709">
            <v>21.55</v>
          </cell>
        </row>
        <row r="2710">
          <cell r="A2710">
            <v>35304</v>
          </cell>
          <cell r="B2710">
            <v>21.35</v>
          </cell>
        </row>
        <row r="2711">
          <cell r="A2711">
            <v>35305</v>
          </cell>
          <cell r="B2711">
            <v>21.75</v>
          </cell>
        </row>
        <row r="2712">
          <cell r="A2712">
            <v>35306</v>
          </cell>
          <cell r="B2712">
            <v>22.2</v>
          </cell>
        </row>
        <row r="2713">
          <cell r="A2713">
            <v>35307</v>
          </cell>
          <cell r="B2713">
            <v>22.25</v>
          </cell>
        </row>
        <row r="2714">
          <cell r="A2714">
            <v>35311</v>
          </cell>
          <cell r="B2714">
            <v>23.35</v>
          </cell>
        </row>
        <row r="2715">
          <cell r="A2715">
            <v>35312</v>
          </cell>
          <cell r="B2715">
            <v>23.25</v>
          </cell>
        </row>
        <row r="2716">
          <cell r="A2716">
            <v>35313</v>
          </cell>
          <cell r="B2716">
            <v>23.45</v>
          </cell>
        </row>
        <row r="2717">
          <cell r="A2717">
            <v>35314</v>
          </cell>
          <cell r="B2717">
            <v>23.85</v>
          </cell>
        </row>
        <row r="2718">
          <cell r="A2718">
            <v>35317</v>
          </cell>
          <cell r="B2718">
            <v>23.75</v>
          </cell>
        </row>
        <row r="2719">
          <cell r="A2719">
            <v>35318</v>
          </cell>
          <cell r="B2719">
            <v>24.15</v>
          </cell>
        </row>
        <row r="2720">
          <cell r="A2720">
            <v>35319</v>
          </cell>
          <cell r="B2720">
            <v>24.75</v>
          </cell>
        </row>
        <row r="2721">
          <cell r="A2721">
            <v>35320</v>
          </cell>
          <cell r="B2721">
            <v>24.95</v>
          </cell>
        </row>
        <row r="2722">
          <cell r="A2722">
            <v>35321</v>
          </cell>
          <cell r="B2722">
            <v>24.5</v>
          </cell>
        </row>
        <row r="2723">
          <cell r="A2723">
            <v>35324</v>
          </cell>
          <cell r="B2723">
            <v>23.3</v>
          </cell>
        </row>
        <row r="2724">
          <cell r="A2724">
            <v>35325</v>
          </cell>
          <cell r="B2724">
            <v>23.4</v>
          </cell>
        </row>
        <row r="2725">
          <cell r="A2725">
            <v>35326</v>
          </cell>
          <cell r="B2725">
            <v>23.85</v>
          </cell>
        </row>
        <row r="2726">
          <cell r="A2726">
            <v>35327</v>
          </cell>
          <cell r="B2726">
            <v>23.45</v>
          </cell>
        </row>
        <row r="2727">
          <cell r="A2727">
            <v>35328</v>
          </cell>
          <cell r="B2727">
            <v>23.6</v>
          </cell>
        </row>
        <row r="2728">
          <cell r="A2728">
            <v>35331</v>
          </cell>
          <cell r="B2728">
            <v>23.83</v>
          </cell>
        </row>
        <row r="2729">
          <cell r="A2729">
            <v>35332</v>
          </cell>
          <cell r="B2729">
            <v>24.55</v>
          </cell>
        </row>
        <row r="2730">
          <cell r="A2730">
            <v>35333</v>
          </cell>
          <cell r="B2730">
            <v>24.6</v>
          </cell>
        </row>
        <row r="2731">
          <cell r="A2731">
            <v>35334</v>
          </cell>
          <cell r="B2731">
            <v>24.05</v>
          </cell>
        </row>
        <row r="2732">
          <cell r="A2732">
            <v>35335</v>
          </cell>
          <cell r="B2732">
            <v>24.6</v>
          </cell>
        </row>
        <row r="2733">
          <cell r="A2733">
            <v>35338</v>
          </cell>
          <cell r="B2733">
            <v>24.2</v>
          </cell>
        </row>
        <row r="2734">
          <cell r="A2734">
            <v>35339</v>
          </cell>
          <cell r="B2734">
            <v>24.35</v>
          </cell>
        </row>
        <row r="2735">
          <cell r="A2735">
            <v>35340</v>
          </cell>
          <cell r="B2735">
            <v>24.05</v>
          </cell>
        </row>
        <row r="2736">
          <cell r="A2736">
            <v>35341</v>
          </cell>
          <cell r="B2736">
            <v>24.85</v>
          </cell>
        </row>
        <row r="2737">
          <cell r="A2737">
            <v>35342</v>
          </cell>
          <cell r="B2737">
            <v>24.75</v>
          </cell>
        </row>
        <row r="2738">
          <cell r="A2738">
            <v>35345</v>
          </cell>
          <cell r="B2738">
            <v>25.25</v>
          </cell>
        </row>
        <row r="2739">
          <cell r="A2739">
            <v>35346</v>
          </cell>
          <cell r="B2739">
            <v>25.45</v>
          </cell>
        </row>
        <row r="2740">
          <cell r="A2740">
            <v>35347</v>
          </cell>
          <cell r="B2740">
            <v>25</v>
          </cell>
        </row>
        <row r="2741">
          <cell r="A2741">
            <v>35348</v>
          </cell>
          <cell r="B2741">
            <v>24.3</v>
          </cell>
        </row>
        <row r="2742">
          <cell r="A2742">
            <v>35349</v>
          </cell>
          <cell r="B2742">
            <v>24.65</v>
          </cell>
        </row>
        <row r="2743">
          <cell r="A2743">
            <v>35352</v>
          </cell>
          <cell r="B2743">
            <v>25.5</v>
          </cell>
        </row>
        <row r="2744">
          <cell r="A2744">
            <v>35353</v>
          </cell>
          <cell r="B2744">
            <v>25.45</v>
          </cell>
        </row>
        <row r="2745">
          <cell r="A2745">
            <v>35354</v>
          </cell>
          <cell r="B2745">
            <v>25.1</v>
          </cell>
        </row>
        <row r="2746">
          <cell r="A2746">
            <v>35355</v>
          </cell>
          <cell r="B2746">
            <v>25.4</v>
          </cell>
        </row>
        <row r="2747">
          <cell r="A2747">
            <v>35356</v>
          </cell>
          <cell r="B2747">
            <v>25.8</v>
          </cell>
        </row>
        <row r="2748">
          <cell r="A2748">
            <v>35359</v>
          </cell>
          <cell r="B2748">
            <v>25.85</v>
          </cell>
        </row>
        <row r="2749">
          <cell r="A2749">
            <v>35360</v>
          </cell>
          <cell r="B2749">
            <v>25.79</v>
          </cell>
        </row>
        <row r="2750">
          <cell r="A2750">
            <v>35361</v>
          </cell>
          <cell r="B2750">
            <v>24.78</v>
          </cell>
        </row>
        <row r="2751">
          <cell r="A2751">
            <v>35362</v>
          </cell>
          <cell r="B2751">
            <v>24.55</v>
          </cell>
        </row>
        <row r="2752">
          <cell r="A2752">
            <v>35363</v>
          </cell>
          <cell r="B2752">
            <v>24.8</v>
          </cell>
        </row>
        <row r="2753">
          <cell r="A2753">
            <v>35366</v>
          </cell>
          <cell r="B2753">
            <v>24.75</v>
          </cell>
        </row>
        <row r="2754">
          <cell r="A2754">
            <v>35367</v>
          </cell>
          <cell r="B2754">
            <v>24.15</v>
          </cell>
        </row>
        <row r="2755">
          <cell r="A2755">
            <v>35368</v>
          </cell>
          <cell r="B2755">
            <v>24.4</v>
          </cell>
        </row>
        <row r="2756">
          <cell r="A2756">
            <v>35369</v>
          </cell>
          <cell r="B2756">
            <v>23.25</v>
          </cell>
        </row>
        <row r="2757">
          <cell r="A2757">
            <v>35370</v>
          </cell>
          <cell r="B2757">
            <v>23</v>
          </cell>
        </row>
        <row r="2758">
          <cell r="A2758">
            <v>35373</v>
          </cell>
          <cell r="B2758">
            <v>22.8</v>
          </cell>
        </row>
        <row r="2759">
          <cell r="A2759">
            <v>35374</v>
          </cell>
          <cell r="B2759">
            <v>22.65</v>
          </cell>
        </row>
        <row r="2760">
          <cell r="A2760">
            <v>35375</v>
          </cell>
          <cell r="B2760">
            <v>22.75</v>
          </cell>
        </row>
        <row r="2761">
          <cell r="A2761">
            <v>35376</v>
          </cell>
          <cell r="B2761">
            <v>22.8</v>
          </cell>
        </row>
        <row r="2762">
          <cell r="A2762">
            <v>35377</v>
          </cell>
          <cell r="B2762">
            <v>23.6</v>
          </cell>
        </row>
        <row r="2763">
          <cell r="A2763">
            <v>35380</v>
          </cell>
          <cell r="B2763">
            <v>23.35</v>
          </cell>
        </row>
        <row r="2764">
          <cell r="A2764">
            <v>35381</v>
          </cell>
          <cell r="B2764">
            <v>23.4</v>
          </cell>
        </row>
        <row r="2765">
          <cell r="A2765">
            <v>35382</v>
          </cell>
          <cell r="B2765">
            <v>24.25</v>
          </cell>
        </row>
        <row r="2766">
          <cell r="A2766">
            <v>35383</v>
          </cell>
          <cell r="B2766">
            <v>24.35</v>
          </cell>
        </row>
        <row r="2767">
          <cell r="A2767">
            <v>35384</v>
          </cell>
          <cell r="B2767">
            <v>24.15</v>
          </cell>
        </row>
        <row r="2768">
          <cell r="A2768">
            <v>35387</v>
          </cell>
          <cell r="B2768">
            <v>23.85</v>
          </cell>
        </row>
        <row r="2769">
          <cell r="A2769">
            <v>35388</v>
          </cell>
          <cell r="B2769">
            <v>24.5</v>
          </cell>
        </row>
        <row r="2770">
          <cell r="A2770">
            <v>35389</v>
          </cell>
          <cell r="B2770">
            <v>23.75</v>
          </cell>
        </row>
        <row r="2771">
          <cell r="A2771">
            <v>35390</v>
          </cell>
          <cell r="B2771">
            <v>23.9</v>
          </cell>
        </row>
        <row r="2772">
          <cell r="A2772">
            <v>35391</v>
          </cell>
          <cell r="B2772">
            <v>24.15</v>
          </cell>
        </row>
        <row r="2773">
          <cell r="A2773">
            <v>35394</v>
          </cell>
          <cell r="B2773">
            <v>25.75</v>
          </cell>
        </row>
        <row r="2774">
          <cell r="A2774">
            <v>35395</v>
          </cell>
          <cell r="B2774">
            <v>23.7</v>
          </cell>
        </row>
        <row r="2775">
          <cell r="A2775">
            <v>35396</v>
          </cell>
          <cell r="B2775">
            <v>23.7</v>
          </cell>
        </row>
        <row r="2776">
          <cell r="A2776">
            <v>35398</v>
          </cell>
          <cell r="B2776">
            <v>23.7</v>
          </cell>
        </row>
        <row r="2777">
          <cell r="A2777">
            <v>35401</v>
          </cell>
          <cell r="B2777">
            <v>24.7</v>
          </cell>
        </row>
        <row r="2778">
          <cell r="A2778">
            <v>35402</v>
          </cell>
          <cell r="B2778">
            <v>24.8</v>
          </cell>
        </row>
        <row r="2779">
          <cell r="A2779">
            <v>35403</v>
          </cell>
          <cell r="B2779">
            <v>25</v>
          </cell>
        </row>
        <row r="2780">
          <cell r="A2780">
            <v>35404</v>
          </cell>
          <cell r="B2780">
            <v>25.6</v>
          </cell>
        </row>
        <row r="2781">
          <cell r="A2781">
            <v>35405</v>
          </cell>
          <cell r="B2781">
            <v>25.6</v>
          </cell>
        </row>
        <row r="2782">
          <cell r="A2782">
            <v>35408</v>
          </cell>
          <cell r="B2782">
            <v>25.15</v>
          </cell>
        </row>
        <row r="2783">
          <cell r="A2783">
            <v>35409</v>
          </cell>
          <cell r="B2783">
            <v>24.25</v>
          </cell>
        </row>
        <row r="2784">
          <cell r="A2784">
            <v>35410</v>
          </cell>
          <cell r="B2784">
            <v>23.4</v>
          </cell>
        </row>
        <row r="2785">
          <cell r="A2785">
            <v>35411</v>
          </cell>
          <cell r="B2785">
            <v>23.75</v>
          </cell>
        </row>
        <row r="2786">
          <cell r="A2786">
            <v>35412</v>
          </cell>
          <cell r="B2786">
            <v>24.45</v>
          </cell>
        </row>
        <row r="2787">
          <cell r="A2787">
            <v>35415</v>
          </cell>
          <cell r="B2787">
            <v>25.7</v>
          </cell>
        </row>
        <row r="2788">
          <cell r="A2788">
            <v>35416</v>
          </cell>
          <cell r="B2788">
            <v>25.7</v>
          </cell>
        </row>
        <row r="2789">
          <cell r="A2789">
            <v>35417</v>
          </cell>
          <cell r="B2789">
            <v>26.05</v>
          </cell>
        </row>
        <row r="2790">
          <cell r="A2790">
            <v>35418</v>
          </cell>
          <cell r="B2790">
            <v>26.55</v>
          </cell>
        </row>
        <row r="2791">
          <cell r="A2791">
            <v>35419</v>
          </cell>
          <cell r="B2791">
            <v>26.1</v>
          </cell>
        </row>
        <row r="2792">
          <cell r="A2792">
            <v>35422</v>
          </cell>
          <cell r="B2792">
            <v>26.4</v>
          </cell>
        </row>
        <row r="2793">
          <cell r="A2793">
            <v>35423</v>
          </cell>
          <cell r="B2793">
            <v>25.05</v>
          </cell>
        </row>
        <row r="2794">
          <cell r="A2794">
            <v>35425</v>
          </cell>
          <cell r="B2794">
            <v>25.1</v>
          </cell>
        </row>
        <row r="2795">
          <cell r="A2795">
            <v>35426</v>
          </cell>
          <cell r="B2795">
            <v>25.2</v>
          </cell>
        </row>
        <row r="2796">
          <cell r="A2796">
            <v>35429</v>
          </cell>
          <cell r="B2796">
            <v>25.35</v>
          </cell>
        </row>
        <row r="2797">
          <cell r="A2797">
            <v>35430</v>
          </cell>
          <cell r="B2797">
            <v>25.9</v>
          </cell>
        </row>
        <row r="2798">
          <cell r="A2798">
            <v>35432</v>
          </cell>
          <cell r="B2798">
            <v>25.55</v>
          </cell>
        </row>
        <row r="2799">
          <cell r="A2799">
            <v>35433</v>
          </cell>
          <cell r="B2799">
            <v>25.55</v>
          </cell>
        </row>
        <row r="2800">
          <cell r="A2800">
            <v>35436</v>
          </cell>
          <cell r="B2800">
            <v>26.25</v>
          </cell>
        </row>
        <row r="2801">
          <cell r="A2801">
            <v>35437</v>
          </cell>
          <cell r="B2801">
            <v>26.25</v>
          </cell>
        </row>
        <row r="2802">
          <cell r="A2802">
            <v>35438</v>
          </cell>
          <cell r="B2802">
            <v>26.55</v>
          </cell>
        </row>
        <row r="2803">
          <cell r="A2803">
            <v>35439</v>
          </cell>
          <cell r="B2803">
            <v>26.3</v>
          </cell>
        </row>
        <row r="2804">
          <cell r="A2804">
            <v>35440</v>
          </cell>
          <cell r="B2804">
            <v>26.15</v>
          </cell>
        </row>
        <row r="2805">
          <cell r="A2805">
            <v>35443</v>
          </cell>
          <cell r="B2805">
            <v>25.2</v>
          </cell>
        </row>
        <row r="2806">
          <cell r="A2806">
            <v>35444</v>
          </cell>
          <cell r="B2806">
            <v>25.1</v>
          </cell>
        </row>
        <row r="2807">
          <cell r="A2807">
            <v>35445</v>
          </cell>
          <cell r="B2807">
            <v>25.95</v>
          </cell>
        </row>
        <row r="2808">
          <cell r="A2808">
            <v>35446</v>
          </cell>
          <cell r="B2808">
            <v>25.45</v>
          </cell>
        </row>
        <row r="2809">
          <cell r="A2809">
            <v>35447</v>
          </cell>
          <cell r="B2809">
            <v>25.4</v>
          </cell>
        </row>
        <row r="2810">
          <cell r="A2810">
            <v>35450</v>
          </cell>
          <cell r="B2810">
            <v>25.1</v>
          </cell>
        </row>
        <row r="2811">
          <cell r="A2811">
            <v>35451</v>
          </cell>
          <cell r="B2811">
            <v>24.8</v>
          </cell>
        </row>
        <row r="2812">
          <cell r="A2812">
            <v>35452</v>
          </cell>
          <cell r="B2812">
            <v>24.4</v>
          </cell>
        </row>
        <row r="2813">
          <cell r="A2813">
            <v>35453</v>
          </cell>
          <cell r="B2813">
            <v>23.85</v>
          </cell>
        </row>
        <row r="2814">
          <cell r="A2814">
            <v>35454</v>
          </cell>
          <cell r="B2814">
            <v>23.85</v>
          </cell>
        </row>
        <row r="2815">
          <cell r="A2815">
            <v>35457</v>
          </cell>
          <cell r="B2815">
            <v>23.85</v>
          </cell>
        </row>
        <row r="2816">
          <cell r="A2816">
            <v>35458</v>
          </cell>
          <cell r="B2816">
            <v>23.9</v>
          </cell>
        </row>
        <row r="2817">
          <cell r="A2817">
            <v>35459</v>
          </cell>
          <cell r="B2817">
            <v>24.5</v>
          </cell>
        </row>
        <row r="2818">
          <cell r="A2818">
            <v>35460</v>
          </cell>
          <cell r="B2818">
            <v>24.8</v>
          </cell>
        </row>
        <row r="2819">
          <cell r="A2819">
            <v>35461</v>
          </cell>
          <cell r="B2819">
            <v>24.15</v>
          </cell>
        </row>
        <row r="2820">
          <cell r="A2820">
            <v>35464</v>
          </cell>
          <cell r="B2820">
            <v>24.2</v>
          </cell>
        </row>
        <row r="2821">
          <cell r="A2821">
            <v>35465</v>
          </cell>
          <cell r="B2821">
            <v>24</v>
          </cell>
        </row>
        <row r="2822">
          <cell r="A2822">
            <v>35466</v>
          </cell>
          <cell r="B2822">
            <v>23.9</v>
          </cell>
        </row>
        <row r="2823">
          <cell r="A2823">
            <v>35467</v>
          </cell>
          <cell r="B2823">
            <v>23.05</v>
          </cell>
        </row>
        <row r="2824">
          <cell r="A2824">
            <v>35468</v>
          </cell>
          <cell r="B2824">
            <v>22.3</v>
          </cell>
        </row>
        <row r="2825">
          <cell r="A2825">
            <v>35471</v>
          </cell>
          <cell r="B2825">
            <v>22.45</v>
          </cell>
        </row>
        <row r="2826">
          <cell r="A2826">
            <v>35472</v>
          </cell>
          <cell r="B2826">
            <v>22.35</v>
          </cell>
        </row>
        <row r="2827">
          <cell r="A2827">
            <v>35473</v>
          </cell>
          <cell r="B2827">
            <v>21.75</v>
          </cell>
        </row>
        <row r="2828">
          <cell r="A2828">
            <v>35474</v>
          </cell>
          <cell r="B2828">
            <v>22.1</v>
          </cell>
        </row>
        <row r="2829">
          <cell r="A2829">
            <v>35475</v>
          </cell>
          <cell r="B2829">
            <v>22.4</v>
          </cell>
        </row>
        <row r="2830">
          <cell r="A2830">
            <v>35479</v>
          </cell>
          <cell r="B2830">
            <v>22.5</v>
          </cell>
        </row>
        <row r="2831">
          <cell r="A2831">
            <v>35480</v>
          </cell>
          <cell r="B2831">
            <v>22.65</v>
          </cell>
        </row>
        <row r="2832">
          <cell r="A2832">
            <v>35481</v>
          </cell>
          <cell r="B2832">
            <v>21.95</v>
          </cell>
        </row>
        <row r="2833">
          <cell r="A2833">
            <v>35482</v>
          </cell>
          <cell r="B2833">
            <v>21.6</v>
          </cell>
        </row>
        <row r="2834">
          <cell r="A2834">
            <v>35485</v>
          </cell>
          <cell r="B2834">
            <v>21</v>
          </cell>
        </row>
        <row r="2835">
          <cell r="A2835">
            <v>35486</v>
          </cell>
          <cell r="B2835">
            <v>20.95</v>
          </cell>
        </row>
        <row r="2836">
          <cell r="A2836">
            <v>35487</v>
          </cell>
          <cell r="B2836">
            <v>21.1</v>
          </cell>
        </row>
        <row r="2837">
          <cell r="A2837">
            <v>35488</v>
          </cell>
          <cell r="B2837">
            <v>20.8</v>
          </cell>
        </row>
        <row r="2838">
          <cell r="A2838">
            <v>35489</v>
          </cell>
          <cell r="B2838">
            <v>20.3</v>
          </cell>
        </row>
        <row r="2839">
          <cell r="A2839">
            <v>35492</v>
          </cell>
          <cell r="B2839">
            <v>20.25</v>
          </cell>
        </row>
        <row r="2840">
          <cell r="A2840">
            <v>35493</v>
          </cell>
          <cell r="B2840">
            <v>20.75</v>
          </cell>
        </row>
        <row r="2841">
          <cell r="A2841">
            <v>35494</v>
          </cell>
          <cell r="B2841">
            <v>20.5</v>
          </cell>
        </row>
        <row r="2842">
          <cell r="A2842">
            <v>35495</v>
          </cell>
          <cell r="B2842">
            <v>21</v>
          </cell>
        </row>
        <row r="2843">
          <cell r="A2843">
            <v>35496</v>
          </cell>
          <cell r="B2843">
            <v>21.35</v>
          </cell>
        </row>
        <row r="2844">
          <cell r="A2844">
            <v>35499</v>
          </cell>
          <cell r="B2844">
            <v>20.5</v>
          </cell>
        </row>
        <row r="2845">
          <cell r="A2845">
            <v>35500</v>
          </cell>
          <cell r="B2845">
            <v>20.149999999999999</v>
          </cell>
        </row>
        <row r="2846">
          <cell r="A2846">
            <v>35501</v>
          </cell>
          <cell r="B2846">
            <v>20.6</v>
          </cell>
        </row>
        <row r="2847">
          <cell r="A2847">
            <v>35502</v>
          </cell>
          <cell r="B2847">
            <v>20.65</v>
          </cell>
        </row>
        <row r="2848">
          <cell r="A2848">
            <v>35503</v>
          </cell>
          <cell r="B2848">
            <v>21.3</v>
          </cell>
        </row>
        <row r="2849">
          <cell r="A2849">
            <v>35506</v>
          </cell>
          <cell r="B2849">
            <v>20.9</v>
          </cell>
        </row>
        <row r="2850">
          <cell r="A2850">
            <v>35507</v>
          </cell>
          <cell r="B2850">
            <v>22</v>
          </cell>
        </row>
        <row r="2851">
          <cell r="A2851">
            <v>35508</v>
          </cell>
          <cell r="B2851">
            <v>22</v>
          </cell>
        </row>
        <row r="2852">
          <cell r="A2852">
            <v>35509</v>
          </cell>
          <cell r="B2852">
            <v>22</v>
          </cell>
        </row>
        <row r="2853">
          <cell r="A2853">
            <v>35510</v>
          </cell>
          <cell r="B2853">
            <v>21.7</v>
          </cell>
        </row>
        <row r="2854">
          <cell r="A2854">
            <v>35513</v>
          </cell>
          <cell r="B2854">
            <v>21</v>
          </cell>
        </row>
        <row r="2855">
          <cell r="A2855">
            <v>35514</v>
          </cell>
          <cell r="B2855">
            <v>20.95</v>
          </cell>
        </row>
        <row r="2856">
          <cell r="A2856">
            <v>35515</v>
          </cell>
          <cell r="B2856">
            <v>20.65</v>
          </cell>
        </row>
        <row r="2857">
          <cell r="A2857">
            <v>35516</v>
          </cell>
          <cell r="B2857">
            <v>20.7</v>
          </cell>
        </row>
        <row r="2858">
          <cell r="A2858">
            <v>35520</v>
          </cell>
          <cell r="B2858">
            <v>20.350000000000001</v>
          </cell>
        </row>
        <row r="2859">
          <cell r="A2859">
            <v>35521</v>
          </cell>
          <cell r="B2859">
            <v>20.3</v>
          </cell>
        </row>
        <row r="2860">
          <cell r="A2860">
            <v>35522</v>
          </cell>
          <cell r="B2860">
            <v>19.55</v>
          </cell>
        </row>
        <row r="2861">
          <cell r="A2861">
            <v>35523</v>
          </cell>
          <cell r="B2861">
            <v>19.45</v>
          </cell>
        </row>
        <row r="2862">
          <cell r="A2862">
            <v>35524</v>
          </cell>
          <cell r="B2862">
            <v>19.149999999999999</v>
          </cell>
        </row>
        <row r="2863">
          <cell r="A2863">
            <v>35527</v>
          </cell>
          <cell r="B2863">
            <v>19.25</v>
          </cell>
        </row>
        <row r="2864">
          <cell r="A2864">
            <v>35528</v>
          </cell>
          <cell r="B2864">
            <v>19.350000000000001</v>
          </cell>
        </row>
        <row r="2865">
          <cell r="A2865">
            <v>35529</v>
          </cell>
          <cell r="B2865">
            <v>19.25</v>
          </cell>
        </row>
        <row r="2866">
          <cell r="A2866">
            <v>35530</v>
          </cell>
          <cell r="B2866">
            <v>19.55</v>
          </cell>
        </row>
        <row r="2867">
          <cell r="A2867">
            <v>35531</v>
          </cell>
          <cell r="B2867">
            <v>19.5</v>
          </cell>
        </row>
        <row r="2868">
          <cell r="A2868">
            <v>35534</v>
          </cell>
          <cell r="B2868">
            <v>19.899999999999999</v>
          </cell>
        </row>
        <row r="2869">
          <cell r="A2869">
            <v>35535</v>
          </cell>
          <cell r="B2869">
            <v>19.600000000000001</v>
          </cell>
        </row>
        <row r="2870">
          <cell r="A2870">
            <v>35536</v>
          </cell>
          <cell r="B2870">
            <v>19.350000000000001</v>
          </cell>
        </row>
        <row r="2871">
          <cell r="A2871">
            <v>35537</v>
          </cell>
          <cell r="B2871">
            <v>19.5</v>
          </cell>
        </row>
        <row r="2872">
          <cell r="A2872">
            <v>35538</v>
          </cell>
          <cell r="B2872">
            <v>19.899999999999999</v>
          </cell>
        </row>
        <row r="2873">
          <cell r="A2873">
            <v>35541</v>
          </cell>
          <cell r="B2873">
            <v>20.350000000000001</v>
          </cell>
        </row>
        <row r="2874">
          <cell r="A2874">
            <v>35542</v>
          </cell>
          <cell r="B2874">
            <v>19.600000000000001</v>
          </cell>
        </row>
        <row r="2875">
          <cell r="A2875">
            <v>35543</v>
          </cell>
          <cell r="B2875">
            <v>19.649999999999999</v>
          </cell>
        </row>
        <row r="2876">
          <cell r="A2876">
            <v>35544</v>
          </cell>
          <cell r="B2876">
            <v>19.850000000000001</v>
          </cell>
        </row>
        <row r="2877">
          <cell r="A2877">
            <v>35545</v>
          </cell>
          <cell r="B2877">
            <v>19.8</v>
          </cell>
        </row>
        <row r="2878">
          <cell r="A2878">
            <v>35548</v>
          </cell>
          <cell r="B2878">
            <v>19.850000000000001</v>
          </cell>
        </row>
        <row r="2879">
          <cell r="A2879">
            <v>35549</v>
          </cell>
          <cell r="B2879">
            <v>20.399999999999999</v>
          </cell>
        </row>
        <row r="2880">
          <cell r="A2880">
            <v>35550</v>
          </cell>
          <cell r="B2880">
            <v>20.2</v>
          </cell>
        </row>
        <row r="2881">
          <cell r="A2881">
            <v>35551</v>
          </cell>
          <cell r="B2881">
            <v>19.899999999999999</v>
          </cell>
        </row>
        <row r="2882">
          <cell r="A2882">
            <v>35552</v>
          </cell>
          <cell r="B2882">
            <v>19.600000000000001</v>
          </cell>
        </row>
        <row r="2883">
          <cell r="A2883">
            <v>35555</v>
          </cell>
          <cell r="B2883">
            <v>19.600000000000001</v>
          </cell>
        </row>
        <row r="2884">
          <cell r="A2884">
            <v>35556</v>
          </cell>
          <cell r="B2884">
            <v>19.7</v>
          </cell>
        </row>
        <row r="2885">
          <cell r="A2885">
            <v>35557</v>
          </cell>
          <cell r="B2885">
            <v>19.600000000000001</v>
          </cell>
        </row>
        <row r="2886">
          <cell r="A2886">
            <v>35558</v>
          </cell>
          <cell r="B2886">
            <v>20.350000000000001</v>
          </cell>
        </row>
        <row r="2887">
          <cell r="A2887">
            <v>35559</v>
          </cell>
          <cell r="B2887">
            <v>20.45</v>
          </cell>
        </row>
        <row r="2888">
          <cell r="A2888">
            <v>35562</v>
          </cell>
          <cell r="B2888">
            <v>21.4</v>
          </cell>
        </row>
        <row r="2889">
          <cell r="A2889">
            <v>35563</v>
          </cell>
          <cell r="B2889">
            <v>21.1</v>
          </cell>
        </row>
        <row r="2890">
          <cell r="A2890">
            <v>35564</v>
          </cell>
          <cell r="B2890">
            <v>21.35</v>
          </cell>
        </row>
        <row r="2891">
          <cell r="A2891">
            <v>35565</v>
          </cell>
          <cell r="B2891">
            <v>21.3</v>
          </cell>
        </row>
        <row r="2892">
          <cell r="A2892">
            <v>35566</v>
          </cell>
          <cell r="B2892">
            <v>22.1</v>
          </cell>
        </row>
        <row r="2893">
          <cell r="A2893">
            <v>35569</v>
          </cell>
          <cell r="B2893">
            <v>21.5</v>
          </cell>
        </row>
        <row r="2894">
          <cell r="A2894">
            <v>35570</v>
          </cell>
          <cell r="B2894">
            <v>21.2</v>
          </cell>
        </row>
        <row r="2895">
          <cell r="A2895">
            <v>35571</v>
          </cell>
          <cell r="B2895">
            <v>21.6</v>
          </cell>
        </row>
        <row r="2896">
          <cell r="A2896">
            <v>35572</v>
          </cell>
          <cell r="B2896">
            <v>21.6</v>
          </cell>
        </row>
        <row r="2897">
          <cell r="A2897">
            <v>35573</v>
          </cell>
          <cell r="B2897">
            <v>21.25</v>
          </cell>
        </row>
        <row r="2898">
          <cell r="A2898">
            <v>35577</v>
          </cell>
          <cell r="B2898">
            <v>20.75</v>
          </cell>
        </row>
        <row r="2899">
          <cell r="A2899">
            <v>35578</v>
          </cell>
          <cell r="B2899">
            <v>20.7</v>
          </cell>
        </row>
        <row r="2900">
          <cell r="A2900">
            <v>35579</v>
          </cell>
          <cell r="B2900">
            <v>21.15</v>
          </cell>
        </row>
        <row r="2901">
          <cell r="A2901">
            <v>35580</v>
          </cell>
          <cell r="B2901">
            <v>21</v>
          </cell>
        </row>
        <row r="2902">
          <cell r="A2902">
            <v>35583</v>
          </cell>
          <cell r="B2902">
            <v>21.15</v>
          </cell>
        </row>
        <row r="2903">
          <cell r="A2903">
            <v>35584</v>
          </cell>
          <cell r="B2903">
            <v>20.350000000000001</v>
          </cell>
        </row>
        <row r="2904">
          <cell r="A2904">
            <v>35585</v>
          </cell>
          <cell r="B2904">
            <v>20.3</v>
          </cell>
        </row>
        <row r="2905">
          <cell r="A2905">
            <v>35586</v>
          </cell>
          <cell r="B2905">
            <v>19.8</v>
          </cell>
        </row>
        <row r="2906">
          <cell r="A2906">
            <v>35587</v>
          </cell>
          <cell r="B2906">
            <v>19</v>
          </cell>
        </row>
        <row r="2907">
          <cell r="A2907">
            <v>35590</v>
          </cell>
          <cell r="B2907">
            <v>18.850000000000001</v>
          </cell>
        </row>
        <row r="2908">
          <cell r="A2908">
            <v>35591</v>
          </cell>
          <cell r="B2908">
            <v>18.850000000000001</v>
          </cell>
        </row>
        <row r="2909">
          <cell r="A2909">
            <v>35592</v>
          </cell>
          <cell r="B2909">
            <v>18.75</v>
          </cell>
        </row>
        <row r="2910">
          <cell r="A2910">
            <v>35593</v>
          </cell>
          <cell r="B2910">
            <v>19</v>
          </cell>
        </row>
        <row r="2911">
          <cell r="A2911">
            <v>35594</v>
          </cell>
          <cell r="B2911">
            <v>18.95</v>
          </cell>
        </row>
        <row r="2912">
          <cell r="A2912">
            <v>35597</v>
          </cell>
          <cell r="B2912">
            <v>19.100000000000001</v>
          </cell>
        </row>
        <row r="2913">
          <cell r="A2913">
            <v>35598</v>
          </cell>
          <cell r="B2913">
            <v>19.3</v>
          </cell>
        </row>
        <row r="2914">
          <cell r="A2914">
            <v>35599</v>
          </cell>
          <cell r="B2914">
            <v>18.899999999999999</v>
          </cell>
        </row>
        <row r="2915">
          <cell r="A2915">
            <v>35600</v>
          </cell>
          <cell r="B2915">
            <v>18.75</v>
          </cell>
        </row>
        <row r="2916">
          <cell r="A2916">
            <v>35601</v>
          </cell>
          <cell r="B2916">
            <v>18.600000000000001</v>
          </cell>
        </row>
        <row r="2917">
          <cell r="A2917">
            <v>35604</v>
          </cell>
          <cell r="B2917">
            <v>18.899999999999999</v>
          </cell>
        </row>
        <row r="2918">
          <cell r="A2918">
            <v>35605</v>
          </cell>
          <cell r="B2918">
            <v>18.71</v>
          </cell>
        </row>
        <row r="2919">
          <cell r="A2919">
            <v>35606</v>
          </cell>
          <cell r="B2919">
            <v>19.12</v>
          </cell>
        </row>
        <row r="2920">
          <cell r="A2920">
            <v>35607</v>
          </cell>
          <cell r="B2920">
            <v>18.84</v>
          </cell>
        </row>
        <row r="2921">
          <cell r="A2921">
            <v>35608</v>
          </cell>
          <cell r="B2921">
            <v>19.420000000000002</v>
          </cell>
        </row>
        <row r="2922">
          <cell r="A2922">
            <v>35611</v>
          </cell>
          <cell r="B2922">
            <v>19.82</v>
          </cell>
        </row>
        <row r="2923">
          <cell r="A2923">
            <v>35612</v>
          </cell>
          <cell r="B2923">
            <v>20.11</v>
          </cell>
        </row>
        <row r="2924">
          <cell r="A2924">
            <v>35613</v>
          </cell>
          <cell r="B2924">
            <v>20.39</v>
          </cell>
        </row>
        <row r="2925">
          <cell r="A2925">
            <v>35614</v>
          </cell>
          <cell r="B2925">
            <v>19.48</v>
          </cell>
        </row>
        <row r="2926">
          <cell r="A2926">
            <v>35618</v>
          </cell>
          <cell r="B2926">
            <v>19.53</v>
          </cell>
        </row>
        <row r="2927">
          <cell r="A2927">
            <v>35619</v>
          </cell>
          <cell r="B2927">
            <v>19.670000000000002</v>
          </cell>
        </row>
        <row r="2928">
          <cell r="A2928">
            <v>35620</v>
          </cell>
          <cell r="B2928">
            <v>19.399999999999999</v>
          </cell>
        </row>
        <row r="2929">
          <cell r="A2929">
            <v>35621</v>
          </cell>
          <cell r="B2929">
            <v>19.22</v>
          </cell>
        </row>
        <row r="2930">
          <cell r="A2930">
            <v>35622</v>
          </cell>
          <cell r="B2930">
            <v>19.39</v>
          </cell>
        </row>
        <row r="2931">
          <cell r="A2931">
            <v>35625</v>
          </cell>
          <cell r="B2931">
            <v>18.920000000000002</v>
          </cell>
        </row>
        <row r="2932">
          <cell r="A2932">
            <v>35626</v>
          </cell>
          <cell r="B2932">
            <v>19.809999999999999</v>
          </cell>
        </row>
        <row r="2933">
          <cell r="A2933">
            <v>35627</v>
          </cell>
          <cell r="B2933">
            <v>19.57</v>
          </cell>
        </row>
        <row r="2934">
          <cell r="A2934">
            <v>35628</v>
          </cell>
          <cell r="B2934">
            <v>19.920000000000002</v>
          </cell>
        </row>
        <row r="2935">
          <cell r="A2935">
            <v>35629</v>
          </cell>
          <cell r="B2935">
            <v>19.22</v>
          </cell>
        </row>
        <row r="2936">
          <cell r="A2936">
            <v>35632</v>
          </cell>
          <cell r="B2936">
            <v>19.25</v>
          </cell>
        </row>
        <row r="2937">
          <cell r="A2937">
            <v>35633</v>
          </cell>
          <cell r="B2937">
            <v>19.25</v>
          </cell>
        </row>
        <row r="2938">
          <cell r="A2938">
            <v>35634</v>
          </cell>
          <cell r="B2938">
            <v>19.68</v>
          </cell>
        </row>
        <row r="2939">
          <cell r="A2939">
            <v>35635</v>
          </cell>
          <cell r="B2939">
            <v>19.71</v>
          </cell>
        </row>
        <row r="2940">
          <cell r="A2940">
            <v>35636</v>
          </cell>
          <cell r="B2940">
            <v>19.71</v>
          </cell>
        </row>
        <row r="2941">
          <cell r="A2941">
            <v>35639</v>
          </cell>
          <cell r="B2941">
            <v>19.670000000000002</v>
          </cell>
        </row>
        <row r="2942">
          <cell r="A2942">
            <v>35640</v>
          </cell>
          <cell r="B2942">
            <v>20.079999999999998</v>
          </cell>
        </row>
        <row r="2943">
          <cell r="A2943">
            <v>35641</v>
          </cell>
          <cell r="B2943">
            <v>20.43</v>
          </cell>
        </row>
        <row r="2944">
          <cell r="A2944">
            <v>35642</v>
          </cell>
          <cell r="B2944">
            <v>20.190000000000001</v>
          </cell>
        </row>
        <row r="2945">
          <cell r="A2945">
            <v>35643</v>
          </cell>
          <cell r="B2945">
            <v>20.27</v>
          </cell>
        </row>
        <row r="2946">
          <cell r="A2946">
            <v>35646</v>
          </cell>
          <cell r="B2946">
            <v>20.81</v>
          </cell>
        </row>
        <row r="2947">
          <cell r="A2947">
            <v>35647</v>
          </cell>
          <cell r="B2947">
            <v>20.79</v>
          </cell>
        </row>
        <row r="2948">
          <cell r="A2948">
            <v>35648</v>
          </cell>
          <cell r="B2948">
            <v>20.46</v>
          </cell>
        </row>
        <row r="2949">
          <cell r="A2949">
            <v>35649</v>
          </cell>
          <cell r="B2949">
            <v>20.09</v>
          </cell>
        </row>
        <row r="2950">
          <cell r="A2950">
            <v>35650</v>
          </cell>
          <cell r="B2950">
            <v>19.579999999999998</v>
          </cell>
        </row>
        <row r="2951">
          <cell r="A2951">
            <v>35653</v>
          </cell>
          <cell r="B2951">
            <v>19.73</v>
          </cell>
        </row>
        <row r="2952">
          <cell r="A2952">
            <v>35654</v>
          </cell>
          <cell r="B2952">
            <v>19.91</v>
          </cell>
        </row>
        <row r="2953">
          <cell r="A2953">
            <v>35655</v>
          </cell>
          <cell r="B2953">
            <v>20.190000000000001</v>
          </cell>
        </row>
        <row r="2954">
          <cell r="A2954">
            <v>35656</v>
          </cell>
          <cell r="B2954">
            <v>20.02</v>
          </cell>
        </row>
        <row r="2955">
          <cell r="A2955">
            <v>35657</v>
          </cell>
          <cell r="B2955">
            <v>20.079999999999998</v>
          </cell>
        </row>
        <row r="2956">
          <cell r="A2956">
            <v>35660</v>
          </cell>
          <cell r="B2956">
            <v>19.940000000000001</v>
          </cell>
        </row>
        <row r="2957">
          <cell r="A2957">
            <v>35661</v>
          </cell>
          <cell r="B2957">
            <v>20.04</v>
          </cell>
        </row>
        <row r="2958">
          <cell r="A2958">
            <v>35662</v>
          </cell>
          <cell r="B2958">
            <v>20.07</v>
          </cell>
        </row>
        <row r="2959">
          <cell r="A2959">
            <v>35663</v>
          </cell>
          <cell r="B2959">
            <v>19.829999999999998</v>
          </cell>
        </row>
        <row r="2960">
          <cell r="A2960">
            <v>35664</v>
          </cell>
          <cell r="B2960">
            <v>19.7</v>
          </cell>
        </row>
        <row r="2961">
          <cell r="A2961">
            <v>35667</v>
          </cell>
          <cell r="B2961">
            <v>19.29</v>
          </cell>
        </row>
        <row r="2962">
          <cell r="A2962">
            <v>35668</v>
          </cell>
          <cell r="B2962">
            <v>19.309999999999999</v>
          </cell>
        </row>
        <row r="2963">
          <cell r="A2963">
            <v>35669</v>
          </cell>
          <cell r="B2963">
            <v>19.649999999999999</v>
          </cell>
        </row>
        <row r="2964">
          <cell r="A2964">
            <v>35670</v>
          </cell>
          <cell r="B2964">
            <v>19.59</v>
          </cell>
        </row>
        <row r="2965">
          <cell r="A2965">
            <v>35671</v>
          </cell>
          <cell r="B2965">
            <v>19.66</v>
          </cell>
        </row>
        <row r="2966">
          <cell r="A2966">
            <v>35675</v>
          </cell>
          <cell r="B2966">
            <v>19.73</v>
          </cell>
        </row>
        <row r="2967">
          <cell r="A2967">
            <v>35676</v>
          </cell>
          <cell r="B2967">
            <v>19.649999999999999</v>
          </cell>
        </row>
        <row r="2968">
          <cell r="A2968">
            <v>35677</v>
          </cell>
          <cell r="B2968">
            <v>19.46</v>
          </cell>
        </row>
        <row r="2969">
          <cell r="A2969">
            <v>35678</v>
          </cell>
          <cell r="B2969">
            <v>19.61</v>
          </cell>
        </row>
        <row r="2970">
          <cell r="A2970">
            <v>35681</v>
          </cell>
          <cell r="B2970">
            <v>19.43</v>
          </cell>
        </row>
        <row r="2971">
          <cell r="A2971">
            <v>35682</v>
          </cell>
          <cell r="B2971">
            <v>19.5</v>
          </cell>
        </row>
        <row r="2972">
          <cell r="A2972">
            <v>35683</v>
          </cell>
          <cell r="B2972">
            <v>19.5</v>
          </cell>
        </row>
        <row r="2973">
          <cell r="A2973">
            <v>35684</v>
          </cell>
          <cell r="B2973">
            <v>19.41</v>
          </cell>
        </row>
        <row r="2974">
          <cell r="A2974">
            <v>35685</v>
          </cell>
          <cell r="B2974">
            <v>19.37</v>
          </cell>
        </row>
        <row r="2975">
          <cell r="A2975">
            <v>35688</v>
          </cell>
          <cell r="B2975">
            <v>19.3</v>
          </cell>
        </row>
        <row r="2976">
          <cell r="A2976">
            <v>35689</v>
          </cell>
          <cell r="B2976">
            <v>19.670000000000002</v>
          </cell>
        </row>
        <row r="2977">
          <cell r="A2977">
            <v>35690</v>
          </cell>
          <cell r="B2977">
            <v>19.440000000000001</v>
          </cell>
        </row>
        <row r="2978">
          <cell r="A2978">
            <v>35691</v>
          </cell>
          <cell r="B2978">
            <v>19.41</v>
          </cell>
        </row>
        <row r="2979">
          <cell r="A2979">
            <v>35692</v>
          </cell>
          <cell r="B2979">
            <v>19.37</v>
          </cell>
        </row>
        <row r="2980">
          <cell r="A2980">
            <v>35695</v>
          </cell>
          <cell r="B2980">
            <v>19.61</v>
          </cell>
        </row>
        <row r="2981">
          <cell r="A2981">
            <v>35696</v>
          </cell>
          <cell r="B2981">
            <v>19.71</v>
          </cell>
        </row>
        <row r="2982">
          <cell r="A2982">
            <v>35697</v>
          </cell>
          <cell r="B2982">
            <v>20.03</v>
          </cell>
        </row>
        <row r="2983">
          <cell r="A2983">
            <v>35698</v>
          </cell>
          <cell r="B2983">
            <v>20.38</v>
          </cell>
        </row>
        <row r="2984">
          <cell r="A2984">
            <v>35699</v>
          </cell>
          <cell r="B2984">
            <v>20.87</v>
          </cell>
        </row>
        <row r="2985">
          <cell r="A2985">
            <v>35702</v>
          </cell>
          <cell r="B2985">
            <v>21.29</v>
          </cell>
        </row>
        <row r="2986">
          <cell r="A2986">
            <v>35703</v>
          </cell>
          <cell r="B2986">
            <v>21.13</v>
          </cell>
        </row>
        <row r="2987">
          <cell r="A2987">
            <v>35704</v>
          </cell>
          <cell r="B2987">
            <v>21.02</v>
          </cell>
        </row>
        <row r="2988">
          <cell r="A2988">
            <v>35705</v>
          </cell>
          <cell r="B2988">
            <v>21.82</v>
          </cell>
        </row>
        <row r="2989">
          <cell r="A2989">
            <v>35706</v>
          </cell>
          <cell r="B2989">
            <v>22.86</v>
          </cell>
        </row>
        <row r="2990">
          <cell r="A2990">
            <v>35709</v>
          </cell>
          <cell r="B2990">
            <v>21.97</v>
          </cell>
        </row>
        <row r="2991">
          <cell r="A2991">
            <v>35710</v>
          </cell>
          <cell r="B2991">
            <v>21.88</v>
          </cell>
        </row>
        <row r="2992">
          <cell r="A2992">
            <v>35711</v>
          </cell>
          <cell r="B2992">
            <v>22.19</v>
          </cell>
        </row>
        <row r="2993">
          <cell r="A2993">
            <v>35712</v>
          </cell>
          <cell r="B2993">
            <v>22.01</v>
          </cell>
        </row>
        <row r="2994">
          <cell r="A2994">
            <v>35713</v>
          </cell>
          <cell r="B2994">
            <v>22.01</v>
          </cell>
        </row>
        <row r="2995">
          <cell r="A2995">
            <v>35716</v>
          </cell>
          <cell r="B2995">
            <v>21.34</v>
          </cell>
        </row>
        <row r="2996">
          <cell r="A2996">
            <v>35717</v>
          </cell>
          <cell r="B2996">
            <v>20.75</v>
          </cell>
        </row>
        <row r="2997">
          <cell r="A2997">
            <v>35718</v>
          </cell>
          <cell r="B2997">
            <v>20.65</v>
          </cell>
        </row>
        <row r="2998">
          <cell r="A2998">
            <v>35719</v>
          </cell>
          <cell r="B2998">
            <v>20.98</v>
          </cell>
        </row>
        <row r="2999">
          <cell r="A2999">
            <v>35720</v>
          </cell>
          <cell r="B2999">
            <v>21.41</v>
          </cell>
        </row>
        <row r="3000">
          <cell r="A3000">
            <v>35723</v>
          </cell>
          <cell r="B3000">
            <v>20.69</v>
          </cell>
        </row>
        <row r="3001">
          <cell r="A3001">
            <v>35724</v>
          </cell>
          <cell r="B3001">
            <v>20.68</v>
          </cell>
        </row>
        <row r="3002">
          <cell r="A3002">
            <v>35725</v>
          </cell>
          <cell r="B3002">
            <v>21.44</v>
          </cell>
        </row>
        <row r="3003">
          <cell r="A3003">
            <v>35726</v>
          </cell>
          <cell r="B3003">
            <v>21.18</v>
          </cell>
        </row>
        <row r="3004">
          <cell r="A3004">
            <v>35727</v>
          </cell>
          <cell r="B3004">
            <v>20.99</v>
          </cell>
        </row>
        <row r="3005">
          <cell r="A3005">
            <v>35730</v>
          </cell>
          <cell r="B3005">
            <v>21.03</v>
          </cell>
        </row>
        <row r="3006">
          <cell r="A3006">
            <v>35731</v>
          </cell>
          <cell r="B3006">
            <v>20.399999999999999</v>
          </cell>
        </row>
        <row r="3007">
          <cell r="A3007">
            <v>35732</v>
          </cell>
          <cell r="B3007">
            <v>20.82</v>
          </cell>
        </row>
        <row r="3008">
          <cell r="A3008">
            <v>35733</v>
          </cell>
          <cell r="B3008">
            <v>21.26</v>
          </cell>
        </row>
        <row r="3009">
          <cell r="A3009">
            <v>35734</v>
          </cell>
          <cell r="B3009">
            <v>21.1</v>
          </cell>
        </row>
        <row r="3010">
          <cell r="A3010">
            <v>35737</v>
          </cell>
          <cell r="B3010">
            <v>20.91</v>
          </cell>
        </row>
        <row r="3011">
          <cell r="A3011">
            <v>35738</v>
          </cell>
          <cell r="B3011">
            <v>20.64</v>
          </cell>
        </row>
        <row r="3012">
          <cell r="A3012">
            <v>35739</v>
          </cell>
          <cell r="B3012">
            <v>20.440000000000001</v>
          </cell>
        </row>
        <row r="3013">
          <cell r="A3013">
            <v>35740</v>
          </cell>
          <cell r="B3013">
            <v>20.46</v>
          </cell>
        </row>
        <row r="3014">
          <cell r="A3014">
            <v>35741</v>
          </cell>
          <cell r="B3014">
            <v>20.8</v>
          </cell>
        </row>
        <row r="3015">
          <cell r="A3015">
            <v>35744</v>
          </cell>
          <cell r="B3015">
            <v>20.46</v>
          </cell>
        </row>
        <row r="3016">
          <cell r="A3016">
            <v>35745</v>
          </cell>
          <cell r="B3016">
            <v>20.54</v>
          </cell>
        </row>
        <row r="3017">
          <cell r="A3017">
            <v>35746</v>
          </cell>
          <cell r="B3017">
            <v>20.53</v>
          </cell>
        </row>
        <row r="3018">
          <cell r="A3018">
            <v>35747</v>
          </cell>
          <cell r="B3018">
            <v>20.76</v>
          </cell>
        </row>
        <row r="3019">
          <cell r="A3019">
            <v>35748</v>
          </cell>
          <cell r="B3019">
            <v>21.01</v>
          </cell>
        </row>
        <row r="3020">
          <cell r="A3020">
            <v>35751</v>
          </cell>
          <cell r="B3020">
            <v>20.29</v>
          </cell>
        </row>
        <row r="3021">
          <cell r="A3021">
            <v>35752</v>
          </cell>
          <cell r="B3021">
            <v>20.010000000000002</v>
          </cell>
        </row>
        <row r="3022">
          <cell r="A3022">
            <v>35753</v>
          </cell>
          <cell r="B3022">
            <v>19.82</v>
          </cell>
        </row>
        <row r="3023">
          <cell r="A3023">
            <v>35754</v>
          </cell>
          <cell r="B3023">
            <v>19.170000000000002</v>
          </cell>
        </row>
        <row r="3024">
          <cell r="A3024">
            <v>35755</v>
          </cell>
          <cell r="B3024">
            <v>19.760000000000002</v>
          </cell>
        </row>
        <row r="3025">
          <cell r="A3025">
            <v>35758</v>
          </cell>
          <cell r="B3025">
            <v>19.41</v>
          </cell>
        </row>
        <row r="3026">
          <cell r="A3026">
            <v>35759</v>
          </cell>
          <cell r="B3026">
            <v>19.350000000000001</v>
          </cell>
        </row>
        <row r="3027">
          <cell r="A3027">
            <v>35760</v>
          </cell>
          <cell r="B3027">
            <v>19.13</v>
          </cell>
        </row>
        <row r="3028">
          <cell r="A3028">
            <v>35765</v>
          </cell>
          <cell r="B3028">
            <v>18.760000000000002</v>
          </cell>
        </row>
        <row r="3029">
          <cell r="A3029">
            <v>35766</v>
          </cell>
          <cell r="B3029">
            <v>18.670000000000002</v>
          </cell>
        </row>
        <row r="3030">
          <cell r="A3030">
            <v>35767</v>
          </cell>
          <cell r="B3030">
            <v>18.809999999999999</v>
          </cell>
        </row>
        <row r="3031">
          <cell r="A3031">
            <v>35768</v>
          </cell>
          <cell r="B3031">
            <v>18.489999999999998</v>
          </cell>
        </row>
        <row r="3032">
          <cell r="A3032">
            <v>35769</v>
          </cell>
          <cell r="B3032">
            <v>18.72</v>
          </cell>
        </row>
        <row r="3033">
          <cell r="A3033">
            <v>35772</v>
          </cell>
          <cell r="B3033">
            <v>18.86</v>
          </cell>
        </row>
        <row r="3034">
          <cell r="A3034">
            <v>35773</v>
          </cell>
          <cell r="B3034">
            <v>18.79</v>
          </cell>
        </row>
        <row r="3035">
          <cell r="A3035">
            <v>35774</v>
          </cell>
          <cell r="B3035">
            <v>18.149999999999999</v>
          </cell>
        </row>
        <row r="3036">
          <cell r="A3036">
            <v>35775</v>
          </cell>
          <cell r="B3036">
            <v>18.18</v>
          </cell>
        </row>
        <row r="3037">
          <cell r="A3037">
            <v>35776</v>
          </cell>
          <cell r="B3037">
            <v>18.21</v>
          </cell>
        </row>
        <row r="3038">
          <cell r="A3038">
            <v>35779</v>
          </cell>
          <cell r="B3038">
            <v>18.18</v>
          </cell>
        </row>
        <row r="3039">
          <cell r="A3039">
            <v>35780</v>
          </cell>
          <cell r="B3039">
            <v>18.190000000000001</v>
          </cell>
        </row>
        <row r="3040">
          <cell r="A3040">
            <v>35781</v>
          </cell>
          <cell r="B3040">
            <v>18.22</v>
          </cell>
        </row>
        <row r="3041">
          <cell r="A3041">
            <v>35782</v>
          </cell>
          <cell r="B3041">
            <v>18.510000000000002</v>
          </cell>
        </row>
        <row r="3042">
          <cell r="A3042">
            <v>35783</v>
          </cell>
          <cell r="B3042">
            <v>18.46</v>
          </cell>
        </row>
        <row r="3043">
          <cell r="A3043">
            <v>35786</v>
          </cell>
          <cell r="B3043">
            <v>18.29</v>
          </cell>
        </row>
        <row r="3044">
          <cell r="A3044">
            <v>35787</v>
          </cell>
          <cell r="B3044">
            <v>18.39</v>
          </cell>
        </row>
        <row r="3045">
          <cell r="A3045">
            <v>35788</v>
          </cell>
          <cell r="B3045">
            <v>18.36</v>
          </cell>
        </row>
        <row r="3046">
          <cell r="A3046">
            <v>35790</v>
          </cell>
          <cell r="B3046">
            <v>18.190000000000001</v>
          </cell>
        </row>
        <row r="3047">
          <cell r="A3047">
            <v>35793</v>
          </cell>
          <cell r="B3047">
            <v>17.64</v>
          </cell>
        </row>
        <row r="3048">
          <cell r="A3048">
            <v>35794</v>
          </cell>
          <cell r="B3048">
            <v>17.600000000000001</v>
          </cell>
        </row>
        <row r="3049">
          <cell r="A3049">
            <v>35795</v>
          </cell>
          <cell r="B3049">
            <v>17.649999999999999</v>
          </cell>
        </row>
        <row r="3050">
          <cell r="A3050">
            <v>35797</v>
          </cell>
          <cell r="B3050">
            <v>17.41</v>
          </cell>
        </row>
        <row r="3051">
          <cell r="A3051">
            <v>35800</v>
          </cell>
          <cell r="B3051">
            <v>16.95</v>
          </cell>
        </row>
        <row r="3052">
          <cell r="A3052">
            <v>35801</v>
          </cell>
          <cell r="B3052">
            <v>16.64</v>
          </cell>
        </row>
        <row r="3053">
          <cell r="A3053">
            <v>35802</v>
          </cell>
          <cell r="B3053">
            <v>16.91</v>
          </cell>
        </row>
        <row r="3054">
          <cell r="A3054">
            <v>35803</v>
          </cell>
          <cell r="B3054">
            <v>17.010000000000002</v>
          </cell>
        </row>
        <row r="3055">
          <cell r="A3055">
            <v>35804</v>
          </cell>
          <cell r="B3055">
            <v>16.649999999999999</v>
          </cell>
        </row>
        <row r="3056">
          <cell r="A3056">
            <v>35807</v>
          </cell>
          <cell r="B3056">
            <v>16.53</v>
          </cell>
        </row>
        <row r="3057">
          <cell r="A3057">
            <v>35808</v>
          </cell>
          <cell r="B3057">
            <v>16.440000000000001</v>
          </cell>
        </row>
        <row r="3058">
          <cell r="A3058">
            <v>35809</v>
          </cell>
          <cell r="B3058">
            <v>16.54</v>
          </cell>
        </row>
        <row r="3059">
          <cell r="A3059">
            <v>35810</v>
          </cell>
          <cell r="B3059">
            <v>16.350000000000001</v>
          </cell>
        </row>
        <row r="3060">
          <cell r="A3060">
            <v>35811</v>
          </cell>
          <cell r="B3060">
            <v>16.48</v>
          </cell>
        </row>
        <row r="3061">
          <cell r="A3061">
            <v>35815</v>
          </cell>
          <cell r="B3061">
            <v>16.43</v>
          </cell>
        </row>
        <row r="3062">
          <cell r="A3062">
            <v>35816</v>
          </cell>
          <cell r="B3062">
            <v>16.05</v>
          </cell>
        </row>
        <row r="3063">
          <cell r="A3063">
            <v>35817</v>
          </cell>
          <cell r="B3063">
            <v>15.93</v>
          </cell>
        </row>
        <row r="3064">
          <cell r="A3064">
            <v>35818</v>
          </cell>
          <cell r="B3064">
            <v>15.65</v>
          </cell>
        </row>
        <row r="3065">
          <cell r="A3065">
            <v>35821</v>
          </cell>
          <cell r="B3065">
            <v>16.96</v>
          </cell>
        </row>
        <row r="3066">
          <cell r="A3066">
            <v>35822</v>
          </cell>
          <cell r="B3066">
            <v>17.059999999999999</v>
          </cell>
        </row>
        <row r="3067">
          <cell r="A3067">
            <v>35823</v>
          </cell>
          <cell r="B3067">
            <v>17.350000000000001</v>
          </cell>
        </row>
        <row r="3068">
          <cell r="A3068">
            <v>35824</v>
          </cell>
          <cell r="B3068">
            <v>17.93</v>
          </cell>
        </row>
        <row r="3069">
          <cell r="A3069">
            <v>35825</v>
          </cell>
          <cell r="B3069">
            <v>17.21</v>
          </cell>
        </row>
        <row r="3070">
          <cell r="A3070">
            <v>35828</v>
          </cell>
          <cell r="B3070">
            <v>17.07</v>
          </cell>
        </row>
        <row r="3071">
          <cell r="A3071">
            <v>35829</v>
          </cell>
          <cell r="B3071">
            <v>16.43</v>
          </cell>
        </row>
        <row r="3072">
          <cell r="A3072">
            <v>35830</v>
          </cell>
          <cell r="B3072">
            <v>16.420000000000002</v>
          </cell>
        </row>
        <row r="3073">
          <cell r="A3073">
            <v>35831</v>
          </cell>
          <cell r="B3073">
            <v>16.63</v>
          </cell>
        </row>
        <row r="3074">
          <cell r="A3074">
            <v>35832</v>
          </cell>
          <cell r="B3074">
            <v>16.72</v>
          </cell>
        </row>
        <row r="3075">
          <cell r="A3075">
            <v>35835</v>
          </cell>
          <cell r="B3075">
            <v>16.59</v>
          </cell>
        </row>
        <row r="3076">
          <cell r="A3076">
            <v>35836</v>
          </cell>
          <cell r="B3076">
            <v>16.48</v>
          </cell>
        </row>
        <row r="3077">
          <cell r="A3077">
            <v>35837</v>
          </cell>
          <cell r="B3077">
            <v>16.170000000000002</v>
          </cell>
        </row>
        <row r="3078">
          <cell r="A3078">
            <v>35838</v>
          </cell>
          <cell r="B3078">
            <v>15.97</v>
          </cell>
        </row>
        <row r="3079">
          <cell r="A3079">
            <v>35839</v>
          </cell>
          <cell r="B3079">
            <v>16.03</v>
          </cell>
        </row>
        <row r="3080">
          <cell r="A3080">
            <v>35843</v>
          </cell>
          <cell r="B3080">
            <v>15.64</v>
          </cell>
        </row>
        <row r="3081">
          <cell r="A3081">
            <v>35844</v>
          </cell>
          <cell r="B3081">
            <v>16.239999999999998</v>
          </cell>
        </row>
        <row r="3082">
          <cell r="A3082">
            <v>35845</v>
          </cell>
          <cell r="B3082">
            <v>16.12</v>
          </cell>
        </row>
        <row r="3083">
          <cell r="A3083">
            <v>35846</v>
          </cell>
          <cell r="B3083">
            <v>16.13</v>
          </cell>
        </row>
        <row r="3084">
          <cell r="A3084">
            <v>35849</v>
          </cell>
          <cell r="B3084">
            <v>15.23</v>
          </cell>
        </row>
        <row r="3085">
          <cell r="A3085">
            <v>35850</v>
          </cell>
          <cell r="B3085">
            <v>15.14</v>
          </cell>
        </row>
        <row r="3086">
          <cell r="A3086">
            <v>35851</v>
          </cell>
          <cell r="B3086">
            <v>15.28</v>
          </cell>
        </row>
        <row r="3087">
          <cell r="A3087">
            <v>35852</v>
          </cell>
          <cell r="B3087">
            <v>15.41</v>
          </cell>
        </row>
        <row r="3088">
          <cell r="A3088">
            <v>35853</v>
          </cell>
          <cell r="B3088">
            <v>15.44</v>
          </cell>
        </row>
        <row r="3089">
          <cell r="A3089">
            <v>35856</v>
          </cell>
          <cell r="B3089">
            <v>15.32</v>
          </cell>
        </row>
        <row r="3090">
          <cell r="A3090">
            <v>35857</v>
          </cell>
          <cell r="B3090">
            <v>15.28</v>
          </cell>
        </row>
        <row r="3091">
          <cell r="A3091">
            <v>35858</v>
          </cell>
          <cell r="B3091">
            <v>15.33</v>
          </cell>
        </row>
        <row r="3092">
          <cell r="A3092">
            <v>35859</v>
          </cell>
          <cell r="B3092">
            <v>15.34</v>
          </cell>
        </row>
        <row r="3093">
          <cell r="A3093">
            <v>35860</v>
          </cell>
          <cell r="B3093">
            <v>14.9</v>
          </cell>
        </row>
        <row r="3094">
          <cell r="A3094">
            <v>35863</v>
          </cell>
          <cell r="B3094">
            <v>14.58</v>
          </cell>
        </row>
        <row r="3095">
          <cell r="A3095">
            <v>35864</v>
          </cell>
          <cell r="B3095">
            <v>14.54</v>
          </cell>
        </row>
        <row r="3096">
          <cell r="A3096">
            <v>35865</v>
          </cell>
          <cell r="B3096">
            <v>14.3</v>
          </cell>
        </row>
        <row r="3097">
          <cell r="A3097">
            <v>35866</v>
          </cell>
          <cell r="B3097">
            <v>14.4</v>
          </cell>
        </row>
        <row r="3098">
          <cell r="A3098">
            <v>35867</v>
          </cell>
          <cell r="B3098">
            <v>14.19</v>
          </cell>
        </row>
        <row r="3099">
          <cell r="A3099">
            <v>35870</v>
          </cell>
          <cell r="B3099">
            <v>13.41</v>
          </cell>
        </row>
        <row r="3100">
          <cell r="A3100">
            <v>35871</v>
          </cell>
          <cell r="B3100">
            <v>13.67</v>
          </cell>
        </row>
        <row r="3101">
          <cell r="A3101">
            <v>35872</v>
          </cell>
          <cell r="B3101">
            <v>14.36</v>
          </cell>
        </row>
        <row r="3102">
          <cell r="A3102">
            <v>35873</v>
          </cell>
          <cell r="B3102">
            <v>14.43</v>
          </cell>
        </row>
        <row r="3103">
          <cell r="A3103">
            <v>35874</v>
          </cell>
          <cell r="B3103">
            <v>14.31</v>
          </cell>
        </row>
        <row r="3104">
          <cell r="A3104">
            <v>35877</v>
          </cell>
          <cell r="B3104">
            <v>16.14</v>
          </cell>
        </row>
        <row r="3105">
          <cell r="A3105">
            <v>35878</v>
          </cell>
          <cell r="B3105">
            <v>15.52</v>
          </cell>
        </row>
        <row r="3106">
          <cell r="A3106">
            <v>35879</v>
          </cell>
          <cell r="B3106">
            <v>16.690000000000001</v>
          </cell>
        </row>
        <row r="3107">
          <cell r="A3107">
            <v>35880</v>
          </cell>
          <cell r="B3107">
            <v>16.920000000000002</v>
          </cell>
        </row>
        <row r="3108">
          <cell r="A3108">
            <v>35881</v>
          </cell>
          <cell r="B3108">
            <v>16.84</v>
          </cell>
        </row>
        <row r="3109">
          <cell r="A3109">
            <v>35884</v>
          </cell>
          <cell r="B3109">
            <v>16.32</v>
          </cell>
        </row>
        <row r="3110">
          <cell r="A3110">
            <v>35885</v>
          </cell>
          <cell r="B3110">
            <v>15.75</v>
          </cell>
        </row>
        <row r="3111">
          <cell r="A3111">
            <v>35886</v>
          </cell>
          <cell r="B3111">
            <v>15.69</v>
          </cell>
        </row>
        <row r="3112">
          <cell r="A3112">
            <v>35887</v>
          </cell>
          <cell r="B3112">
            <v>16.04</v>
          </cell>
        </row>
        <row r="3113">
          <cell r="A3113">
            <v>35888</v>
          </cell>
          <cell r="B3113">
            <v>16.079999999999998</v>
          </cell>
        </row>
        <row r="3114">
          <cell r="A3114">
            <v>35891</v>
          </cell>
          <cell r="B3114">
            <v>15.48</v>
          </cell>
        </row>
        <row r="3115">
          <cell r="A3115">
            <v>35892</v>
          </cell>
          <cell r="B3115">
            <v>15.39</v>
          </cell>
        </row>
        <row r="3116">
          <cell r="A3116">
            <v>35893</v>
          </cell>
          <cell r="B3116">
            <v>15.71</v>
          </cell>
        </row>
        <row r="3117">
          <cell r="A3117">
            <v>35894</v>
          </cell>
          <cell r="B3117">
            <v>15.61</v>
          </cell>
        </row>
        <row r="3118">
          <cell r="A3118">
            <v>35898</v>
          </cell>
          <cell r="B3118">
            <v>15.35</v>
          </cell>
        </row>
        <row r="3119">
          <cell r="A3119">
            <v>35899</v>
          </cell>
          <cell r="B3119">
            <v>15.18</v>
          </cell>
        </row>
        <row r="3120">
          <cell r="A3120">
            <v>35900</v>
          </cell>
          <cell r="B3120">
            <v>15.64</v>
          </cell>
        </row>
        <row r="3121">
          <cell r="A3121">
            <v>35901</v>
          </cell>
          <cell r="B3121">
            <v>15.97</v>
          </cell>
        </row>
        <row r="3122">
          <cell r="A3122">
            <v>35902</v>
          </cell>
          <cell r="B3122">
            <v>15.49</v>
          </cell>
        </row>
        <row r="3123">
          <cell r="A3123">
            <v>35905</v>
          </cell>
          <cell r="B3123">
            <v>15.52</v>
          </cell>
        </row>
        <row r="3124">
          <cell r="A3124">
            <v>35906</v>
          </cell>
          <cell r="B3124">
            <v>15.57</v>
          </cell>
        </row>
        <row r="3125">
          <cell r="A3125">
            <v>35907</v>
          </cell>
          <cell r="B3125">
            <v>15.07</v>
          </cell>
        </row>
        <row r="3126">
          <cell r="A3126">
            <v>35908</v>
          </cell>
          <cell r="B3126">
            <v>13.09</v>
          </cell>
        </row>
        <row r="3127">
          <cell r="A3127">
            <v>35909</v>
          </cell>
          <cell r="B3127">
            <v>13.23</v>
          </cell>
        </row>
        <row r="3128">
          <cell r="A3128">
            <v>35912</v>
          </cell>
          <cell r="B3128">
            <v>15.43</v>
          </cell>
        </row>
        <row r="3129">
          <cell r="A3129">
            <v>35913</v>
          </cell>
          <cell r="B3129">
            <v>15.9</v>
          </cell>
        </row>
        <row r="3130">
          <cell r="A3130">
            <v>35914</v>
          </cell>
          <cell r="B3130">
            <v>15.43</v>
          </cell>
        </row>
        <row r="3131">
          <cell r="A3131">
            <v>35915</v>
          </cell>
          <cell r="B3131">
            <v>15.56</v>
          </cell>
        </row>
        <row r="3132">
          <cell r="A3132">
            <v>35916</v>
          </cell>
          <cell r="B3132">
            <v>16.25</v>
          </cell>
        </row>
        <row r="3133">
          <cell r="A3133">
            <v>35919</v>
          </cell>
          <cell r="B3133">
            <v>15.98</v>
          </cell>
        </row>
        <row r="3134">
          <cell r="A3134">
            <v>35920</v>
          </cell>
          <cell r="B3134">
            <v>15.48</v>
          </cell>
        </row>
        <row r="3135">
          <cell r="A3135">
            <v>35921</v>
          </cell>
          <cell r="B3135">
            <v>15.45</v>
          </cell>
        </row>
        <row r="3136">
          <cell r="A3136">
            <v>35922</v>
          </cell>
          <cell r="B3136">
            <v>15.26</v>
          </cell>
        </row>
        <row r="3137">
          <cell r="A3137">
            <v>35923</v>
          </cell>
          <cell r="B3137">
            <v>15.21</v>
          </cell>
        </row>
        <row r="3138">
          <cell r="A3138">
            <v>35926</v>
          </cell>
          <cell r="B3138">
            <v>15.26</v>
          </cell>
        </row>
        <row r="3139">
          <cell r="A3139">
            <v>35927</v>
          </cell>
          <cell r="B3139">
            <v>15.21</v>
          </cell>
        </row>
        <row r="3140">
          <cell r="A3140">
            <v>35928</v>
          </cell>
          <cell r="B3140">
            <v>15.01</v>
          </cell>
        </row>
        <row r="3141">
          <cell r="A3141">
            <v>35929</v>
          </cell>
          <cell r="B3141">
            <v>15.15</v>
          </cell>
        </row>
        <row r="3142">
          <cell r="A3142">
            <v>35930</v>
          </cell>
          <cell r="B3142">
            <v>14.51</v>
          </cell>
        </row>
        <row r="3143">
          <cell r="A3143">
            <v>35933</v>
          </cell>
          <cell r="B3143">
            <v>14.15</v>
          </cell>
        </row>
        <row r="3144">
          <cell r="A3144">
            <v>35934</v>
          </cell>
          <cell r="B3144">
            <v>13.01</v>
          </cell>
        </row>
        <row r="3145">
          <cell r="A3145">
            <v>35935</v>
          </cell>
          <cell r="B3145">
            <v>13.36</v>
          </cell>
        </row>
        <row r="3146">
          <cell r="A3146">
            <v>35936</v>
          </cell>
          <cell r="B3146">
            <v>14.21</v>
          </cell>
        </row>
        <row r="3147">
          <cell r="A3147">
            <v>35937</v>
          </cell>
          <cell r="B3147">
            <v>14.81</v>
          </cell>
        </row>
        <row r="3148">
          <cell r="A3148">
            <v>35941</v>
          </cell>
          <cell r="B3148">
            <v>14.9</v>
          </cell>
        </row>
        <row r="3149">
          <cell r="A3149">
            <v>35942</v>
          </cell>
          <cell r="B3149">
            <v>14.98</v>
          </cell>
        </row>
        <row r="3150">
          <cell r="A3150">
            <v>35943</v>
          </cell>
          <cell r="B3150">
            <v>14.88</v>
          </cell>
        </row>
        <row r="3151">
          <cell r="A3151">
            <v>35944</v>
          </cell>
          <cell r="B3151">
            <v>15.21</v>
          </cell>
        </row>
        <row r="3152">
          <cell r="A3152">
            <v>35947</v>
          </cell>
          <cell r="B3152">
            <v>14.99</v>
          </cell>
        </row>
        <row r="3153">
          <cell r="A3153">
            <v>35948</v>
          </cell>
          <cell r="B3153">
            <v>14.81</v>
          </cell>
        </row>
        <row r="3154">
          <cell r="A3154">
            <v>35949</v>
          </cell>
          <cell r="B3154">
            <v>14.94</v>
          </cell>
        </row>
        <row r="3155">
          <cell r="A3155">
            <v>35950</v>
          </cell>
          <cell r="B3155">
            <v>15.24</v>
          </cell>
        </row>
        <row r="3156">
          <cell r="A3156">
            <v>35951</v>
          </cell>
          <cell r="B3156">
            <v>15.13</v>
          </cell>
        </row>
        <row r="3157">
          <cell r="A3157">
            <v>35954</v>
          </cell>
          <cell r="B3157">
            <v>14.49</v>
          </cell>
        </row>
        <row r="3158">
          <cell r="A3158">
            <v>35955</v>
          </cell>
          <cell r="B3158">
            <v>13.76</v>
          </cell>
        </row>
        <row r="3159">
          <cell r="A3159">
            <v>35956</v>
          </cell>
          <cell r="B3159">
            <v>13.54</v>
          </cell>
        </row>
        <row r="3160">
          <cell r="A3160">
            <v>35957</v>
          </cell>
          <cell r="B3160">
            <v>12.67</v>
          </cell>
        </row>
        <row r="3161">
          <cell r="A3161">
            <v>35958</v>
          </cell>
          <cell r="B3161">
            <v>12.66</v>
          </cell>
        </row>
        <row r="3162">
          <cell r="A3162">
            <v>35961</v>
          </cell>
          <cell r="B3162">
            <v>11.69</v>
          </cell>
        </row>
        <row r="3163">
          <cell r="A3163">
            <v>35962</v>
          </cell>
          <cell r="B3163">
            <v>12.38</v>
          </cell>
        </row>
        <row r="3164">
          <cell r="A3164">
            <v>35963</v>
          </cell>
          <cell r="B3164">
            <v>12.55</v>
          </cell>
        </row>
        <row r="3165">
          <cell r="A3165">
            <v>35964</v>
          </cell>
          <cell r="B3165">
            <v>11.8</v>
          </cell>
        </row>
        <row r="3166">
          <cell r="A3166">
            <v>35965</v>
          </cell>
          <cell r="B3166">
            <v>11.8</v>
          </cell>
        </row>
        <row r="3167">
          <cell r="A3167">
            <v>35968</v>
          </cell>
          <cell r="B3167">
            <v>13.54</v>
          </cell>
        </row>
        <row r="3168">
          <cell r="A3168">
            <v>35969</v>
          </cell>
          <cell r="B3168">
            <v>14.65</v>
          </cell>
        </row>
        <row r="3169">
          <cell r="A3169">
            <v>35970</v>
          </cell>
          <cell r="B3169">
            <v>14.54</v>
          </cell>
        </row>
        <row r="3170">
          <cell r="A3170">
            <v>35971</v>
          </cell>
          <cell r="B3170">
            <v>13.9</v>
          </cell>
        </row>
        <row r="3171">
          <cell r="A3171">
            <v>35972</v>
          </cell>
          <cell r="B3171">
            <v>14.21</v>
          </cell>
        </row>
        <row r="3172">
          <cell r="A3172">
            <v>35975</v>
          </cell>
          <cell r="B3172">
            <v>14.29</v>
          </cell>
        </row>
        <row r="3173">
          <cell r="A3173">
            <v>35976</v>
          </cell>
          <cell r="B3173">
            <v>14.3</v>
          </cell>
        </row>
        <row r="3174">
          <cell r="A3174">
            <v>35977</v>
          </cell>
          <cell r="B3174">
            <v>14.47</v>
          </cell>
        </row>
        <row r="3175">
          <cell r="A3175">
            <v>35978</v>
          </cell>
          <cell r="B3175">
            <v>14.58</v>
          </cell>
        </row>
        <row r="3176">
          <cell r="A3176">
            <v>35982</v>
          </cell>
          <cell r="B3176">
            <v>13.87</v>
          </cell>
        </row>
        <row r="3177">
          <cell r="A3177">
            <v>35983</v>
          </cell>
          <cell r="B3177">
            <v>13.83</v>
          </cell>
        </row>
        <row r="3178">
          <cell r="A3178">
            <v>35984</v>
          </cell>
          <cell r="B3178">
            <v>14.01</v>
          </cell>
        </row>
        <row r="3179">
          <cell r="A3179">
            <v>35985</v>
          </cell>
          <cell r="B3179">
            <v>14.01</v>
          </cell>
        </row>
        <row r="3180">
          <cell r="A3180">
            <v>35986</v>
          </cell>
          <cell r="B3180">
            <v>13.96</v>
          </cell>
        </row>
        <row r="3181">
          <cell r="A3181">
            <v>35989</v>
          </cell>
          <cell r="B3181">
            <v>14.06</v>
          </cell>
        </row>
        <row r="3182">
          <cell r="A3182">
            <v>35990</v>
          </cell>
          <cell r="B3182">
            <v>14.87</v>
          </cell>
        </row>
        <row r="3183">
          <cell r="A3183">
            <v>35991</v>
          </cell>
          <cell r="B3183">
            <v>14.9</v>
          </cell>
        </row>
        <row r="3184">
          <cell r="A3184">
            <v>35992</v>
          </cell>
          <cell r="B3184">
            <v>14.54</v>
          </cell>
        </row>
        <row r="3185">
          <cell r="A3185">
            <v>35993</v>
          </cell>
          <cell r="B3185">
            <v>14.02</v>
          </cell>
        </row>
        <row r="3186">
          <cell r="A3186">
            <v>35996</v>
          </cell>
          <cell r="B3186">
            <v>13.44</v>
          </cell>
        </row>
        <row r="3187">
          <cell r="A3187">
            <v>35997</v>
          </cell>
          <cell r="B3187">
            <v>13.83</v>
          </cell>
        </row>
        <row r="3188">
          <cell r="A3188">
            <v>35998</v>
          </cell>
          <cell r="B3188">
            <v>14.29</v>
          </cell>
        </row>
        <row r="3189">
          <cell r="A3189">
            <v>35999</v>
          </cell>
          <cell r="B3189">
            <v>13.97</v>
          </cell>
        </row>
        <row r="3190">
          <cell r="A3190">
            <v>36000</v>
          </cell>
          <cell r="B3190">
            <v>13.93</v>
          </cell>
        </row>
        <row r="3191">
          <cell r="A3191">
            <v>36003</v>
          </cell>
          <cell r="B3191">
            <v>14.37</v>
          </cell>
        </row>
        <row r="3192">
          <cell r="A3192">
            <v>36004</v>
          </cell>
          <cell r="B3192">
            <v>14.2</v>
          </cell>
        </row>
        <row r="3193">
          <cell r="A3193">
            <v>36005</v>
          </cell>
          <cell r="B3193">
            <v>14.13</v>
          </cell>
        </row>
        <row r="3194">
          <cell r="A3194">
            <v>36006</v>
          </cell>
          <cell r="B3194">
            <v>14.25</v>
          </cell>
        </row>
        <row r="3195">
          <cell r="A3195">
            <v>36007</v>
          </cell>
          <cell r="B3195">
            <v>14.27</v>
          </cell>
        </row>
        <row r="3196">
          <cell r="A3196">
            <v>36010</v>
          </cell>
          <cell r="B3196">
            <v>13.93</v>
          </cell>
        </row>
        <row r="3197">
          <cell r="A3197">
            <v>36011</v>
          </cell>
          <cell r="B3197">
            <v>13.69</v>
          </cell>
        </row>
        <row r="3198">
          <cell r="A3198">
            <v>36012</v>
          </cell>
          <cell r="B3198">
            <v>13.8</v>
          </cell>
        </row>
        <row r="3199">
          <cell r="A3199">
            <v>36013</v>
          </cell>
          <cell r="B3199">
            <v>13.87</v>
          </cell>
        </row>
        <row r="3200">
          <cell r="A3200">
            <v>36014</v>
          </cell>
          <cell r="B3200">
            <v>13.85</v>
          </cell>
        </row>
        <row r="3201">
          <cell r="A3201">
            <v>36017</v>
          </cell>
          <cell r="B3201">
            <v>13.11</v>
          </cell>
        </row>
        <row r="3202">
          <cell r="A3202">
            <v>36018</v>
          </cell>
          <cell r="B3202">
            <v>12.87</v>
          </cell>
        </row>
        <row r="3203">
          <cell r="A3203">
            <v>36019</v>
          </cell>
          <cell r="B3203">
            <v>12.76</v>
          </cell>
        </row>
        <row r="3204">
          <cell r="A3204">
            <v>36020</v>
          </cell>
          <cell r="B3204">
            <v>13.44</v>
          </cell>
        </row>
        <row r="3205">
          <cell r="A3205">
            <v>36021</v>
          </cell>
          <cell r="B3205">
            <v>13.4</v>
          </cell>
        </row>
        <row r="3206">
          <cell r="A3206">
            <v>36024</v>
          </cell>
          <cell r="B3206">
            <v>13.26</v>
          </cell>
        </row>
        <row r="3207">
          <cell r="A3207">
            <v>36025</v>
          </cell>
          <cell r="B3207">
            <v>13.13</v>
          </cell>
        </row>
        <row r="3208">
          <cell r="A3208">
            <v>36026</v>
          </cell>
          <cell r="B3208">
            <v>13.21</v>
          </cell>
        </row>
        <row r="3209">
          <cell r="A3209">
            <v>36027</v>
          </cell>
          <cell r="B3209">
            <v>13.62</v>
          </cell>
        </row>
        <row r="3210">
          <cell r="A3210">
            <v>36028</v>
          </cell>
          <cell r="B3210">
            <v>13.44</v>
          </cell>
        </row>
        <row r="3211">
          <cell r="A3211">
            <v>36031</v>
          </cell>
          <cell r="B3211">
            <v>13.78</v>
          </cell>
        </row>
        <row r="3212">
          <cell r="A3212">
            <v>36032</v>
          </cell>
          <cell r="B3212">
            <v>13.9</v>
          </cell>
        </row>
        <row r="3213">
          <cell r="A3213">
            <v>36033</v>
          </cell>
          <cell r="B3213">
            <v>13.67</v>
          </cell>
        </row>
        <row r="3214">
          <cell r="A3214">
            <v>36034</v>
          </cell>
          <cell r="B3214">
            <v>13.35</v>
          </cell>
        </row>
        <row r="3215">
          <cell r="A3215">
            <v>36035</v>
          </cell>
          <cell r="B3215">
            <v>13.54</v>
          </cell>
        </row>
        <row r="3216">
          <cell r="A3216">
            <v>36038</v>
          </cell>
          <cell r="B3216">
            <v>13.29</v>
          </cell>
        </row>
        <row r="3217">
          <cell r="A3217">
            <v>36039</v>
          </cell>
          <cell r="B3217">
            <v>13.62</v>
          </cell>
        </row>
        <row r="3218">
          <cell r="A3218">
            <v>36040</v>
          </cell>
          <cell r="B3218">
            <v>13.72</v>
          </cell>
        </row>
        <row r="3219">
          <cell r="A3219">
            <v>36041</v>
          </cell>
          <cell r="B3219">
            <v>14.7</v>
          </cell>
        </row>
        <row r="3220">
          <cell r="A3220">
            <v>36042</v>
          </cell>
          <cell r="B3220">
            <v>14.59</v>
          </cell>
        </row>
        <row r="3221">
          <cell r="A3221">
            <v>36046</v>
          </cell>
          <cell r="B3221">
            <v>14.34</v>
          </cell>
        </row>
        <row r="3222">
          <cell r="A3222">
            <v>36047</v>
          </cell>
          <cell r="B3222">
            <v>14.37</v>
          </cell>
        </row>
        <row r="3223">
          <cell r="A3223">
            <v>36048</v>
          </cell>
          <cell r="B3223">
            <v>14.71</v>
          </cell>
        </row>
        <row r="3224">
          <cell r="A3224">
            <v>36049</v>
          </cell>
          <cell r="B3224">
            <v>14.39</v>
          </cell>
        </row>
        <row r="3225">
          <cell r="A3225">
            <v>36052</v>
          </cell>
          <cell r="B3225">
            <v>14.46</v>
          </cell>
        </row>
        <row r="3226">
          <cell r="A3226">
            <v>36053</v>
          </cell>
          <cell r="B3226">
            <v>14.72</v>
          </cell>
        </row>
        <row r="3227">
          <cell r="A3227">
            <v>36054</v>
          </cell>
          <cell r="B3227">
            <v>14.6</v>
          </cell>
        </row>
        <row r="3228">
          <cell r="A3228">
            <v>36055</v>
          </cell>
          <cell r="B3228">
            <v>15.07</v>
          </cell>
        </row>
        <row r="3229">
          <cell r="A3229">
            <v>36056</v>
          </cell>
          <cell r="B3229">
            <v>15.53</v>
          </cell>
        </row>
        <row r="3230">
          <cell r="A3230">
            <v>36059</v>
          </cell>
          <cell r="B3230">
            <v>15.58</v>
          </cell>
        </row>
        <row r="3231">
          <cell r="A3231">
            <v>36060</v>
          </cell>
          <cell r="B3231">
            <v>15.73</v>
          </cell>
        </row>
        <row r="3232">
          <cell r="A3232">
            <v>36061</v>
          </cell>
          <cell r="B3232">
            <v>15.8</v>
          </cell>
        </row>
        <row r="3233">
          <cell r="A3233">
            <v>36062</v>
          </cell>
          <cell r="B3233">
            <v>15.99</v>
          </cell>
        </row>
        <row r="3234">
          <cell r="A3234">
            <v>36063</v>
          </cell>
          <cell r="B3234">
            <v>15.8</v>
          </cell>
        </row>
        <row r="3235">
          <cell r="A3235">
            <v>36066</v>
          </cell>
          <cell r="B3235">
            <v>15.74</v>
          </cell>
        </row>
        <row r="3236">
          <cell r="A3236">
            <v>36067</v>
          </cell>
          <cell r="B3236">
            <v>16.010000000000002</v>
          </cell>
        </row>
        <row r="3237">
          <cell r="A3237">
            <v>36068</v>
          </cell>
          <cell r="B3237">
            <v>16.190000000000001</v>
          </cell>
        </row>
        <row r="3238">
          <cell r="A3238">
            <v>36069</v>
          </cell>
          <cell r="B3238">
            <v>15.52</v>
          </cell>
        </row>
        <row r="3239">
          <cell r="A3239">
            <v>36070</v>
          </cell>
          <cell r="B3239">
            <v>15.71</v>
          </cell>
        </row>
        <row r="3240">
          <cell r="A3240">
            <v>36073</v>
          </cell>
          <cell r="B3240">
            <v>15.24</v>
          </cell>
        </row>
        <row r="3241">
          <cell r="A3241">
            <v>36074</v>
          </cell>
          <cell r="B3241">
            <v>15.6</v>
          </cell>
        </row>
        <row r="3242">
          <cell r="A3242">
            <v>36075</v>
          </cell>
          <cell r="B3242">
            <v>15.03</v>
          </cell>
        </row>
        <row r="3243">
          <cell r="A3243">
            <v>36076</v>
          </cell>
          <cell r="B3243">
            <v>14.57</v>
          </cell>
        </row>
        <row r="3244">
          <cell r="A3244">
            <v>36077</v>
          </cell>
          <cell r="B3244">
            <v>14.64</v>
          </cell>
        </row>
        <row r="3245">
          <cell r="A3245">
            <v>36080</v>
          </cell>
          <cell r="B3245">
            <v>14.47</v>
          </cell>
        </row>
        <row r="3246">
          <cell r="A3246">
            <v>36081</v>
          </cell>
          <cell r="B3246">
            <v>14.27</v>
          </cell>
        </row>
        <row r="3247">
          <cell r="A3247">
            <v>36082</v>
          </cell>
          <cell r="B3247">
            <v>14.09</v>
          </cell>
        </row>
        <row r="3248">
          <cell r="A3248">
            <v>36083</v>
          </cell>
          <cell r="B3248">
            <v>14.08</v>
          </cell>
        </row>
        <row r="3249">
          <cell r="A3249">
            <v>36084</v>
          </cell>
          <cell r="B3249">
            <v>14.16</v>
          </cell>
        </row>
        <row r="3250">
          <cell r="A3250">
            <v>36087</v>
          </cell>
          <cell r="B3250">
            <v>13.39</v>
          </cell>
        </row>
        <row r="3251">
          <cell r="A3251">
            <v>36088</v>
          </cell>
          <cell r="B3251">
            <v>13.45</v>
          </cell>
        </row>
        <row r="3252">
          <cell r="A3252">
            <v>36089</v>
          </cell>
          <cell r="B3252">
            <v>14.14</v>
          </cell>
        </row>
        <row r="3253">
          <cell r="A3253">
            <v>36090</v>
          </cell>
          <cell r="B3253">
            <v>14</v>
          </cell>
        </row>
        <row r="3254">
          <cell r="A3254">
            <v>36091</v>
          </cell>
          <cell r="B3254">
            <v>14.06</v>
          </cell>
        </row>
        <row r="3255">
          <cell r="A3255">
            <v>36094</v>
          </cell>
          <cell r="B3255">
            <v>14.39</v>
          </cell>
        </row>
        <row r="3256">
          <cell r="A3256">
            <v>36095</v>
          </cell>
          <cell r="B3256">
            <v>14.19</v>
          </cell>
        </row>
        <row r="3257">
          <cell r="A3257">
            <v>36096</v>
          </cell>
          <cell r="B3257">
            <v>14.35</v>
          </cell>
        </row>
        <row r="3258">
          <cell r="A3258">
            <v>36097</v>
          </cell>
          <cell r="B3258">
            <v>14.31</v>
          </cell>
        </row>
        <row r="3259">
          <cell r="A3259">
            <v>36098</v>
          </cell>
          <cell r="B3259">
            <v>14.48</v>
          </cell>
        </row>
        <row r="3260">
          <cell r="A3260">
            <v>36101</v>
          </cell>
          <cell r="B3260">
            <v>14.45</v>
          </cell>
        </row>
        <row r="3261">
          <cell r="A3261">
            <v>36102</v>
          </cell>
          <cell r="B3261">
            <v>14.24</v>
          </cell>
        </row>
        <row r="3262">
          <cell r="A3262">
            <v>36103</v>
          </cell>
          <cell r="B3262">
            <v>14.09</v>
          </cell>
        </row>
        <row r="3263">
          <cell r="A3263">
            <v>36104</v>
          </cell>
          <cell r="B3263">
            <v>13.93</v>
          </cell>
        </row>
        <row r="3264">
          <cell r="A3264">
            <v>36105</v>
          </cell>
          <cell r="B3264">
            <v>13.93</v>
          </cell>
        </row>
        <row r="3265">
          <cell r="A3265">
            <v>36108</v>
          </cell>
          <cell r="B3265">
            <v>13.39</v>
          </cell>
        </row>
        <row r="3266">
          <cell r="A3266">
            <v>36109</v>
          </cell>
          <cell r="B3266">
            <v>13.54</v>
          </cell>
        </row>
        <row r="3267">
          <cell r="A3267">
            <v>36110</v>
          </cell>
          <cell r="B3267">
            <v>13.63</v>
          </cell>
        </row>
        <row r="3268">
          <cell r="A3268">
            <v>36111</v>
          </cell>
          <cell r="B3268">
            <v>14.04</v>
          </cell>
        </row>
        <row r="3269">
          <cell r="A3269">
            <v>36112</v>
          </cell>
          <cell r="B3269">
            <v>13.57</v>
          </cell>
        </row>
        <row r="3270">
          <cell r="A3270">
            <v>36115</v>
          </cell>
          <cell r="B3270">
            <v>12.81</v>
          </cell>
        </row>
        <row r="3271">
          <cell r="A3271">
            <v>36116</v>
          </cell>
          <cell r="B3271">
            <v>12.46</v>
          </cell>
        </row>
        <row r="3272">
          <cell r="A3272">
            <v>36117</v>
          </cell>
          <cell r="B3272">
            <v>12.33</v>
          </cell>
        </row>
        <row r="3273">
          <cell r="A3273">
            <v>36118</v>
          </cell>
          <cell r="B3273">
            <v>12.21</v>
          </cell>
        </row>
        <row r="3274">
          <cell r="A3274">
            <v>36119</v>
          </cell>
          <cell r="B3274">
            <v>12.2</v>
          </cell>
        </row>
        <row r="3275">
          <cell r="A3275">
            <v>36122</v>
          </cell>
          <cell r="B3275">
            <v>12.51</v>
          </cell>
        </row>
        <row r="3276">
          <cell r="A3276">
            <v>36123</v>
          </cell>
          <cell r="B3276">
            <v>11.48</v>
          </cell>
        </row>
        <row r="3277">
          <cell r="A3277">
            <v>36124</v>
          </cell>
          <cell r="B3277">
            <v>10.86</v>
          </cell>
        </row>
        <row r="3278">
          <cell r="A3278">
            <v>36129</v>
          </cell>
          <cell r="B3278">
            <v>11.37</v>
          </cell>
        </row>
        <row r="3279">
          <cell r="A3279">
            <v>36130</v>
          </cell>
          <cell r="B3279">
            <v>11.27</v>
          </cell>
        </row>
        <row r="3280">
          <cell r="A3280">
            <v>36131</v>
          </cell>
          <cell r="B3280">
            <v>11.31</v>
          </cell>
        </row>
        <row r="3281">
          <cell r="A3281">
            <v>36132</v>
          </cell>
          <cell r="B3281">
            <v>11.25</v>
          </cell>
        </row>
        <row r="3282">
          <cell r="A3282">
            <v>36133</v>
          </cell>
          <cell r="B3282">
            <v>11.2</v>
          </cell>
        </row>
        <row r="3283">
          <cell r="A3283">
            <v>36136</v>
          </cell>
          <cell r="B3283">
            <v>11.61</v>
          </cell>
        </row>
        <row r="3284">
          <cell r="A3284">
            <v>36137</v>
          </cell>
          <cell r="B3284">
            <v>11.33</v>
          </cell>
        </row>
        <row r="3285">
          <cell r="A3285">
            <v>36138</v>
          </cell>
          <cell r="B3285">
            <v>11.2</v>
          </cell>
        </row>
        <row r="3286">
          <cell r="A3286">
            <v>36139</v>
          </cell>
          <cell r="B3286">
            <v>10.82</v>
          </cell>
        </row>
        <row r="3287">
          <cell r="A3287">
            <v>36140</v>
          </cell>
          <cell r="B3287">
            <v>10.86</v>
          </cell>
        </row>
        <row r="3288">
          <cell r="A3288">
            <v>36143</v>
          </cell>
          <cell r="B3288">
            <v>11.3</v>
          </cell>
        </row>
        <row r="3289">
          <cell r="A3289">
            <v>36144</v>
          </cell>
          <cell r="B3289">
            <v>11.64</v>
          </cell>
        </row>
        <row r="3290">
          <cell r="A3290">
            <v>36145</v>
          </cell>
          <cell r="B3290">
            <v>12.55</v>
          </cell>
        </row>
        <row r="3291">
          <cell r="A3291">
            <v>36146</v>
          </cell>
          <cell r="B3291">
            <v>11.05</v>
          </cell>
        </row>
        <row r="3292">
          <cell r="A3292">
            <v>36147</v>
          </cell>
          <cell r="B3292">
            <v>10.95</v>
          </cell>
        </row>
        <row r="3293">
          <cell r="A3293">
            <v>36150</v>
          </cell>
          <cell r="B3293">
            <v>10.86</v>
          </cell>
        </row>
        <row r="3294">
          <cell r="A3294">
            <v>36151</v>
          </cell>
          <cell r="B3294">
            <v>10.99</v>
          </cell>
        </row>
        <row r="3295">
          <cell r="A3295">
            <v>36152</v>
          </cell>
          <cell r="B3295">
            <v>11.12</v>
          </cell>
        </row>
        <row r="3296">
          <cell r="A3296">
            <v>36153</v>
          </cell>
          <cell r="B3296">
            <v>11.03</v>
          </cell>
        </row>
        <row r="3297">
          <cell r="A3297">
            <v>36157</v>
          </cell>
          <cell r="B3297">
            <v>11.59</v>
          </cell>
        </row>
        <row r="3298">
          <cell r="A3298">
            <v>36158</v>
          </cell>
          <cell r="B3298">
            <v>11.82</v>
          </cell>
        </row>
        <row r="3299">
          <cell r="A3299">
            <v>36159</v>
          </cell>
          <cell r="B3299">
            <v>11.75</v>
          </cell>
        </row>
        <row r="3300">
          <cell r="A3300">
            <v>36160</v>
          </cell>
          <cell r="B3300">
            <v>12.14</v>
          </cell>
        </row>
        <row r="3301">
          <cell r="A3301">
            <v>36164</v>
          </cell>
          <cell r="B3301">
            <v>12.42</v>
          </cell>
        </row>
        <row r="3302">
          <cell r="A3302">
            <v>36165</v>
          </cell>
          <cell r="B3302">
            <v>12.04</v>
          </cell>
        </row>
        <row r="3303">
          <cell r="A3303">
            <v>36166</v>
          </cell>
          <cell r="B3303">
            <v>12.84</v>
          </cell>
        </row>
        <row r="3304">
          <cell r="A3304">
            <v>36167</v>
          </cell>
          <cell r="B3304">
            <v>12.99</v>
          </cell>
        </row>
        <row r="3305">
          <cell r="A3305">
            <v>36168</v>
          </cell>
          <cell r="B3305">
            <v>13.06</v>
          </cell>
        </row>
        <row r="3306">
          <cell r="A3306">
            <v>36171</v>
          </cell>
          <cell r="B3306">
            <v>13.43</v>
          </cell>
        </row>
        <row r="3307">
          <cell r="A3307">
            <v>36172</v>
          </cell>
          <cell r="B3307">
            <v>12.91</v>
          </cell>
        </row>
        <row r="3308">
          <cell r="A3308">
            <v>36173</v>
          </cell>
          <cell r="B3308">
            <v>12.33</v>
          </cell>
        </row>
        <row r="3309">
          <cell r="A3309">
            <v>36174</v>
          </cell>
          <cell r="B3309">
            <v>12.23</v>
          </cell>
        </row>
        <row r="3310">
          <cell r="A3310">
            <v>36175</v>
          </cell>
          <cell r="B3310">
            <v>12.21</v>
          </cell>
        </row>
        <row r="3311">
          <cell r="A3311">
            <v>36179</v>
          </cell>
          <cell r="B3311">
            <v>12.13</v>
          </cell>
        </row>
        <row r="3312">
          <cell r="A3312">
            <v>36180</v>
          </cell>
          <cell r="B3312">
            <v>11.82</v>
          </cell>
        </row>
        <row r="3313">
          <cell r="A3313">
            <v>36181</v>
          </cell>
          <cell r="B3313">
            <v>12.45</v>
          </cell>
        </row>
        <row r="3314">
          <cell r="A3314">
            <v>36182</v>
          </cell>
          <cell r="B3314">
            <v>12.62</v>
          </cell>
        </row>
        <row r="3315">
          <cell r="A3315">
            <v>36185</v>
          </cell>
          <cell r="B3315">
            <v>12.41</v>
          </cell>
        </row>
        <row r="3316">
          <cell r="A3316">
            <v>36186</v>
          </cell>
          <cell r="B3316">
            <v>12.16</v>
          </cell>
        </row>
        <row r="3317">
          <cell r="A3317">
            <v>36187</v>
          </cell>
          <cell r="B3317">
            <v>12.4</v>
          </cell>
        </row>
        <row r="3318">
          <cell r="A3318">
            <v>36188</v>
          </cell>
          <cell r="B3318">
            <v>12.52</v>
          </cell>
        </row>
        <row r="3319">
          <cell r="A3319">
            <v>36189</v>
          </cell>
          <cell r="B3319">
            <v>12.81</v>
          </cell>
        </row>
        <row r="3320">
          <cell r="A3320">
            <v>36192</v>
          </cell>
          <cell r="B3320">
            <v>12.36</v>
          </cell>
        </row>
        <row r="3321">
          <cell r="A3321">
            <v>36193</v>
          </cell>
          <cell r="B3321">
            <v>12.21</v>
          </cell>
        </row>
        <row r="3322">
          <cell r="A3322">
            <v>36194</v>
          </cell>
          <cell r="B3322">
            <v>12.42</v>
          </cell>
        </row>
        <row r="3323">
          <cell r="A3323">
            <v>36195</v>
          </cell>
          <cell r="B3323">
            <v>11.94</v>
          </cell>
        </row>
        <row r="3324">
          <cell r="A3324">
            <v>36196</v>
          </cell>
          <cell r="B3324">
            <v>11.85</v>
          </cell>
        </row>
        <row r="3325">
          <cell r="A3325">
            <v>36199</v>
          </cell>
          <cell r="B3325">
            <v>11.65</v>
          </cell>
        </row>
        <row r="3326">
          <cell r="A3326">
            <v>36200</v>
          </cell>
          <cell r="B3326">
            <v>11.66</v>
          </cell>
        </row>
        <row r="3327">
          <cell r="A3327">
            <v>36201</v>
          </cell>
          <cell r="B3327">
            <v>11.88</v>
          </cell>
        </row>
        <row r="3328">
          <cell r="A3328">
            <v>36202</v>
          </cell>
          <cell r="B3328">
            <v>11.94</v>
          </cell>
        </row>
        <row r="3329">
          <cell r="A3329">
            <v>36203</v>
          </cell>
          <cell r="B3329">
            <v>11.9</v>
          </cell>
        </row>
        <row r="3330">
          <cell r="A3330">
            <v>36207</v>
          </cell>
          <cell r="B3330">
            <v>11.38</v>
          </cell>
        </row>
        <row r="3331">
          <cell r="A3331">
            <v>36208</v>
          </cell>
          <cell r="B3331">
            <v>11.49</v>
          </cell>
        </row>
        <row r="3332">
          <cell r="A3332">
            <v>36209</v>
          </cell>
          <cell r="B3332">
            <v>11.97</v>
          </cell>
        </row>
        <row r="3333">
          <cell r="A3333">
            <v>36210</v>
          </cell>
          <cell r="B3333">
            <v>11.79</v>
          </cell>
        </row>
        <row r="3334">
          <cell r="A3334">
            <v>36213</v>
          </cell>
          <cell r="B3334">
            <v>11.97</v>
          </cell>
        </row>
        <row r="3335">
          <cell r="A3335">
            <v>36214</v>
          </cell>
          <cell r="B3335">
            <v>12.44</v>
          </cell>
        </row>
        <row r="3336">
          <cell r="A3336">
            <v>36215</v>
          </cell>
          <cell r="B3336">
            <v>12.49</v>
          </cell>
        </row>
        <row r="3337">
          <cell r="A3337">
            <v>36216</v>
          </cell>
          <cell r="B3337">
            <v>12.61</v>
          </cell>
        </row>
        <row r="3338">
          <cell r="A3338">
            <v>36217</v>
          </cell>
          <cell r="B3338">
            <v>12.31</v>
          </cell>
        </row>
        <row r="3339">
          <cell r="A3339">
            <v>36220</v>
          </cell>
          <cell r="B3339">
            <v>12.28</v>
          </cell>
        </row>
        <row r="3340">
          <cell r="A3340">
            <v>36221</v>
          </cell>
          <cell r="B3340">
            <v>12.66</v>
          </cell>
        </row>
        <row r="3341">
          <cell r="A3341">
            <v>36222</v>
          </cell>
          <cell r="B3341">
            <v>12.92</v>
          </cell>
        </row>
        <row r="3342">
          <cell r="A3342">
            <v>36223</v>
          </cell>
          <cell r="B3342">
            <v>13.32</v>
          </cell>
        </row>
        <row r="3343">
          <cell r="A3343">
            <v>36224</v>
          </cell>
          <cell r="B3343">
            <v>13.33</v>
          </cell>
        </row>
        <row r="3344">
          <cell r="A3344">
            <v>36227</v>
          </cell>
          <cell r="B3344">
            <v>13.63</v>
          </cell>
        </row>
        <row r="3345">
          <cell r="A3345">
            <v>36228</v>
          </cell>
          <cell r="B3345">
            <v>13.78</v>
          </cell>
        </row>
        <row r="3346">
          <cell r="A3346">
            <v>36229</v>
          </cell>
          <cell r="B3346">
            <v>14.74</v>
          </cell>
        </row>
        <row r="3347">
          <cell r="A3347">
            <v>36230</v>
          </cell>
          <cell r="B3347">
            <v>14.3</v>
          </cell>
        </row>
        <row r="3348">
          <cell r="A3348">
            <v>36231</v>
          </cell>
          <cell r="B3348">
            <v>14.51</v>
          </cell>
        </row>
        <row r="3349">
          <cell r="A3349">
            <v>36234</v>
          </cell>
          <cell r="B3349">
            <v>14.48</v>
          </cell>
        </row>
        <row r="3350">
          <cell r="A3350">
            <v>36235</v>
          </cell>
          <cell r="B3350">
            <v>14.6</v>
          </cell>
        </row>
        <row r="3351">
          <cell r="A3351">
            <v>36236</v>
          </cell>
          <cell r="B3351">
            <v>15.11</v>
          </cell>
        </row>
        <row r="3352">
          <cell r="A3352">
            <v>36237</v>
          </cell>
          <cell r="B3352">
            <v>15.11</v>
          </cell>
        </row>
        <row r="3353">
          <cell r="A3353">
            <v>36238</v>
          </cell>
          <cell r="B3353">
            <v>15.26</v>
          </cell>
        </row>
        <row r="3354">
          <cell r="A3354">
            <v>36241</v>
          </cell>
          <cell r="B3354">
            <v>15.39</v>
          </cell>
        </row>
        <row r="3355">
          <cell r="A3355">
            <v>36242</v>
          </cell>
          <cell r="B3355">
            <v>15.36</v>
          </cell>
        </row>
        <row r="3356">
          <cell r="A3356">
            <v>36243</v>
          </cell>
          <cell r="B3356">
            <v>15.18</v>
          </cell>
        </row>
        <row r="3357">
          <cell r="A3357">
            <v>36244</v>
          </cell>
          <cell r="B3357">
            <v>15.66</v>
          </cell>
        </row>
        <row r="3358">
          <cell r="A3358">
            <v>36245</v>
          </cell>
          <cell r="B3358">
            <v>16.16</v>
          </cell>
        </row>
        <row r="3359">
          <cell r="A3359">
            <v>36248</v>
          </cell>
          <cell r="B3359">
            <v>16.46</v>
          </cell>
        </row>
        <row r="3360">
          <cell r="A3360">
            <v>36249</v>
          </cell>
          <cell r="B3360">
            <v>16.66</v>
          </cell>
        </row>
        <row r="3361">
          <cell r="A3361">
            <v>36250</v>
          </cell>
          <cell r="B3361">
            <v>16.66</v>
          </cell>
        </row>
        <row r="3362">
          <cell r="A3362">
            <v>36251</v>
          </cell>
          <cell r="B3362">
            <v>16.649999999999999</v>
          </cell>
        </row>
        <row r="3363">
          <cell r="A3363">
            <v>36255</v>
          </cell>
          <cell r="B3363">
            <v>16.940000000000001</v>
          </cell>
        </row>
        <row r="3364">
          <cell r="A3364">
            <v>36256</v>
          </cell>
          <cell r="B3364">
            <v>16.79</v>
          </cell>
        </row>
        <row r="3365">
          <cell r="A3365">
            <v>36257</v>
          </cell>
          <cell r="B3365">
            <v>16.02</v>
          </cell>
        </row>
        <row r="3366">
          <cell r="A3366">
            <v>36258</v>
          </cell>
          <cell r="B3366">
            <v>15.92</v>
          </cell>
        </row>
        <row r="3367">
          <cell r="A3367">
            <v>36259</v>
          </cell>
          <cell r="B3367">
            <v>16.59</v>
          </cell>
        </row>
        <row r="3368">
          <cell r="A3368">
            <v>36262</v>
          </cell>
          <cell r="B3368">
            <v>16.440000000000001</v>
          </cell>
        </row>
        <row r="3369">
          <cell r="A3369">
            <v>36263</v>
          </cell>
          <cell r="B3369">
            <v>16.73</v>
          </cell>
        </row>
        <row r="3370">
          <cell r="A3370">
            <v>36264</v>
          </cell>
          <cell r="B3370">
            <v>16.510000000000002</v>
          </cell>
        </row>
        <row r="3371">
          <cell r="A3371">
            <v>36265</v>
          </cell>
          <cell r="B3371">
            <v>16.850000000000001</v>
          </cell>
        </row>
        <row r="3372">
          <cell r="A3372">
            <v>36266</v>
          </cell>
          <cell r="B3372">
            <v>17.34</v>
          </cell>
        </row>
        <row r="3373">
          <cell r="A3373">
            <v>36269</v>
          </cell>
          <cell r="B3373">
            <v>17.82</v>
          </cell>
        </row>
        <row r="3374">
          <cell r="A3374">
            <v>36270</v>
          </cell>
          <cell r="B3374">
            <v>17.79</v>
          </cell>
        </row>
        <row r="3375">
          <cell r="A3375">
            <v>36271</v>
          </cell>
          <cell r="B3375">
            <v>18.05</v>
          </cell>
        </row>
        <row r="3376">
          <cell r="A3376">
            <v>36272</v>
          </cell>
          <cell r="B3376">
            <v>18.02</v>
          </cell>
        </row>
        <row r="3377">
          <cell r="A3377">
            <v>36273</v>
          </cell>
          <cell r="B3377">
            <v>17.96</v>
          </cell>
        </row>
        <row r="3378">
          <cell r="A3378">
            <v>36276</v>
          </cell>
          <cell r="B3378">
            <v>17.670000000000002</v>
          </cell>
        </row>
        <row r="3379">
          <cell r="A3379">
            <v>36277</v>
          </cell>
          <cell r="B3379">
            <v>17.82</v>
          </cell>
        </row>
        <row r="3380">
          <cell r="A3380">
            <v>36278</v>
          </cell>
          <cell r="B3380">
            <v>18.43</v>
          </cell>
        </row>
        <row r="3381">
          <cell r="A3381">
            <v>36279</v>
          </cell>
          <cell r="B3381">
            <v>18.53</v>
          </cell>
        </row>
        <row r="3382">
          <cell r="A3382">
            <v>36280</v>
          </cell>
          <cell r="B3382">
            <v>18.690000000000001</v>
          </cell>
        </row>
        <row r="3383">
          <cell r="A3383">
            <v>36283</v>
          </cell>
          <cell r="B3383">
            <v>18.829999999999998</v>
          </cell>
        </row>
        <row r="3384">
          <cell r="A3384">
            <v>36284</v>
          </cell>
          <cell r="B3384">
            <v>18.940000000000001</v>
          </cell>
        </row>
        <row r="3385">
          <cell r="A3385">
            <v>36285</v>
          </cell>
          <cell r="B3385">
            <v>18.89</v>
          </cell>
        </row>
        <row r="3386">
          <cell r="A3386">
            <v>36286</v>
          </cell>
          <cell r="B3386">
            <v>18.23</v>
          </cell>
        </row>
        <row r="3387">
          <cell r="A3387">
            <v>36287</v>
          </cell>
          <cell r="B3387">
            <v>18.23</v>
          </cell>
        </row>
        <row r="3388">
          <cell r="A3388">
            <v>36290</v>
          </cell>
          <cell r="B3388">
            <v>18.57</v>
          </cell>
        </row>
        <row r="3389">
          <cell r="A3389">
            <v>36291</v>
          </cell>
          <cell r="B3389">
            <v>17.84</v>
          </cell>
        </row>
        <row r="3390">
          <cell r="A3390">
            <v>36292</v>
          </cell>
          <cell r="B3390">
            <v>17.440000000000001</v>
          </cell>
        </row>
        <row r="3391">
          <cell r="A3391">
            <v>36293</v>
          </cell>
          <cell r="B3391">
            <v>18.11</v>
          </cell>
        </row>
        <row r="3392">
          <cell r="A3392">
            <v>36294</v>
          </cell>
          <cell r="B3392">
            <v>18.04</v>
          </cell>
        </row>
        <row r="3393">
          <cell r="A3393">
            <v>36297</v>
          </cell>
          <cell r="B3393">
            <v>17.760000000000002</v>
          </cell>
        </row>
        <row r="3394">
          <cell r="A3394">
            <v>36298</v>
          </cell>
          <cell r="B3394">
            <v>17.09</v>
          </cell>
        </row>
        <row r="3395">
          <cell r="A3395">
            <v>36299</v>
          </cell>
          <cell r="B3395">
            <v>16.77</v>
          </cell>
        </row>
        <row r="3396">
          <cell r="A3396">
            <v>36300</v>
          </cell>
          <cell r="B3396">
            <v>17.04</v>
          </cell>
        </row>
        <row r="3397">
          <cell r="A3397">
            <v>36301</v>
          </cell>
          <cell r="B3397">
            <v>17.22</v>
          </cell>
        </row>
        <row r="3398">
          <cell r="A3398">
            <v>36304</v>
          </cell>
          <cell r="B3398">
            <v>16.77</v>
          </cell>
        </row>
        <row r="3399">
          <cell r="A3399">
            <v>36305</v>
          </cell>
          <cell r="B3399">
            <v>17.25</v>
          </cell>
        </row>
        <row r="3400">
          <cell r="A3400">
            <v>36306</v>
          </cell>
          <cell r="B3400">
            <v>17.32</v>
          </cell>
        </row>
        <row r="3401">
          <cell r="A3401">
            <v>36307</v>
          </cell>
          <cell r="B3401">
            <v>17.18</v>
          </cell>
        </row>
        <row r="3402">
          <cell r="A3402">
            <v>36308</v>
          </cell>
          <cell r="B3402">
            <v>16.850000000000001</v>
          </cell>
        </row>
        <row r="3403">
          <cell r="A3403">
            <v>36312</v>
          </cell>
          <cell r="B3403">
            <v>16.309999999999999</v>
          </cell>
        </row>
        <row r="3404">
          <cell r="A3404">
            <v>36313</v>
          </cell>
          <cell r="B3404">
            <v>16.61</v>
          </cell>
        </row>
        <row r="3405">
          <cell r="A3405">
            <v>36314</v>
          </cell>
          <cell r="B3405">
            <v>16.809999999999999</v>
          </cell>
        </row>
        <row r="3406">
          <cell r="A3406">
            <v>36315</v>
          </cell>
          <cell r="B3406">
            <v>17.36</v>
          </cell>
        </row>
        <row r="3407">
          <cell r="A3407">
            <v>36318</v>
          </cell>
          <cell r="B3407">
            <v>17.91</v>
          </cell>
        </row>
        <row r="3408">
          <cell r="A3408">
            <v>36319</v>
          </cell>
          <cell r="B3408">
            <v>17.66</v>
          </cell>
        </row>
        <row r="3409">
          <cell r="A3409">
            <v>36320</v>
          </cell>
          <cell r="B3409">
            <v>17.98</v>
          </cell>
        </row>
        <row r="3410">
          <cell r="A3410">
            <v>36321</v>
          </cell>
          <cell r="B3410">
            <v>17.82</v>
          </cell>
        </row>
        <row r="3411">
          <cell r="A3411">
            <v>36322</v>
          </cell>
          <cell r="B3411">
            <v>18.45</v>
          </cell>
        </row>
        <row r="3412">
          <cell r="A3412">
            <v>36325</v>
          </cell>
          <cell r="B3412">
            <v>18.239999999999998</v>
          </cell>
        </row>
        <row r="3413">
          <cell r="A3413">
            <v>36326</v>
          </cell>
          <cell r="B3413">
            <v>18.61</v>
          </cell>
        </row>
        <row r="3414">
          <cell r="A3414">
            <v>36327</v>
          </cell>
          <cell r="B3414">
            <v>17.920000000000002</v>
          </cell>
        </row>
        <row r="3415">
          <cell r="A3415">
            <v>36328</v>
          </cell>
          <cell r="B3415">
            <v>18.25</v>
          </cell>
        </row>
        <row r="3416">
          <cell r="A3416">
            <v>36329</v>
          </cell>
          <cell r="B3416">
            <v>18.010000000000002</v>
          </cell>
        </row>
        <row r="3417">
          <cell r="A3417">
            <v>36332</v>
          </cell>
          <cell r="B3417">
            <v>17.79</v>
          </cell>
        </row>
        <row r="3418">
          <cell r="A3418">
            <v>36333</v>
          </cell>
          <cell r="B3418">
            <v>17.62</v>
          </cell>
        </row>
        <row r="3419">
          <cell r="A3419">
            <v>36334</v>
          </cell>
          <cell r="B3419">
            <v>18.420000000000002</v>
          </cell>
        </row>
        <row r="3420">
          <cell r="A3420">
            <v>36335</v>
          </cell>
          <cell r="B3420">
            <v>18.260000000000002</v>
          </cell>
        </row>
        <row r="3421">
          <cell r="A3421">
            <v>36336</v>
          </cell>
          <cell r="B3421">
            <v>18.170000000000002</v>
          </cell>
        </row>
        <row r="3422">
          <cell r="A3422">
            <v>36339</v>
          </cell>
          <cell r="B3422">
            <v>18.22</v>
          </cell>
        </row>
        <row r="3423">
          <cell r="A3423">
            <v>36340</v>
          </cell>
          <cell r="B3423">
            <v>18.559999999999999</v>
          </cell>
        </row>
        <row r="3424">
          <cell r="A3424">
            <v>36341</v>
          </cell>
          <cell r="B3424">
            <v>19.329999999999998</v>
          </cell>
        </row>
        <row r="3425">
          <cell r="A3425">
            <v>36342</v>
          </cell>
          <cell r="B3425">
            <v>19.39</v>
          </cell>
        </row>
        <row r="3426">
          <cell r="A3426">
            <v>36343</v>
          </cell>
          <cell r="B3426">
            <v>19.7</v>
          </cell>
        </row>
        <row r="3427">
          <cell r="A3427">
            <v>36347</v>
          </cell>
          <cell r="B3427">
            <v>19.78</v>
          </cell>
        </row>
        <row r="3428">
          <cell r="A3428">
            <v>36348</v>
          </cell>
          <cell r="B3428">
            <v>19.98</v>
          </cell>
        </row>
        <row r="3429">
          <cell r="A3429">
            <v>36349</v>
          </cell>
          <cell r="B3429">
            <v>19.760000000000002</v>
          </cell>
        </row>
        <row r="3430">
          <cell r="A3430">
            <v>36350</v>
          </cell>
          <cell r="B3430">
            <v>19.940000000000001</v>
          </cell>
        </row>
        <row r="3431">
          <cell r="A3431">
            <v>36353</v>
          </cell>
          <cell r="B3431">
            <v>19.920000000000002</v>
          </cell>
        </row>
        <row r="3432">
          <cell r="A3432">
            <v>36354</v>
          </cell>
          <cell r="B3432">
            <v>20.329999999999998</v>
          </cell>
        </row>
        <row r="3433">
          <cell r="A3433">
            <v>36355</v>
          </cell>
          <cell r="B3433">
            <v>19.89</v>
          </cell>
        </row>
        <row r="3434">
          <cell r="A3434">
            <v>36356</v>
          </cell>
          <cell r="B3434">
            <v>20.260000000000002</v>
          </cell>
        </row>
        <row r="3435">
          <cell r="A3435">
            <v>36357</v>
          </cell>
          <cell r="B3435">
            <v>20.66</v>
          </cell>
        </row>
        <row r="3436">
          <cell r="A3436">
            <v>36360</v>
          </cell>
          <cell r="B3436">
            <v>20.28</v>
          </cell>
        </row>
        <row r="3437">
          <cell r="A3437">
            <v>36361</v>
          </cell>
          <cell r="B3437">
            <v>19.38</v>
          </cell>
        </row>
        <row r="3438">
          <cell r="A3438">
            <v>36362</v>
          </cell>
          <cell r="B3438">
            <v>19.54</v>
          </cell>
        </row>
        <row r="3439">
          <cell r="A3439">
            <v>36363</v>
          </cell>
          <cell r="B3439">
            <v>19.84</v>
          </cell>
        </row>
        <row r="3440">
          <cell r="A3440">
            <v>36364</v>
          </cell>
          <cell r="B3440">
            <v>20.41</v>
          </cell>
        </row>
        <row r="3441">
          <cell r="A3441">
            <v>36367</v>
          </cell>
          <cell r="B3441">
            <v>20.49</v>
          </cell>
        </row>
        <row r="3442">
          <cell r="A3442">
            <v>36368</v>
          </cell>
          <cell r="B3442">
            <v>20.399999999999999</v>
          </cell>
        </row>
        <row r="3443">
          <cell r="A3443">
            <v>36369</v>
          </cell>
          <cell r="B3443">
            <v>20.61</v>
          </cell>
        </row>
        <row r="3444">
          <cell r="A3444">
            <v>36370</v>
          </cell>
          <cell r="B3444">
            <v>21.09</v>
          </cell>
        </row>
        <row r="3445">
          <cell r="A3445">
            <v>36371</v>
          </cell>
          <cell r="B3445">
            <v>20.52</v>
          </cell>
        </row>
        <row r="3446">
          <cell r="A3446">
            <v>36374</v>
          </cell>
          <cell r="B3446">
            <v>20.46</v>
          </cell>
        </row>
        <row r="3447">
          <cell r="A3447">
            <v>36375</v>
          </cell>
          <cell r="B3447">
            <v>20.21</v>
          </cell>
        </row>
        <row r="3448">
          <cell r="A3448">
            <v>36376</v>
          </cell>
          <cell r="B3448">
            <v>20.49</v>
          </cell>
        </row>
        <row r="3449">
          <cell r="A3449">
            <v>36377</v>
          </cell>
          <cell r="B3449">
            <v>20.67</v>
          </cell>
        </row>
        <row r="3450">
          <cell r="A3450">
            <v>36378</v>
          </cell>
          <cell r="B3450">
            <v>20.89</v>
          </cell>
        </row>
        <row r="3451">
          <cell r="A3451">
            <v>36381</v>
          </cell>
          <cell r="B3451">
            <v>21.26</v>
          </cell>
        </row>
        <row r="3452">
          <cell r="A3452">
            <v>36382</v>
          </cell>
          <cell r="B3452">
            <v>21.31</v>
          </cell>
        </row>
        <row r="3453">
          <cell r="A3453">
            <v>36383</v>
          </cell>
          <cell r="B3453">
            <v>21.54</v>
          </cell>
        </row>
        <row r="3454">
          <cell r="A3454">
            <v>36384</v>
          </cell>
          <cell r="B3454">
            <v>21.42</v>
          </cell>
        </row>
        <row r="3455">
          <cell r="A3455">
            <v>36385</v>
          </cell>
          <cell r="B3455">
            <v>21.67</v>
          </cell>
        </row>
        <row r="3456">
          <cell r="A3456">
            <v>36388</v>
          </cell>
          <cell r="B3456">
            <v>21.34</v>
          </cell>
        </row>
        <row r="3457">
          <cell r="A3457">
            <v>36389</v>
          </cell>
          <cell r="B3457">
            <v>21.7</v>
          </cell>
        </row>
        <row r="3458">
          <cell r="A3458">
            <v>36390</v>
          </cell>
          <cell r="B3458">
            <v>21.54</v>
          </cell>
        </row>
        <row r="3459">
          <cell r="A3459">
            <v>36391</v>
          </cell>
          <cell r="B3459">
            <v>21.86</v>
          </cell>
        </row>
        <row r="3460">
          <cell r="A3460">
            <v>36392</v>
          </cell>
          <cell r="B3460">
            <v>21.66</v>
          </cell>
        </row>
        <row r="3461">
          <cell r="A3461">
            <v>36395</v>
          </cell>
          <cell r="B3461">
            <v>21.61</v>
          </cell>
        </row>
        <row r="3462">
          <cell r="A3462">
            <v>36396</v>
          </cell>
          <cell r="B3462">
            <v>21.36</v>
          </cell>
        </row>
        <row r="3463">
          <cell r="A3463">
            <v>36397</v>
          </cell>
          <cell r="B3463">
            <v>20.66</v>
          </cell>
        </row>
        <row r="3464">
          <cell r="A3464">
            <v>36398</v>
          </cell>
          <cell r="B3464">
            <v>21.09</v>
          </cell>
        </row>
        <row r="3465">
          <cell r="A3465">
            <v>36399</v>
          </cell>
          <cell r="B3465">
            <v>21.31</v>
          </cell>
        </row>
        <row r="3466">
          <cell r="A3466">
            <v>36402</v>
          </cell>
          <cell r="B3466">
            <v>21.93</v>
          </cell>
        </row>
        <row r="3467">
          <cell r="A3467">
            <v>36403</v>
          </cell>
          <cell r="B3467">
            <v>22.15</v>
          </cell>
        </row>
        <row r="3468">
          <cell r="A3468">
            <v>36404</v>
          </cell>
          <cell r="B3468">
            <v>21.79</v>
          </cell>
        </row>
        <row r="3469">
          <cell r="A3469">
            <v>36405</v>
          </cell>
          <cell r="B3469">
            <v>21.54</v>
          </cell>
        </row>
        <row r="3470">
          <cell r="A3470">
            <v>36406</v>
          </cell>
          <cell r="B3470">
            <v>22</v>
          </cell>
        </row>
        <row r="3471">
          <cell r="A3471">
            <v>36410</v>
          </cell>
          <cell r="B3471">
            <v>22.58</v>
          </cell>
        </row>
        <row r="3472">
          <cell r="A3472">
            <v>36411</v>
          </cell>
          <cell r="B3472">
            <v>22.64</v>
          </cell>
        </row>
        <row r="3473">
          <cell r="A3473">
            <v>36412</v>
          </cell>
          <cell r="B3473">
            <v>23.24</v>
          </cell>
        </row>
        <row r="3474">
          <cell r="A3474">
            <v>36413</v>
          </cell>
          <cell r="B3474">
            <v>23.55</v>
          </cell>
        </row>
        <row r="3475">
          <cell r="A3475">
            <v>36416</v>
          </cell>
          <cell r="B3475">
            <v>24.18</v>
          </cell>
        </row>
        <row r="3476">
          <cell r="A3476">
            <v>36417</v>
          </cell>
          <cell r="B3476">
            <v>23.86</v>
          </cell>
        </row>
        <row r="3477">
          <cell r="A3477">
            <v>36418</v>
          </cell>
          <cell r="B3477">
            <v>24.1</v>
          </cell>
        </row>
        <row r="3478">
          <cell r="A3478">
            <v>36419</v>
          </cell>
          <cell r="B3478">
            <v>24.52</v>
          </cell>
        </row>
        <row r="3479">
          <cell r="A3479">
            <v>36420</v>
          </cell>
          <cell r="B3479">
            <v>24.72</v>
          </cell>
        </row>
        <row r="3480">
          <cell r="A3480">
            <v>36423</v>
          </cell>
          <cell r="B3480">
            <v>24.32</v>
          </cell>
        </row>
        <row r="3481">
          <cell r="A3481">
            <v>36424</v>
          </cell>
          <cell r="B3481">
            <v>24.48</v>
          </cell>
        </row>
        <row r="3482">
          <cell r="A3482">
            <v>36425</v>
          </cell>
          <cell r="B3482">
            <v>24.26</v>
          </cell>
        </row>
        <row r="3483">
          <cell r="A3483">
            <v>36426</v>
          </cell>
          <cell r="B3483">
            <v>24.76</v>
          </cell>
        </row>
        <row r="3484">
          <cell r="A3484">
            <v>36427</v>
          </cell>
          <cell r="B3484">
            <v>24.81</v>
          </cell>
        </row>
        <row r="3485">
          <cell r="A3485">
            <v>36430</v>
          </cell>
          <cell r="B3485">
            <v>24.63</v>
          </cell>
        </row>
        <row r="3486">
          <cell r="A3486">
            <v>36431</v>
          </cell>
          <cell r="B3486">
            <v>24.52</v>
          </cell>
        </row>
        <row r="3487">
          <cell r="A3487">
            <v>36432</v>
          </cell>
          <cell r="B3487">
            <v>24.69</v>
          </cell>
        </row>
        <row r="3488">
          <cell r="A3488">
            <v>36433</v>
          </cell>
          <cell r="B3488">
            <v>24.54</v>
          </cell>
        </row>
        <row r="3489">
          <cell r="A3489">
            <v>36434</v>
          </cell>
          <cell r="B3489">
            <v>24.51</v>
          </cell>
        </row>
        <row r="3490">
          <cell r="A3490">
            <v>36437</v>
          </cell>
          <cell r="B3490">
            <v>23.71</v>
          </cell>
        </row>
        <row r="3491">
          <cell r="A3491">
            <v>36438</v>
          </cell>
          <cell r="B3491">
            <v>23.37</v>
          </cell>
        </row>
        <row r="3492">
          <cell r="A3492">
            <v>36439</v>
          </cell>
          <cell r="B3492">
            <v>23.24</v>
          </cell>
        </row>
        <row r="3493">
          <cell r="A3493">
            <v>36440</v>
          </cell>
          <cell r="B3493">
            <v>22.46</v>
          </cell>
        </row>
        <row r="3494">
          <cell r="A3494">
            <v>36441</v>
          </cell>
          <cell r="B3494">
            <v>20.81</v>
          </cell>
        </row>
        <row r="3495">
          <cell r="A3495">
            <v>36444</v>
          </cell>
          <cell r="B3495">
            <v>21.58</v>
          </cell>
        </row>
        <row r="3496">
          <cell r="A3496">
            <v>36445</v>
          </cell>
          <cell r="B3496">
            <v>22.93</v>
          </cell>
        </row>
        <row r="3497">
          <cell r="A3497">
            <v>36446</v>
          </cell>
          <cell r="B3497">
            <v>22.93</v>
          </cell>
        </row>
        <row r="3498">
          <cell r="A3498">
            <v>36447</v>
          </cell>
          <cell r="B3498">
            <v>22.46</v>
          </cell>
        </row>
        <row r="3499">
          <cell r="A3499">
            <v>36448</v>
          </cell>
          <cell r="B3499">
            <v>22.81</v>
          </cell>
        </row>
        <row r="3500">
          <cell r="A3500">
            <v>36451</v>
          </cell>
          <cell r="B3500">
            <v>22.44</v>
          </cell>
        </row>
        <row r="3501">
          <cell r="A3501">
            <v>36452</v>
          </cell>
          <cell r="B3501">
            <v>22.36</v>
          </cell>
        </row>
        <row r="3502">
          <cell r="A3502">
            <v>36453</v>
          </cell>
          <cell r="B3502">
            <v>22.21</v>
          </cell>
        </row>
        <row r="3503">
          <cell r="A3503">
            <v>36454</v>
          </cell>
          <cell r="B3503">
            <v>22.74</v>
          </cell>
        </row>
        <row r="3504">
          <cell r="A3504">
            <v>36455</v>
          </cell>
          <cell r="B3504">
            <v>23.48</v>
          </cell>
        </row>
        <row r="3505">
          <cell r="A3505">
            <v>36458</v>
          </cell>
          <cell r="B3505">
            <v>23.22</v>
          </cell>
        </row>
        <row r="3506">
          <cell r="A3506">
            <v>36459</v>
          </cell>
          <cell r="B3506">
            <v>23.17</v>
          </cell>
        </row>
        <row r="3507">
          <cell r="A3507">
            <v>36460</v>
          </cell>
          <cell r="B3507">
            <v>22.71</v>
          </cell>
        </row>
        <row r="3508">
          <cell r="A3508">
            <v>36461</v>
          </cell>
          <cell r="B3508">
            <v>21.59</v>
          </cell>
        </row>
        <row r="3509">
          <cell r="A3509">
            <v>36462</v>
          </cell>
          <cell r="B3509">
            <v>21.79</v>
          </cell>
        </row>
        <row r="3510">
          <cell r="A3510">
            <v>36465</v>
          </cell>
          <cell r="B3510">
            <v>22.44</v>
          </cell>
        </row>
        <row r="3511">
          <cell r="A3511">
            <v>36466</v>
          </cell>
          <cell r="B3511">
            <v>22.49</v>
          </cell>
        </row>
        <row r="3512">
          <cell r="A3512">
            <v>36467</v>
          </cell>
          <cell r="B3512">
            <v>22.59</v>
          </cell>
        </row>
        <row r="3513">
          <cell r="A3513">
            <v>36468</v>
          </cell>
          <cell r="B3513">
            <v>23.17</v>
          </cell>
        </row>
        <row r="3514">
          <cell r="A3514">
            <v>36469</v>
          </cell>
          <cell r="B3514">
            <v>22.93</v>
          </cell>
        </row>
        <row r="3515">
          <cell r="A3515">
            <v>36472</v>
          </cell>
          <cell r="B3515">
            <v>23.28</v>
          </cell>
        </row>
        <row r="3516">
          <cell r="A3516">
            <v>36473</v>
          </cell>
          <cell r="B3516">
            <v>24.21</v>
          </cell>
        </row>
        <row r="3517">
          <cell r="A3517">
            <v>36474</v>
          </cell>
          <cell r="B3517">
            <v>24.37</v>
          </cell>
        </row>
        <row r="3518">
          <cell r="A3518">
            <v>36475</v>
          </cell>
          <cell r="B3518">
            <v>24.33</v>
          </cell>
        </row>
        <row r="3519">
          <cell r="A3519">
            <v>36476</v>
          </cell>
          <cell r="B3519">
            <v>24.91</v>
          </cell>
        </row>
        <row r="3520">
          <cell r="A3520">
            <v>36479</v>
          </cell>
          <cell r="B3520">
            <v>25.31</v>
          </cell>
        </row>
        <row r="3521">
          <cell r="A3521">
            <v>36480</v>
          </cell>
          <cell r="B3521">
            <v>26.04</v>
          </cell>
        </row>
        <row r="3522">
          <cell r="A3522">
            <v>36481</v>
          </cell>
          <cell r="B3522">
            <v>26.57</v>
          </cell>
        </row>
        <row r="3523">
          <cell r="A3523">
            <v>36482</v>
          </cell>
          <cell r="B3523">
            <v>25.71</v>
          </cell>
        </row>
        <row r="3524">
          <cell r="A3524">
            <v>36483</v>
          </cell>
          <cell r="B3524">
            <v>26.61</v>
          </cell>
        </row>
        <row r="3525">
          <cell r="A3525">
            <v>36486</v>
          </cell>
          <cell r="B3525">
            <v>28.03</v>
          </cell>
        </row>
        <row r="3526">
          <cell r="A3526">
            <v>36487</v>
          </cell>
          <cell r="B3526">
            <v>26.91</v>
          </cell>
        </row>
        <row r="3527">
          <cell r="A3527">
            <v>36488</v>
          </cell>
          <cell r="B3527">
            <v>27.22</v>
          </cell>
        </row>
        <row r="3528">
          <cell r="A3528">
            <v>36490</v>
          </cell>
          <cell r="B3528">
            <v>27.22</v>
          </cell>
        </row>
        <row r="3529">
          <cell r="A3529">
            <v>36493</v>
          </cell>
          <cell r="B3529">
            <v>25.84</v>
          </cell>
        </row>
        <row r="3530">
          <cell r="A3530">
            <v>36494</v>
          </cell>
          <cell r="B3530">
            <v>24.87</v>
          </cell>
        </row>
        <row r="3531">
          <cell r="A3531">
            <v>36495</v>
          </cell>
          <cell r="B3531">
            <v>25.01</v>
          </cell>
        </row>
        <row r="3532">
          <cell r="A3532">
            <v>36496</v>
          </cell>
          <cell r="B3532">
            <v>25.88</v>
          </cell>
        </row>
        <row r="3533">
          <cell r="A3533">
            <v>36497</v>
          </cell>
          <cell r="B3533">
            <v>25.71</v>
          </cell>
        </row>
        <row r="3534">
          <cell r="A3534">
            <v>36500</v>
          </cell>
          <cell r="B3534">
            <v>26.67</v>
          </cell>
        </row>
        <row r="3535">
          <cell r="A3535">
            <v>36501</v>
          </cell>
          <cell r="B3535">
            <v>26.36</v>
          </cell>
        </row>
        <row r="3536">
          <cell r="A3536">
            <v>36502</v>
          </cell>
          <cell r="B3536">
            <v>26.69</v>
          </cell>
        </row>
        <row r="3537">
          <cell r="A3537">
            <v>36503</v>
          </cell>
          <cell r="B3537">
            <v>26</v>
          </cell>
        </row>
        <row r="3538">
          <cell r="A3538">
            <v>36504</v>
          </cell>
          <cell r="B3538">
            <v>25.21</v>
          </cell>
        </row>
        <row r="3539">
          <cell r="A3539">
            <v>36507</v>
          </cell>
          <cell r="B3539">
            <v>25.37</v>
          </cell>
        </row>
        <row r="3540">
          <cell r="A3540">
            <v>36508</v>
          </cell>
          <cell r="B3540">
            <v>25.87</v>
          </cell>
        </row>
        <row r="3541">
          <cell r="A3541">
            <v>36509</v>
          </cell>
          <cell r="B3541">
            <v>26.28</v>
          </cell>
        </row>
        <row r="3542">
          <cell r="A3542">
            <v>36510</v>
          </cell>
          <cell r="B3542">
            <v>26.74</v>
          </cell>
        </row>
        <row r="3543">
          <cell r="A3543">
            <v>36511</v>
          </cell>
          <cell r="B3543">
            <v>26.76</v>
          </cell>
        </row>
        <row r="3544">
          <cell r="A3544">
            <v>36514</v>
          </cell>
          <cell r="B3544">
            <v>26.55</v>
          </cell>
        </row>
        <row r="3545">
          <cell r="A3545">
            <v>36515</v>
          </cell>
          <cell r="B3545">
            <v>26.34</v>
          </cell>
        </row>
        <row r="3546">
          <cell r="A3546">
            <v>36516</v>
          </cell>
          <cell r="B3546">
            <v>25.51</v>
          </cell>
        </row>
        <row r="3547">
          <cell r="A3547">
            <v>36517</v>
          </cell>
          <cell r="B3547">
            <v>25.86</v>
          </cell>
        </row>
        <row r="3548">
          <cell r="A3548">
            <v>36521</v>
          </cell>
          <cell r="B3548">
            <v>26.36</v>
          </cell>
        </row>
        <row r="3549">
          <cell r="A3549">
            <v>36522</v>
          </cell>
          <cell r="B3549">
            <v>26.81</v>
          </cell>
        </row>
        <row r="3550">
          <cell r="A3550">
            <v>36523</v>
          </cell>
          <cell r="B3550">
            <v>26.41</v>
          </cell>
        </row>
        <row r="3551">
          <cell r="A3551">
            <v>36524</v>
          </cell>
          <cell r="B3551">
            <v>25.76</v>
          </cell>
        </row>
        <row r="3552">
          <cell r="A3552">
            <v>36529</v>
          </cell>
          <cell r="B3552">
            <v>25.56</v>
          </cell>
        </row>
        <row r="3553">
          <cell r="A3553">
            <v>36530</v>
          </cell>
          <cell r="B3553">
            <v>24.65</v>
          </cell>
        </row>
        <row r="3554">
          <cell r="A3554">
            <v>36531</v>
          </cell>
          <cell r="B3554">
            <v>24.79</v>
          </cell>
        </row>
        <row r="3555">
          <cell r="A3555">
            <v>36532</v>
          </cell>
          <cell r="B3555">
            <v>24.79</v>
          </cell>
        </row>
        <row r="3556">
          <cell r="A3556">
            <v>36535</v>
          </cell>
          <cell r="B3556">
            <v>24.71</v>
          </cell>
        </row>
        <row r="3557">
          <cell r="A3557">
            <v>36536</v>
          </cell>
          <cell r="B3557">
            <v>25.69</v>
          </cell>
        </row>
        <row r="3558">
          <cell r="A3558">
            <v>36537</v>
          </cell>
          <cell r="B3558">
            <v>26.3</v>
          </cell>
        </row>
        <row r="3559">
          <cell r="A3559">
            <v>36538</v>
          </cell>
          <cell r="B3559">
            <v>26.63</v>
          </cell>
        </row>
        <row r="3560">
          <cell r="A3560">
            <v>36539</v>
          </cell>
          <cell r="B3560">
            <v>28.01</v>
          </cell>
        </row>
        <row r="3561">
          <cell r="A3561">
            <v>36543</v>
          </cell>
          <cell r="B3561">
            <v>28.98</v>
          </cell>
        </row>
        <row r="3562">
          <cell r="A3562">
            <v>36544</v>
          </cell>
          <cell r="B3562">
            <v>29.11</v>
          </cell>
        </row>
        <row r="3563">
          <cell r="A3563">
            <v>36545</v>
          </cell>
          <cell r="B3563">
            <v>29.67</v>
          </cell>
        </row>
        <row r="3564">
          <cell r="A3564">
            <v>36546</v>
          </cell>
          <cell r="B3564">
            <v>29.71</v>
          </cell>
        </row>
        <row r="3565">
          <cell r="A3565">
            <v>36549</v>
          </cell>
          <cell r="B3565">
            <v>29.25</v>
          </cell>
        </row>
        <row r="3566">
          <cell r="A3566">
            <v>36550</v>
          </cell>
          <cell r="B3566">
            <v>30.28</v>
          </cell>
        </row>
        <row r="3567">
          <cell r="A3567">
            <v>36551</v>
          </cell>
          <cell r="B3567">
            <v>27.66</v>
          </cell>
        </row>
        <row r="3568">
          <cell r="A3568">
            <v>36552</v>
          </cell>
          <cell r="B3568">
            <v>27.22</v>
          </cell>
        </row>
        <row r="3569">
          <cell r="A3569">
            <v>36553</v>
          </cell>
          <cell r="B3569">
            <v>27.27</v>
          </cell>
        </row>
        <row r="3570">
          <cell r="A3570">
            <v>36556</v>
          </cell>
          <cell r="B3570">
            <v>27.65</v>
          </cell>
        </row>
        <row r="3571">
          <cell r="A3571">
            <v>36557</v>
          </cell>
          <cell r="B3571">
            <v>28.28</v>
          </cell>
        </row>
        <row r="3572">
          <cell r="A3572">
            <v>36558</v>
          </cell>
          <cell r="B3572">
            <v>27.52</v>
          </cell>
        </row>
        <row r="3573">
          <cell r="A3573">
            <v>36559</v>
          </cell>
          <cell r="B3573">
            <v>28.26</v>
          </cell>
        </row>
        <row r="3574">
          <cell r="A3574">
            <v>36560</v>
          </cell>
          <cell r="B3574">
            <v>28.67</v>
          </cell>
        </row>
        <row r="3575">
          <cell r="A3575">
            <v>36563</v>
          </cell>
          <cell r="B3575">
            <v>28.4</v>
          </cell>
        </row>
        <row r="3576">
          <cell r="A3576">
            <v>36564</v>
          </cell>
          <cell r="B3576">
            <v>28.05</v>
          </cell>
        </row>
        <row r="3577">
          <cell r="A3577">
            <v>36565</v>
          </cell>
          <cell r="B3577">
            <v>28.71</v>
          </cell>
        </row>
        <row r="3578">
          <cell r="A3578">
            <v>36566</v>
          </cell>
          <cell r="B3578">
            <v>29.49</v>
          </cell>
        </row>
        <row r="3579">
          <cell r="A3579">
            <v>36567</v>
          </cell>
          <cell r="B3579">
            <v>29.51</v>
          </cell>
        </row>
        <row r="3580">
          <cell r="A3580">
            <v>36570</v>
          </cell>
          <cell r="B3580">
            <v>30.3</v>
          </cell>
        </row>
        <row r="3581">
          <cell r="A3581">
            <v>36571</v>
          </cell>
          <cell r="B3581">
            <v>30.17</v>
          </cell>
        </row>
        <row r="3582">
          <cell r="A3582">
            <v>36572</v>
          </cell>
          <cell r="B3582">
            <v>30.01</v>
          </cell>
        </row>
        <row r="3583">
          <cell r="A3583">
            <v>36573</v>
          </cell>
          <cell r="B3583">
            <v>29.37</v>
          </cell>
        </row>
        <row r="3584">
          <cell r="A3584">
            <v>36574</v>
          </cell>
          <cell r="B3584">
            <v>29.51</v>
          </cell>
        </row>
        <row r="3585">
          <cell r="A3585">
            <v>36578</v>
          </cell>
          <cell r="B3585">
            <v>29.63</v>
          </cell>
        </row>
        <row r="3586">
          <cell r="A3586">
            <v>36579</v>
          </cell>
          <cell r="B3586">
            <v>30.19</v>
          </cell>
        </row>
        <row r="3587">
          <cell r="A3587">
            <v>36580</v>
          </cell>
          <cell r="B3587">
            <v>30.23</v>
          </cell>
        </row>
        <row r="3588">
          <cell r="A3588">
            <v>36581</v>
          </cell>
          <cell r="B3588">
            <v>30.34</v>
          </cell>
        </row>
        <row r="3589">
          <cell r="A3589">
            <v>36584</v>
          </cell>
          <cell r="B3589">
            <v>30.11</v>
          </cell>
        </row>
        <row r="3590">
          <cell r="A3590">
            <v>36585</v>
          </cell>
          <cell r="B3590">
            <v>30.57</v>
          </cell>
        </row>
        <row r="3591">
          <cell r="A3591">
            <v>36586</v>
          </cell>
          <cell r="B3591">
            <v>31.71</v>
          </cell>
        </row>
        <row r="3592">
          <cell r="A3592">
            <v>36587</v>
          </cell>
          <cell r="B3592">
            <v>31.51</v>
          </cell>
        </row>
        <row r="3593">
          <cell r="A3593">
            <v>36588</v>
          </cell>
          <cell r="B3593">
            <v>31.46</v>
          </cell>
        </row>
        <row r="3594">
          <cell r="A3594">
            <v>36591</v>
          </cell>
          <cell r="B3594">
            <v>32.19</v>
          </cell>
        </row>
        <row r="3595">
          <cell r="A3595">
            <v>36592</v>
          </cell>
          <cell r="B3595">
            <v>33.9</v>
          </cell>
        </row>
        <row r="3596">
          <cell r="A3596">
            <v>36593</v>
          </cell>
          <cell r="B3596">
            <v>31.22</v>
          </cell>
        </row>
        <row r="3597">
          <cell r="A3597">
            <v>36594</v>
          </cell>
          <cell r="B3597">
            <v>31.61</v>
          </cell>
        </row>
        <row r="3598">
          <cell r="A3598">
            <v>36595</v>
          </cell>
          <cell r="B3598">
            <v>31.76</v>
          </cell>
        </row>
        <row r="3599">
          <cell r="A3599">
            <v>36598</v>
          </cell>
          <cell r="B3599">
            <v>32.11</v>
          </cell>
        </row>
        <row r="3600">
          <cell r="A3600">
            <v>36599</v>
          </cell>
          <cell r="B3600">
            <v>31.93</v>
          </cell>
        </row>
        <row r="3601">
          <cell r="A3601">
            <v>36600</v>
          </cell>
          <cell r="B3601">
            <v>30.47</v>
          </cell>
        </row>
        <row r="3602">
          <cell r="A3602">
            <v>36601</v>
          </cell>
          <cell r="B3602">
            <v>31.1</v>
          </cell>
        </row>
        <row r="3603">
          <cell r="A3603">
            <v>36602</v>
          </cell>
          <cell r="B3603">
            <v>30.86</v>
          </cell>
        </row>
        <row r="3604">
          <cell r="A3604">
            <v>36605</v>
          </cell>
          <cell r="B3604">
            <v>29.33</v>
          </cell>
        </row>
        <row r="3605">
          <cell r="A3605">
            <v>36606</v>
          </cell>
          <cell r="B3605">
            <v>28.01</v>
          </cell>
        </row>
        <row r="3606">
          <cell r="A3606">
            <v>36607</v>
          </cell>
          <cell r="B3606">
            <v>27.28</v>
          </cell>
        </row>
        <row r="3607">
          <cell r="A3607">
            <v>36608</v>
          </cell>
          <cell r="B3607">
            <v>27.47</v>
          </cell>
        </row>
        <row r="3608">
          <cell r="A3608">
            <v>36609</v>
          </cell>
          <cell r="B3608">
            <v>27.86</v>
          </cell>
        </row>
        <row r="3609">
          <cell r="A3609">
            <v>36612</v>
          </cell>
          <cell r="B3609">
            <v>27.59</v>
          </cell>
        </row>
        <row r="3610">
          <cell r="A3610">
            <v>36613</v>
          </cell>
          <cell r="B3610">
            <v>27.1</v>
          </cell>
        </row>
        <row r="3611">
          <cell r="A3611">
            <v>36614</v>
          </cell>
          <cell r="B3611">
            <v>26.36</v>
          </cell>
        </row>
        <row r="3612">
          <cell r="A3612">
            <v>36615</v>
          </cell>
          <cell r="B3612">
            <v>26.67</v>
          </cell>
        </row>
        <row r="3613">
          <cell r="A3613">
            <v>36616</v>
          </cell>
          <cell r="B3613">
            <v>26.86</v>
          </cell>
        </row>
        <row r="3614">
          <cell r="A3614">
            <v>36619</v>
          </cell>
          <cell r="B3614">
            <v>26.28</v>
          </cell>
        </row>
        <row r="3615">
          <cell r="A3615">
            <v>36620</v>
          </cell>
          <cell r="B3615">
            <v>25.46</v>
          </cell>
        </row>
        <row r="3616">
          <cell r="A3616">
            <v>36621</v>
          </cell>
          <cell r="B3616">
            <v>25.76</v>
          </cell>
        </row>
        <row r="3617">
          <cell r="A3617">
            <v>36622</v>
          </cell>
          <cell r="B3617">
            <v>25.51</v>
          </cell>
        </row>
        <row r="3618">
          <cell r="A3618">
            <v>36623</v>
          </cell>
          <cell r="B3618">
            <v>24.97</v>
          </cell>
        </row>
        <row r="3619">
          <cell r="A3619">
            <v>36626</v>
          </cell>
          <cell r="B3619">
            <v>23.91</v>
          </cell>
        </row>
        <row r="3620">
          <cell r="A3620">
            <v>36627</v>
          </cell>
          <cell r="B3620">
            <v>24.17</v>
          </cell>
        </row>
        <row r="3621">
          <cell r="A3621">
            <v>36628</v>
          </cell>
          <cell r="B3621">
            <v>25.49</v>
          </cell>
        </row>
        <row r="3622">
          <cell r="A3622">
            <v>36629</v>
          </cell>
          <cell r="B3622">
            <v>25.29</v>
          </cell>
        </row>
        <row r="3623">
          <cell r="A3623">
            <v>36630</v>
          </cell>
          <cell r="B3623">
            <v>25.48</v>
          </cell>
        </row>
        <row r="3624">
          <cell r="A3624">
            <v>36633</v>
          </cell>
          <cell r="B3624">
            <v>26.06</v>
          </cell>
        </row>
        <row r="3625">
          <cell r="A3625">
            <v>36634</v>
          </cell>
          <cell r="B3625">
            <v>25.92</v>
          </cell>
        </row>
        <row r="3626">
          <cell r="A3626">
            <v>36635</v>
          </cell>
          <cell r="B3626">
            <v>27.38</v>
          </cell>
        </row>
        <row r="3627">
          <cell r="A3627">
            <v>36636</v>
          </cell>
          <cell r="B3627">
            <v>27.29</v>
          </cell>
        </row>
        <row r="3628">
          <cell r="A3628">
            <v>36640</v>
          </cell>
          <cell r="B3628">
            <v>27.41</v>
          </cell>
        </row>
        <row r="3629">
          <cell r="A3629">
            <v>36641</v>
          </cell>
          <cell r="B3629">
            <v>26.41</v>
          </cell>
        </row>
        <row r="3630">
          <cell r="A3630">
            <v>36642</v>
          </cell>
          <cell r="B3630">
            <v>24.69</v>
          </cell>
        </row>
        <row r="3631">
          <cell r="A3631">
            <v>36643</v>
          </cell>
          <cell r="B3631">
            <v>25.53</v>
          </cell>
        </row>
        <row r="3632">
          <cell r="A3632">
            <v>36644</v>
          </cell>
          <cell r="B3632">
            <v>25.71</v>
          </cell>
        </row>
        <row r="3633">
          <cell r="A3633">
            <v>36647</v>
          </cell>
          <cell r="B3633">
            <v>25.84</v>
          </cell>
        </row>
        <row r="3634">
          <cell r="A3634">
            <v>36648</v>
          </cell>
          <cell r="B3634">
            <v>26.86</v>
          </cell>
        </row>
        <row r="3635">
          <cell r="A3635">
            <v>36649</v>
          </cell>
          <cell r="B3635">
            <v>26.6</v>
          </cell>
        </row>
        <row r="3636">
          <cell r="A3636">
            <v>36650</v>
          </cell>
          <cell r="B3636">
            <v>27.08</v>
          </cell>
        </row>
        <row r="3637">
          <cell r="A3637">
            <v>36651</v>
          </cell>
          <cell r="B3637">
            <v>27.37</v>
          </cell>
        </row>
        <row r="3638">
          <cell r="A3638">
            <v>36654</v>
          </cell>
          <cell r="B3638">
            <v>28.05</v>
          </cell>
        </row>
        <row r="3639">
          <cell r="A3639">
            <v>36655</v>
          </cell>
          <cell r="B3639">
            <v>28.46</v>
          </cell>
        </row>
        <row r="3640">
          <cell r="A3640">
            <v>36656</v>
          </cell>
          <cell r="B3640">
            <v>28.1</v>
          </cell>
        </row>
        <row r="3641">
          <cell r="A3641">
            <v>36657</v>
          </cell>
          <cell r="B3641">
            <v>29.25</v>
          </cell>
        </row>
        <row r="3642">
          <cell r="A3642">
            <v>36658</v>
          </cell>
          <cell r="B3642">
            <v>29.64</v>
          </cell>
        </row>
        <row r="3643">
          <cell r="A3643">
            <v>36661</v>
          </cell>
          <cell r="B3643">
            <v>29.95</v>
          </cell>
        </row>
        <row r="3644">
          <cell r="A3644">
            <v>36662</v>
          </cell>
          <cell r="B3644">
            <v>29.76</v>
          </cell>
        </row>
        <row r="3645">
          <cell r="A3645">
            <v>36663</v>
          </cell>
          <cell r="B3645">
            <v>29.38</v>
          </cell>
        </row>
        <row r="3646">
          <cell r="A3646">
            <v>36664</v>
          </cell>
          <cell r="B3646">
            <v>30.28</v>
          </cell>
        </row>
        <row r="3647">
          <cell r="A3647">
            <v>36665</v>
          </cell>
          <cell r="B3647">
            <v>30.02</v>
          </cell>
        </row>
        <row r="3648">
          <cell r="A3648">
            <v>36668</v>
          </cell>
          <cell r="B3648">
            <v>28.62</v>
          </cell>
        </row>
        <row r="3649">
          <cell r="A3649">
            <v>36669</v>
          </cell>
          <cell r="B3649">
            <v>28.61</v>
          </cell>
        </row>
        <row r="3650">
          <cell r="A3650">
            <v>36670</v>
          </cell>
          <cell r="B3650">
            <v>29.89</v>
          </cell>
        </row>
        <row r="3651">
          <cell r="A3651">
            <v>36671</v>
          </cell>
          <cell r="B3651">
            <v>30.43</v>
          </cell>
        </row>
        <row r="3652">
          <cell r="A3652">
            <v>36672</v>
          </cell>
          <cell r="B3652">
            <v>29.76</v>
          </cell>
        </row>
        <row r="3653">
          <cell r="A3653">
            <v>36676</v>
          </cell>
          <cell r="B3653">
            <v>30.36</v>
          </cell>
        </row>
        <row r="3654">
          <cell r="A3654">
            <v>36677</v>
          </cell>
          <cell r="B3654">
            <v>29.03</v>
          </cell>
        </row>
        <row r="3655">
          <cell r="A3655">
            <v>36678</v>
          </cell>
          <cell r="B3655">
            <v>30.19</v>
          </cell>
        </row>
        <row r="3656">
          <cell r="A3656">
            <v>36679</v>
          </cell>
          <cell r="B3656">
            <v>30.34</v>
          </cell>
        </row>
        <row r="3657">
          <cell r="A3657">
            <v>36682</v>
          </cell>
          <cell r="B3657">
            <v>29.87</v>
          </cell>
        </row>
        <row r="3658">
          <cell r="A3658">
            <v>36683</v>
          </cell>
          <cell r="B3658">
            <v>29.78</v>
          </cell>
        </row>
        <row r="3659">
          <cell r="A3659">
            <v>36684</v>
          </cell>
          <cell r="B3659">
            <v>29.29</v>
          </cell>
        </row>
        <row r="3660">
          <cell r="A3660">
            <v>36685</v>
          </cell>
          <cell r="B3660">
            <v>29.78</v>
          </cell>
        </row>
        <row r="3661">
          <cell r="A3661">
            <v>36686</v>
          </cell>
          <cell r="B3661">
            <v>30.22</v>
          </cell>
        </row>
        <row r="3662">
          <cell r="A3662">
            <v>36689</v>
          </cell>
          <cell r="B3662">
            <v>31.76</v>
          </cell>
        </row>
        <row r="3663">
          <cell r="A3663">
            <v>36690</v>
          </cell>
          <cell r="B3663">
            <v>32.729999999999997</v>
          </cell>
        </row>
        <row r="3664">
          <cell r="A3664">
            <v>36691</v>
          </cell>
          <cell r="B3664">
            <v>32.72</v>
          </cell>
        </row>
        <row r="3665">
          <cell r="A3665">
            <v>36692</v>
          </cell>
          <cell r="B3665">
            <v>32.700000000000003</v>
          </cell>
        </row>
        <row r="3666">
          <cell r="A3666">
            <v>36693</v>
          </cell>
          <cell r="B3666">
            <v>32.35</v>
          </cell>
        </row>
        <row r="3667">
          <cell r="A3667">
            <v>36696</v>
          </cell>
          <cell r="B3667">
            <v>31.57</v>
          </cell>
        </row>
        <row r="3668">
          <cell r="A3668">
            <v>36697</v>
          </cell>
          <cell r="B3668">
            <v>33.07</v>
          </cell>
        </row>
        <row r="3669">
          <cell r="A3669">
            <v>36698</v>
          </cell>
          <cell r="B3669">
            <v>33.64</v>
          </cell>
        </row>
        <row r="3670">
          <cell r="A3670">
            <v>36699</v>
          </cell>
          <cell r="B3670">
            <v>34.72</v>
          </cell>
        </row>
        <row r="3671">
          <cell r="A3671">
            <v>36700</v>
          </cell>
          <cell r="B3671">
            <v>34.76</v>
          </cell>
        </row>
        <row r="3672">
          <cell r="A3672">
            <v>36703</v>
          </cell>
          <cell r="B3672">
            <v>31.56</v>
          </cell>
        </row>
        <row r="3673">
          <cell r="A3673">
            <v>36704</v>
          </cell>
          <cell r="B3673">
            <v>32.01</v>
          </cell>
        </row>
        <row r="3674">
          <cell r="A3674">
            <v>36705</v>
          </cell>
          <cell r="B3674">
            <v>31.86</v>
          </cell>
        </row>
        <row r="3675">
          <cell r="A3675">
            <v>36706</v>
          </cell>
          <cell r="B3675">
            <v>32.729999999999997</v>
          </cell>
        </row>
        <row r="3676">
          <cell r="A3676">
            <v>36707</v>
          </cell>
          <cell r="B3676">
            <v>32.44</v>
          </cell>
        </row>
        <row r="3677">
          <cell r="A3677">
            <v>36712</v>
          </cell>
          <cell r="B3677">
            <v>30.76</v>
          </cell>
        </row>
        <row r="3678">
          <cell r="A3678">
            <v>36713</v>
          </cell>
          <cell r="B3678">
            <v>30.19</v>
          </cell>
        </row>
        <row r="3679">
          <cell r="A3679">
            <v>36714</v>
          </cell>
          <cell r="B3679">
            <v>30.26</v>
          </cell>
        </row>
        <row r="3680">
          <cell r="A3680">
            <v>36717</v>
          </cell>
          <cell r="B3680">
            <v>29.51</v>
          </cell>
        </row>
        <row r="3681">
          <cell r="A3681">
            <v>36718</v>
          </cell>
          <cell r="B3681">
            <v>29.61</v>
          </cell>
        </row>
        <row r="3682">
          <cell r="A3682">
            <v>36719</v>
          </cell>
          <cell r="B3682">
            <v>30.34</v>
          </cell>
        </row>
        <row r="3683">
          <cell r="A3683">
            <v>36720</v>
          </cell>
          <cell r="B3683">
            <v>31.41</v>
          </cell>
        </row>
        <row r="3684">
          <cell r="A3684">
            <v>36721</v>
          </cell>
          <cell r="B3684">
            <v>31.31</v>
          </cell>
        </row>
        <row r="3685">
          <cell r="A3685">
            <v>36724</v>
          </cell>
          <cell r="B3685">
            <v>30.71</v>
          </cell>
        </row>
        <row r="3686">
          <cell r="A3686">
            <v>36725</v>
          </cell>
          <cell r="B3686">
            <v>31.94</v>
          </cell>
        </row>
        <row r="3687">
          <cell r="A3687">
            <v>36726</v>
          </cell>
          <cell r="B3687">
            <v>31.1</v>
          </cell>
        </row>
        <row r="3688">
          <cell r="A3688">
            <v>36727</v>
          </cell>
          <cell r="B3688">
            <v>30.94</v>
          </cell>
        </row>
        <row r="3689">
          <cell r="A3689">
            <v>36728</v>
          </cell>
          <cell r="B3689">
            <v>28.56</v>
          </cell>
        </row>
        <row r="3690">
          <cell r="A3690">
            <v>36731</v>
          </cell>
          <cell r="B3690">
            <v>27.97</v>
          </cell>
        </row>
        <row r="3691">
          <cell r="A3691">
            <v>36732</v>
          </cell>
          <cell r="B3691">
            <v>27.89</v>
          </cell>
        </row>
        <row r="3692">
          <cell r="A3692">
            <v>36733</v>
          </cell>
          <cell r="B3692">
            <v>27.81</v>
          </cell>
        </row>
        <row r="3693">
          <cell r="A3693">
            <v>36734</v>
          </cell>
          <cell r="B3693">
            <v>28.21</v>
          </cell>
        </row>
        <row r="3694">
          <cell r="A3694">
            <v>36735</v>
          </cell>
          <cell r="B3694">
            <v>28.22</v>
          </cell>
        </row>
        <row r="3695">
          <cell r="A3695">
            <v>36738</v>
          </cell>
          <cell r="B3695">
            <v>27.5</v>
          </cell>
        </row>
        <row r="3696">
          <cell r="A3696">
            <v>36739</v>
          </cell>
          <cell r="B3696">
            <v>27.85</v>
          </cell>
        </row>
        <row r="3697">
          <cell r="A3697">
            <v>36740</v>
          </cell>
          <cell r="B3697">
            <v>28.27</v>
          </cell>
        </row>
        <row r="3698">
          <cell r="A3698">
            <v>36741</v>
          </cell>
          <cell r="B3698">
            <v>28.92</v>
          </cell>
        </row>
        <row r="3699">
          <cell r="A3699">
            <v>36742</v>
          </cell>
          <cell r="B3699">
            <v>29.94</v>
          </cell>
        </row>
        <row r="3700">
          <cell r="A3700">
            <v>36745</v>
          </cell>
          <cell r="B3700">
            <v>28.93</v>
          </cell>
        </row>
        <row r="3701">
          <cell r="A3701">
            <v>36746</v>
          </cell>
          <cell r="B3701">
            <v>29.26</v>
          </cell>
        </row>
        <row r="3702">
          <cell r="A3702">
            <v>36747</v>
          </cell>
          <cell r="B3702">
            <v>30.38</v>
          </cell>
        </row>
        <row r="3703">
          <cell r="A3703">
            <v>36748</v>
          </cell>
          <cell r="B3703">
            <v>31.09</v>
          </cell>
        </row>
        <row r="3704">
          <cell r="A3704">
            <v>36749</v>
          </cell>
          <cell r="B3704">
            <v>31.02</v>
          </cell>
        </row>
        <row r="3705">
          <cell r="A3705">
            <v>36752</v>
          </cell>
          <cell r="B3705">
            <v>31.92</v>
          </cell>
        </row>
        <row r="3706">
          <cell r="A3706">
            <v>36753</v>
          </cell>
          <cell r="B3706">
            <v>31.43</v>
          </cell>
        </row>
        <row r="3707">
          <cell r="A3707">
            <v>36754</v>
          </cell>
          <cell r="B3707">
            <v>31.91</v>
          </cell>
        </row>
        <row r="3708">
          <cell r="A3708">
            <v>36755</v>
          </cell>
          <cell r="B3708">
            <v>31.88</v>
          </cell>
        </row>
        <row r="3709">
          <cell r="A3709">
            <v>36756</v>
          </cell>
          <cell r="B3709">
            <v>31.97</v>
          </cell>
        </row>
        <row r="3710">
          <cell r="A3710">
            <v>36759</v>
          </cell>
          <cell r="B3710">
            <v>32.42</v>
          </cell>
        </row>
        <row r="3711">
          <cell r="A3711">
            <v>36760</v>
          </cell>
          <cell r="B3711">
            <v>31.24</v>
          </cell>
        </row>
        <row r="3712">
          <cell r="A3712">
            <v>36761</v>
          </cell>
          <cell r="B3712">
            <v>31.23</v>
          </cell>
        </row>
        <row r="3713">
          <cell r="A3713">
            <v>36762</v>
          </cell>
          <cell r="B3713">
            <v>33.409999999999997</v>
          </cell>
        </row>
        <row r="3714">
          <cell r="A3714">
            <v>36763</v>
          </cell>
          <cell r="B3714">
            <v>34.01</v>
          </cell>
        </row>
        <row r="3715">
          <cell r="A3715">
            <v>36766</v>
          </cell>
          <cell r="B3715">
            <v>32.92</v>
          </cell>
        </row>
        <row r="3716">
          <cell r="A3716">
            <v>36767</v>
          </cell>
          <cell r="B3716">
            <v>32.729999999999997</v>
          </cell>
        </row>
        <row r="3717">
          <cell r="A3717">
            <v>36768</v>
          </cell>
          <cell r="B3717">
            <v>33.25</v>
          </cell>
        </row>
        <row r="3718">
          <cell r="A3718">
            <v>36769</v>
          </cell>
          <cell r="B3718">
            <v>33.090000000000003</v>
          </cell>
        </row>
        <row r="3719">
          <cell r="A3719">
            <v>36770</v>
          </cell>
          <cell r="B3719">
            <v>33.42</v>
          </cell>
        </row>
        <row r="3720">
          <cell r="A3720">
            <v>36774</v>
          </cell>
          <cell r="B3720">
            <v>33.92</v>
          </cell>
        </row>
        <row r="3721">
          <cell r="A3721">
            <v>36775</v>
          </cell>
          <cell r="B3721">
            <v>34.97</v>
          </cell>
        </row>
        <row r="3722">
          <cell r="A3722">
            <v>36776</v>
          </cell>
          <cell r="B3722">
            <v>35.18</v>
          </cell>
        </row>
        <row r="3723">
          <cell r="A3723">
            <v>36777</v>
          </cell>
          <cell r="B3723">
            <v>33.619999999999997</v>
          </cell>
        </row>
        <row r="3724">
          <cell r="A3724">
            <v>36780</v>
          </cell>
          <cell r="B3724">
            <v>35.14</v>
          </cell>
        </row>
        <row r="3725">
          <cell r="A3725">
            <v>36781</v>
          </cell>
          <cell r="B3725">
            <v>34.25</v>
          </cell>
        </row>
        <row r="3726">
          <cell r="A3726">
            <v>36782</v>
          </cell>
          <cell r="B3726">
            <v>33.869999999999997</v>
          </cell>
        </row>
        <row r="3727">
          <cell r="A3727">
            <v>36783</v>
          </cell>
          <cell r="B3727">
            <v>34.369999999999997</v>
          </cell>
        </row>
        <row r="3728">
          <cell r="A3728">
            <v>36784</v>
          </cell>
          <cell r="B3728">
            <v>35.869999999999997</v>
          </cell>
        </row>
        <row r="3729">
          <cell r="A3729">
            <v>36787</v>
          </cell>
          <cell r="B3729">
            <v>36.75</v>
          </cell>
        </row>
        <row r="3730">
          <cell r="A3730">
            <v>36788</v>
          </cell>
          <cell r="B3730">
            <v>36.96</v>
          </cell>
        </row>
        <row r="3731">
          <cell r="A3731">
            <v>36789</v>
          </cell>
          <cell r="B3731">
            <v>37.22</v>
          </cell>
        </row>
        <row r="3732">
          <cell r="A3732">
            <v>36790</v>
          </cell>
          <cell r="B3732">
            <v>33.840000000000003</v>
          </cell>
        </row>
        <row r="3733">
          <cell r="A3733">
            <v>36791</v>
          </cell>
          <cell r="B3733">
            <v>32.659999999999997</v>
          </cell>
        </row>
        <row r="3734">
          <cell r="A3734">
            <v>36794</v>
          </cell>
          <cell r="B3734">
            <v>31.5</v>
          </cell>
        </row>
        <row r="3735">
          <cell r="A3735">
            <v>36795</v>
          </cell>
          <cell r="B3735">
            <v>31.78</v>
          </cell>
        </row>
        <row r="3736">
          <cell r="A3736">
            <v>36796</v>
          </cell>
          <cell r="B3736">
            <v>31.23</v>
          </cell>
        </row>
        <row r="3737">
          <cell r="A3737">
            <v>36797</v>
          </cell>
          <cell r="B3737">
            <v>30.26</v>
          </cell>
        </row>
        <row r="3738">
          <cell r="A3738">
            <v>36798</v>
          </cell>
          <cell r="B3738">
            <v>30.87</v>
          </cell>
        </row>
        <row r="3739">
          <cell r="A3739">
            <v>36801</v>
          </cell>
          <cell r="B3739">
            <v>32.049999999999997</v>
          </cell>
        </row>
        <row r="3740">
          <cell r="A3740">
            <v>36802</v>
          </cell>
          <cell r="B3740">
            <v>31.86</v>
          </cell>
        </row>
        <row r="3741">
          <cell r="A3741">
            <v>36803</v>
          </cell>
          <cell r="B3741">
            <v>30.91</v>
          </cell>
        </row>
        <row r="3742">
          <cell r="A3742">
            <v>36804</v>
          </cell>
          <cell r="B3742">
            <v>30.66</v>
          </cell>
        </row>
        <row r="3743">
          <cell r="A3743">
            <v>36805</v>
          </cell>
          <cell r="B3743">
            <v>30.86</v>
          </cell>
        </row>
        <row r="3744">
          <cell r="A3744">
            <v>36808</v>
          </cell>
          <cell r="B3744">
            <v>31.98</v>
          </cell>
        </row>
        <row r="3745">
          <cell r="A3745">
            <v>36809</v>
          </cell>
          <cell r="B3745">
            <v>33.29</v>
          </cell>
        </row>
        <row r="3746">
          <cell r="A3746">
            <v>36810</v>
          </cell>
          <cell r="B3746">
            <v>33.200000000000003</v>
          </cell>
        </row>
        <row r="3747">
          <cell r="A3747">
            <v>36811</v>
          </cell>
          <cell r="B3747">
            <v>36.06</v>
          </cell>
        </row>
        <row r="3748">
          <cell r="A3748">
            <v>36812</v>
          </cell>
          <cell r="B3748">
            <v>34.96</v>
          </cell>
        </row>
        <row r="3749">
          <cell r="A3749">
            <v>36815</v>
          </cell>
          <cell r="B3749">
            <v>33.18</v>
          </cell>
        </row>
        <row r="3750">
          <cell r="A3750">
            <v>36816</v>
          </cell>
          <cell r="B3750">
            <v>33.36</v>
          </cell>
        </row>
        <row r="3751">
          <cell r="A3751">
            <v>36817</v>
          </cell>
          <cell r="B3751">
            <v>33.51</v>
          </cell>
        </row>
        <row r="3752">
          <cell r="A3752">
            <v>36818</v>
          </cell>
          <cell r="B3752">
            <v>33.06</v>
          </cell>
        </row>
        <row r="3753">
          <cell r="A3753">
            <v>36819</v>
          </cell>
          <cell r="B3753">
            <v>34.31</v>
          </cell>
        </row>
        <row r="3754">
          <cell r="A3754">
            <v>36822</v>
          </cell>
          <cell r="B3754">
            <v>34.9</v>
          </cell>
        </row>
        <row r="3755">
          <cell r="A3755">
            <v>36823</v>
          </cell>
          <cell r="B3755">
            <v>34.53</v>
          </cell>
        </row>
        <row r="3756">
          <cell r="A3756">
            <v>36824</v>
          </cell>
          <cell r="B3756">
            <v>33.619999999999997</v>
          </cell>
        </row>
        <row r="3757">
          <cell r="A3757">
            <v>36825</v>
          </cell>
          <cell r="B3757">
            <v>33.75</v>
          </cell>
        </row>
        <row r="3758">
          <cell r="A3758">
            <v>36826</v>
          </cell>
          <cell r="B3758">
            <v>32.78</v>
          </cell>
        </row>
        <row r="3759">
          <cell r="A3759">
            <v>36829</v>
          </cell>
          <cell r="B3759">
            <v>32.86</v>
          </cell>
        </row>
        <row r="3760">
          <cell r="A3760">
            <v>36830</v>
          </cell>
          <cell r="B3760">
            <v>32.700000000000003</v>
          </cell>
        </row>
        <row r="3761">
          <cell r="A3761">
            <v>36831</v>
          </cell>
          <cell r="B3761">
            <v>33.14</v>
          </cell>
        </row>
        <row r="3762">
          <cell r="A3762">
            <v>36832</v>
          </cell>
          <cell r="B3762">
            <v>32.590000000000003</v>
          </cell>
        </row>
        <row r="3763">
          <cell r="A3763">
            <v>36833</v>
          </cell>
          <cell r="B3763">
            <v>32.619999999999997</v>
          </cell>
        </row>
        <row r="3764">
          <cell r="A3764">
            <v>36836</v>
          </cell>
          <cell r="B3764">
            <v>33.020000000000003</v>
          </cell>
        </row>
        <row r="3765">
          <cell r="A3765">
            <v>36837</v>
          </cell>
          <cell r="B3765">
            <v>33.44</v>
          </cell>
        </row>
        <row r="3766">
          <cell r="A3766">
            <v>36838</v>
          </cell>
          <cell r="B3766">
            <v>32.92</v>
          </cell>
        </row>
        <row r="3767">
          <cell r="A3767">
            <v>36839</v>
          </cell>
          <cell r="B3767">
            <v>33.869999999999997</v>
          </cell>
        </row>
        <row r="3768">
          <cell r="A3768">
            <v>36840</v>
          </cell>
          <cell r="B3768">
            <v>34.049999999999997</v>
          </cell>
        </row>
        <row r="3769">
          <cell r="A3769">
            <v>36843</v>
          </cell>
          <cell r="B3769">
            <v>34.299999999999997</v>
          </cell>
        </row>
        <row r="3770">
          <cell r="A3770">
            <v>36844</v>
          </cell>
          <cell r="B3770">
            <v>34.72</v>
          </cell>
        </row>
        <row r="3771">
          <cell r="A3771">
            <v>36845</v>
          </cell>
          <cell r="B3771">
            <v>35.54</v>
          </cell>
        </row>
        <row r="3772">
          <cell r="A3772">
            <v>36846</v>
          </cell>
          <cell r="B3772">
            <v>34.840000000000003</v>
          </cell>
        </row>
        <row r="3773">
          <cell r="A3773">
            <v>36847</v>
          </cell>
          <cell r="B3773">
            <v>35.619999999999997</v>
          </cell>
        </row>
        <row r="3774">
          <cell r="A3774">
            <v>36850</v>
          </cell>
          <cell r="B3774">
            <v>35.979999999999997</v>
          </cell>
        </row>
        <row r="3775">
          <cell r="A3775">
            <v>36851</v>
          </cell>
          <cell r="B3775">
            <v>35.54</v>
          </cell>
        </row>
        <row r="3776">
          <cell r="A3776">
            <v>36852</v>
          </cell>
          <cell r="B3776">
            <v>36.06</v>
          </cell>
        </row>
        <row r="3777">
          <cell r="A3777">
            <v>36854</v>
          </cell>
          <cell r="B3777">
            <v>36.06</v>
          </cell>
        </row>
        <row r="3778">
          <cell r="A3778">
            <v>36857</v>
          </cell>
          <cell r="B3778">
            <v>36.24</v>
          </cell>
        </row>
        <row r="3779">
          <cell r="A3779">
            <v>36858</v>
          </cell>
          <cell r="B3779">
            <v>34.020000000000003</v>
          </cell>
        </row>
        <row r="3780">
          <cell r="A3780">
            <v>36859</v>
          </cell>
          <cell r="B3780">
            <v>34.58</v>
          </cell>
        </row>
        <row r="3781">
          <cell r="A3781">
            <v>36860</v>
          </cell>
          <cell r="B3781">
            <v>33.61</v>
          </cell>
        </row>
        <row r="3782">
          <cell r="A3782">
            <v>36861</v>
          </cell>
          <cell r="B3782">
            <v>32.06</v>
          </cell>
        </row>
        <row r="3783">
          <cell r="A3783">
            <v>36864</v>
          </cell>
          <cell r="B3783">
            <v>31.28</v>
          </cell>
        </row>
        <row r="3784">
          <cell r="A3784">
            <v>36865</v>
          </cell>
          <cell r="B3784">
            <v>29.25</v>
          </cell>
        </row>
        <row r="3785">
          <cell r="A3785">
            <v>36866</v>
          </cell>
          <cell r="B3785">
            <v>30.24</v>
          </cell>
        </row>
        <row r="3786">
          <cell r="A3786">
            <v>36867</v>
          </cell>
          <cell r="B3786">
            <v>29.36</v>
          </cell>
        </row>
        <row r="3787">
          <cell r="A3787">
            <v>36868</v>
          </cell>
          <cell r="B3787">
            <v>28.31</v>
          </cell>
        </row>
        <row r="3788">
          <cell r="A3788">
            <v>36871</v>
          </cell>
          <cell r="B3788">
            <v>29.75</v>
          </cell>
        </row>
        <row r="3789">
          <cell r="A3789">
            <v>36872</v>
          </cell>
          <cell r="B3789">
            <v>29.81</v>
          </cell>
        </row>
        <row r="3790">
          <cell r="A3790">
            <v>36873</v>
          </cell>
          <cell r="B3790">
            <v>28.75</v>
          </cell>
        </row>
        <row r="3791">
          <cell r="A3791">
            <v>36874</v>
          </cell>
          <cell r="B3791">
            <v>28.06</v>
          </cell>
        </row>
        <row r="3792">
          <cell r="A3792">
            <v>36875</v>
          </cell>
          <cell r="B3792">
            <v>28.86</v>
          </cell>
        </row>
        <row r="3793">
          <cell r="A3793">
            <v>36878</v>
          </cell>
          <cell r="B3793">
            <v>29.52</v>
          </cell>
        </row>
        <row r="3794">
          <cell r="A3794">
            <v>36879</v>
          </cell>
          <cell r="B3794">
            <v>29.34</v>
          </cell>
        </row>
        <row r="3795">
          <cell r="A3795">
            <v>36880</v>
          </cell>
          <cell r="B3795">
            <v>25.83</v>
          </cell>
        </row>
        <row r="3796">
          <cell r="A3796">
            <v>36881</v>
          </cell>
          <cell r="B3796">
            <v>26.06</v>
          </cell>
        </row>
        <row r="3797">
          <cell r="A3797">
            <v>36882</v>
          </cell>
          <cell r="B3797">
            <v>26.16</v>
          </cell>
        </row>
        <row r="3798">
          <cell r="A3798">
            <v>36886</v>
          </cell>
          <cell r="B3798">
            <v>27</v>
          </cell>
        </row>
        <row r="3799">
          <cell r="A3799">
            <v>36887</v>
          </cell>
          <cell r="B3799">
            <v>26.55</v>
          </cell>
        </row>
        <row r="3800">
          <cell r="A3800">
            <v>36888</v>
          </cell>
          <cell r="B3800">
            <v>25.82</v>
          </cell>
        </row>
        <row r="3801">
          <cell r="A3801">
            <v>36889</v>
          </cell>
          <cell r="B3801">
            <v>26.72</v>
          </cell>
        </row>
        <row r="3802">
          <cell r="A3802">
            <v>36893</v>
          </cell>
          <cell r="B3802">
            <v>27.29</v>
          </cell>
        </row>
        <row r="3803">
          <cell r="A3803">
            <v>36894</v>
          </cell>
          <cell r="B3803">
            <v>27.93</v>
          </cell>
        </row>
        <row r="3804">
          <cell r="A3804">
            <v>36895</v>
          </cell>
          <cell r="B3804">
            <v>27.95</v>
          </cell>
        </row>
        <row r="3805">
          <cell r="A3805">
            <v>36896</v>
          </cell>
          <cell r="B3805">
            <v>28.02</v>
          </cell>
        </row>
        <row r="3806">
          <cell r="A3806">
            <v>36899</v>
          </cell>
          <cell r="B3806">
            <v>27.44</v>
          </cell>
        </row>
        <row r="3807">
          <cell r="A3807">
            <v>36900</v>
          </cell>
          <cell r="B3807">
            <v>27.72</v>
          </cell>
        </row>
        <row r="3808">
          <cell r="A3808">
            <v>36901</v>
          </cell>
          <cell r="B3808">
            <v>29.42</v>
          </cell>
        </row>
        <row r="3809">
          <cell r="A3809">
            <v>36902</v>
          </cell>
          <cell r="B3809">
            <v>29.42</v>
          </cell>
        </row>
        <row r="3810">
          <cell r="A3810">
            <v>36903</v>
          </cell>
          <cell r="B3810">
            <v>30.07</v>
          </cell>
        </row>
        <row r="3811">
          <cell r="A3811">
            <v>36907</v>
          </cell>
          <cell r="B3811">
            <v>30.19</v>
          </cell>
        </row>
        <row r="3812">
          <cell r="A3812">
            <v>36908</v>
          </cell>
          <cell r="B3812">
            <v>29.77</v>
          </cell>
        </row>
        <row r="3813">
          <cell r="A3813">
            <v>36909</v>
          </cell>
          <cell r="B3813">
            <v>30.42</v>
          </cell>
        </row>
        <row r="3814">
          <cell r="A3814">
            <v>36910</v>
          </cell>
          <cell r="B3814">
            <v>32.119999999999997</v>
          </cell>
        </row>
        <row r="3815">
          <cell r="A3815">
            <v>36913</v>
          </cell>
          <cell r="B3815">
            <v>32.21</v>
          </cell>
        </row>
        <row r="3816">
          <cell r="A3816">
            <v>36914</v>
          </cell>
          <cell r="B3816">
            <v>31.66</v>
          </cell>
        </row>
        <row r="3817">
          <cell r="A3817">
            <v>36915</v>
          </cell>
          <cell r="B3817">
            <v>31.46</v>
          </cell>
        </row>
        <row r="3818">
          <cell r="A3818">
            <v>36916</v>
          </cell>
          <cell r="B3818">
            <v>31.61</v>
          </cell>
        </row>
        <row r="3819">
          <cell r="A3819">
            <v>36917</v>
          </cell>
          <cell r="B3819">
            <v>29.79</v>
          </cell>
        </row>
        <row r="3820">
          <cell r="A3820">
            <v>36920</v>
          </cell>
          <cell r="B3820">
            <v>29.07</v>
          </cell>
        </row>
        <row r="3821">
          <cell r="A3821">
            <v>36921</v>
          </cell>
          <cell r="B3821">
            <v>29.12</v>
          </cell>
        </row>
        <row r="3822">
          <cell r="A3822">
            <v>36922</v>
          </cell>
          <cell r="B3822">
            <v>28.62</v>
          </cell>
        </row>
        <row r="3823">
          <cell r="A3823">
            <v>36923</v>
          </cell>
          <cell r="B3823">
            <v>29.88</v>
          </cell>
        </row>
        <row r="3824">
          <cell r="A3824">
            <v>36924</v>
          </cell>
          <cell r="B3824">
            <v>31.27</v>
          </cell>
        </row>
        <row r="3825">
          <cell r="A3825">
            <v>36927</v>
          </cell>
          <cell r="B3825">
            <v>30.55</v>
          </cell>
        </row>
        <row r="3826">
          <cell r="A3826">
            <v>36928</v>
          </cell>
          <cell r="B3826">
            <v>30.27</v>
          </cell>
        </row>
        <row r="3827">
          <cell r="A3827">
            <v>36929</v>
          </cell>
          <cell r="B3827">
            <v>31.27</v>
          </cell>
        </row>
        <row r="3828">
          <cell r="A3828">
            <v>36930</v>
          </cell>
          <cell r="B3828">
            <v>31.57</v>
          </cell>
        </row>
        <row r="3829">
          <cell r="A3829">
            <v>36931</v>
          </cell>
          <cell r="B3829">
            <v>30.93</v>
          </cell>
        </row>
        <row r="3830">
          <cell r="A3830">
            <v>36934</v>
          </cell>
          <cell r="B3830">
            <v>30.52</v>
          </cell>
        </row>
        <row r="3831">
          <cell r="A3831">
            <v>36935</v>
          </cell>
          <cell r="B3831">
            <v>30.12</v>
          </cell>
        </row>
        <row r="3832">
          <cell r="A3832">
            <v>36936</v>
          </cell>
          <cell r="B3832">
            <v>29.55</v>
          </cell>
        </row>
        <row r="3833">
          <cell r="A3833">
            <v>36937</v>
          </cell>
          <cell r="B3833">
            <v>28.96</v>
          </cell>
        </row>
        <row r="3834">
          <cell r="A3834">
            <v>36938</v>
          </cell>
          <cell r="B3834">
            <v>29.22</v>
          </cell>
        </row>
        <row r="3835">
          <cell r="A3835">
            <v>36942</v>
          </cell>
          <cell r="B3835">
            <v>28.6</v>
          </cell>
        </row>
        <row r="3836">
          <cell r="A3836">
            <v>36943</v>
          </cell>
          <cell r="B3836">
            <v>28.64</v>
          </cell>
        </row>
        <row r="3837">
          <cell r="A3837">
            <v>36944</v>
          </cell>
          <cell r="B3837">
            <v>28.52</v>
          </cell>
        </row>
        <row r="3838">
          <cell r="A3838">
            <v>36945</v>
          </cell>
          <cell r="B3838">
            <v>28.83</v>
          </cell>
        </row>
        <row r="3839">
          <cell r="A3839">
            <v>36948</v>
          </cell>
          <cell r="B3839">
            <v>28.27</v>
          </cell>
        </row>
        <row r="3840">
          <cell r="A3840">
            <v>36949</v>
          </cell>
          <cell r="B3840">
            <v>28.26</v>
          </cell>
        </row>
        <row r="3841">
          <cell r="A3841">
            <v>36950</v>
          </cell>
          <cell r="B3841">
            <v>27.35</v>
          </cell>
        </row>
        <row r="3842">
          <cell r="A3842">
            <v>36951</v>
          </cell>
          <cell r="B3842">
            <v>27.78</v>
          </cell>
        </row>
        <row r="3843">
          <cell r="A3843">
            <v>36952</v>
          </cell>
          <cell r="B3843">
            <v>27.89</v>
          </cell>
        </row>
        <row r="3844">
          <cell r="A3844">
            <v>36955</v>
          </cell>
          <cell r="B3844">
            <v>28.61</v>
          </cell>
        </row>
        <row r="3845">
          <cell r="A3845">
            <v>36956</v>
          </cell>
          <cell r="B3845">
            <v>28.4</v>
          </cell>
        </row>
        <row r="3846">
          <cell r="A3846">
            <v>36957</v>
          </cell>
          <cell r="B3846">
            <v>28.95</v>
          </cell>
        </row>
        <row r="3847">
          <cell r="A3847">
            <v>36958</v>
          </cell>
          <cell r="B3847">
            <v>28.31</v>
          </cell>
        </row>
        <row r="3848">
          <cell r="A3848">
            <v>36959</v>
          </cell>
          <cell r="B3848">
            <v>27.97</v>
          </cell>
        </row>
        <row r="3849">
          <cell r="A3849">
            <v>36962</v>
          </cell>
          <cell r="B3849">
            <v>27.91</v>
          </cell>
        </row>
        <row r="3850">
          <cell r="A3850">
            <v>36963</v>
          </cell>
          <cell r="B3850">
            <v>27.45</v>
          </cell>
        </row>
        <row r="3851">
          <cell r="A3851">
            <v>36964</v>
          </cell>
          <cell r="B3851">
            <v>26.49</v>
          </cell>
        </row>
        <row r="3852">
          <cell r="A3852">
            <v>36965</v>
          </cell>
          <cell r="B3852">
            <v>26.56</v>
          </cell>
        </row>
        <row r="3853">
          <cell r="A3853">
            <v>36966</v>
          </cell>
          <cell r="B3853">
            <v>26.68</v>
          </cell>
        </row>
        <row r="3854">
          <cell r="A3854">
            <v>36969</v>
          </cell>
          <cell r="B3854">
            <v>26.17</v>
          </cell>
        </row>
        <row r="3855">
          <cell r="A3855">
            <v>36970</v>
          </cell>
          <cell r="B3855">
            <v>25.99</v>
          </cell>
        </row>
        <row r="3856">
          <cell r="A3856">
            <v>36971</v>
          </cell>
          <cell r="B3856">
            <v>26.43</v>
          </cell>
        </row>
        <row r="3857">
          <cell r="A3857">
            <v>36972</v>
          </cell>
          <cell r="B3857">
            <v>26.19</v>
          </cell>
        </row>
        <row r="3858">
          <cell r="A3858">
            <v>36973</v>
          </cell>
          <cell r="B3858">
            <v>27.31</v>
          </cell>
        </row>
        <row r="3859">
          <cell r="A3859">
            <v>36976</v>
          </cell>
          <cell r="B3859">
            <v>27.4</v>
          </cell>
        </row>
        <row r="3860">
          <cell r="A3860">
            <v>36977</v>
          </cell>
          <cell r="B3860">
            <v>27.62</v>
          </cell>
        </row>
        <row r="3861">
          <cell r="A3861">
            <v>36978</v>
          </cell>
          <cell r="B3861">
            <v>26.43</v>
          </cell>
        </row>
        <row r="3862">
          <cell r="A3862">
            <v>36979</v>
          </cell>
          <cell r="B3862">
            <v>26.47</v>
          </cell>
        </row>
        <row r="3863">
          <cell r="A3863">
            <v>36980</v>
          </cell>
          <cell r="B3863">
            <v>26.37</v>
          </cell>
        </row>
        <row r="3864">
          <cell r="A3864">
            <v>36983</v>
          </cell>
          <cell r="B3864">
            <v>25.7</v>
          </cell>
        </row>
        <row r="3865">
          <cell r="A3865">
            <v>36984</v>
          </cell>
          <cell r="B3865">
            <v>26.65</v>
          </cell>
        </row>
        <row r="3866">
          <cell r="A3866">
            <v>36985</v>
          </cell>
          <cell r="B3866">
            <v>27.16</v>
          </cell>
        </row>
        <row r="3867">
          <cell r="A3867">
            <v>36986</v>
          </cell>
          <cell r="B3867">
            <v>27.24</v>
          </cell>
        </row>
        <row r="3868">
          <cell r="A3868">
            <v>36987</v>
          </cell>
          <cell r="B3868">
            <v>27.07</v>
          </cell>
        </row>
        <row r="3869">
          <cell r="A3869">
            <v>36990</v>
          </cell>
          <cell r="B3869">
            <v>27.45</v>
          </cell>
        </row>
        <row r="3870">
          <cell r="A3870">
            <v>36991</v>
          </cell>
          <cell r="B3870">
            <v>28.47</v>
          </cell>
        </row>
        <row r="3871">
          <cell r="A3871">
            <v>36992</v>
          </cell>
          <cell r="B3871">
            <v>28.42</v>
          </cell>
        </row>
        <row r="3872">
          <cell r="A3872">
            <v>36993</v>
          </cell>
          <cell r="B3872">
            <v>28.75</v>
          </cell>
        </row>
        <row r="3873">
          <cell r="A3873">
            <v>36997</v>
          </cell>
          <cell r="B3873">
            <v>28.81</v>
          </cell>
        </row>
        <row r="3874">
          <cell r="A3874">
            <v>36998</v>
          </cell>
          <cell r="B3874">
            <v>27.89</v>
          </cell>
        </row>
        <row r="3875">
          <cell r="A3875">
            <v>36999</v>
          </cell>
          <cell r="B3875">
            <v>27.83</v>
          </cell>
        </row>
        <row r="3876">
          <cell r="A3876">
            <v>37000</v>
          </cell>
          <cell r="B3876">
            <v>27.92</v>
          </cell>
        </row>
        <row r="3877">
          <cell r="A3877">
            <v>37001</v>
          </cell>
          <cell r="B3877">
            <v>27</v>
          </cell>
        </row>
        <row r="3878">
          <cell r="A3878">
            <v>37004</v>
          </cell>
          <cell r="B3878">
            <v>26.97</v>
          </cell>
        </row>
        <row r="3879">
          <cell r="A3879">
            <v>37005</v>
          </cell>
          <cell r="B3879">
            <v>25.24</v>
          </cell>
        </row>
        <row r="3880">
          <cell r="A3880">
            <v>37006</v>
          </cell>
          <cell r="B3880">
            <v>25.93</v>
          </cell>
        </row>
        <row r="3881">
          <cell r="A3881">
            <v>37007</v>
          </cell>
          <cell r="B3881">
            <v>28.47</v>
          </cell>
        </row>
        <row r="3882">
          <cell r="A3882">
            <v>37008</v>
          </cell>
          <cell r="B3882">
            <v>28.35</v>
          </cell>
        </row>
        <row r="3883">
          <cell r="A3883">
            <v>37011</v>
          </cell>
          <cell r="B3883">
            <v>28.48</v>
          </cell>
        </row>
        <row r="3884">
          <cell r="A3884">
            <v>37012</v>
          </cell>
          <cell r="B3884">
            <v>28.37</v>
          </cell>
        </row>
        <row r="3885">
          <cell r="A3885">
            <v>37013</v>
          </cell>
          <cell r="B3885">
            <v>27.89</v>
          </cell>
        </row>
        <row r="3886">
          <cell r="A3886">
            <v>37014</v>
          </cell>
          <cell r="B3886">
            <v>28.66</v>
          </cell>
        </row>
        <row r="3887">
          <cell r="A3887">
            <v>37015</v>
          </cell>
          <cell r="B3887">
            <v>28.41</v>
          </cell>
        </row>
        <row r="3888">
          <cell r="A3888">
            <v>37018</v>
          </cell>
          <cell r="B3888">
            <v>27.79</v>
          </cell>
        </row>
        <row r="3889">
          <cell r="A3889">
            <v>37019</v>
          </cell>
          <cell r="B3889">
            <v>27.35</v>
          </cell>
        </row>
        <row r="3890">
          <cell r="A3890">
            <v>37020</v>
          </cell>
          <cell r="B3890">
            <v>28.39</v>
          </cell>
        </row>
        <row r="3891">
          <cell r="A3891">
            <v>37021</v>
          </cell>
          <cell r="B3891">
            <v>28.5</v>
          </cell>
        </row>
        <row r="3892">
          <cell r="A3892">
            <v>37022</v>
          </cell>
          <cell r="B3892">
            <v>28.59</v>
          </cell>
        </row>
        <row r="3893">
          <cell r="A3893">
            <v>37025</v>
          </cell>
          <cell r="B3893">
            <v>28.83</v>
          </cell>
        </row>
        <row r="3894">
          <cell r="A3894">
            <v>37026</v>
          </cell>
          <cell r="B3894">
            <v>28.9</v>
          </cell>
        </row>
        <row r="3895">
          <cell r="A3895">
            <v>37027</v>
          </cell>
          <cell r="B3895">
            <v>28.77</v>
          </cell>
        </row>
        <row r="3896">
          <cell r="A3896">
            <v>37028</v>
          </cell>
          <cell r="B3896">
            <v>29.02</v>
          </cell>
        </row>
        <row r="3897">
          <cell r="A3897">
            <v>37029</v>
          </cell>
          <cell r="B3897">
            <v>29.9</v>
          </cell>
        </row>
        <row r="3898">
          <cell r="A3898">
            <v>37032</v>
          </cell>
          <cell r="B3898">
            <v>29.96</v>
          </cell>
        </row>
        <row r="3899">
          <cell r="A3899">
            <v>37033</v>
          </cell>
          <cell r="B3899">
            <v>29.75</v>
          </cell>
        </row>
        <row r="3900">
          <cell r="A3900">
            <v>37034</v>
          </cell>
          <cell r="B3900">
            <v>28.85</v>
          </cell>
        </row>
        <row r="3901">
          <cell r="A3901">
            <v>37035</v>
          </cell>
          <cell r="B3901">
            <v>27.97</v>
          </cell>
        </row>
        <row r="3902">
          <cell r="A3902">
            <v>37036</v>
          </cell>
          <cell r="B3902">
            <v>28.08</v>
          </cell>
        </row>
        <row r="3903">
          <cell r="A3903">
            <v>37040</v>
          </cell>
          <cell r="B3903">
            <v>28.76</v>
          </cell>
        </row>
        <row r="3904">
          <cell r="A3904">
            <v>37041</v>
          </cell>
          <cell r="B3904">
            <v>28.71</v>
          </cell>
        </row>
        <row r="3905">
          <cell r="A3905">
            <v>37042</v>
          </cell>
          <cell r="B3905">
            <v>28.39</v>
          </cell>
        </row>
        <row r="3906">
          <cell r="A3906">
            <v>37043</v>
          </cell>
          <cell r="B3906">
            <v>27.88</v>
          </cell>
        </row>
        <row r="3907">
          <cell r="A3907">
            <v>37046</v>
          </cell>
          <cell r="B3907">
            <v>28.14</v>
          </cell>
        </row>
        <row r="3908">
          <cell r="A3908">
            <v>37047</v>
          </cell>
          <cell r="B3908">
            <v>27.84</v>
          </cell>
        </row>
        <row r="3909">
          <cell r="A3909">
            <v>37048</v>
          </cell>
          <cell r="B3909">
            <v>27.56</v>
          </cell>
        </row>
        <row r="3910">
          <cell r="A3910">
            <v>37049</v>
          </cell>
          <cell r="B3910">
            <v>27.91</v>
          </cell>
        </row>
        <row r="3911">
          <cell r="A3911">
            <v>37050</v>
          </cell>
          <cell r="B3911">
            <v>28.43</v>
          </cell>
        </row>
        <row r="3912">
          <cell r="A3912">
            <v>37053</v>
          </cell>
          <cell r="B3912">
            <v>28.94</v>
          </cell>
        </row>
        <row r="3913">
          <cell r="A3913">
            <v>37054</v>
          </cell>
          <cell r="B3913">
            <v>29.13</v>
          </cell>
        </row>
        <row r="3914">
          <cell r="A3914">
            <v>37055</v>
          </cell>
          <cell r="B3914">
            <v>28.81</v>
          </cell>
        </row>
        <row r="3915">
          <cell r="A3915">
            <v>37056</v>
          </cell>
          <cell r="B3915">
            <v>29.12</v>
          </cell>
        </row>
        <row r="3916">
          <cell r="A3916">
            <v>37057</v>
          </cell>
          <cell r="B3916">
            <v>28.52</v>
          </cell>
        </row>
        <row r="3917">
          <cell r="A3917">
            <v>37060</v>
          </cell>
          <cell r="B3917">
            <v>27.55</v>
          </cell>
        </row>
        <row r="3918">
          <cell r="A3918">
            <v>37061</v>
          </cell>
          <cell r="B3918">
            <v>27.49</v>
          </cell>
        </row>
        <row r="3919">
          <cell r="A3919">
            <v>37062</v>
          </cell>
          <cell r="B3919">
            <v>26.52</v>
          </cell>
        </row>
        <row r="3920">
          <cell r="A3920">
            <v>37063</v>
          </cell>
          <cell r="B3920">
            <v>26.85</v>
          </cell>
        </row>
        <row r="3921">
          <cell r="A3921">
            <v>37064</v>
          </cell>
          <cell r="B3921">
            <v>27.02</v>
          </cell>
        </row>
        <row r="3922">
          <cell r="A3922">
            <v>37067</v>
          </cell>
          <cell r="B3922">
            <v>27.11</v>
          </cell>
        </row>
        <row r="3923">
          <cell r="A3923">
            <v>37068</v>
          </cell>
          <cell r="B3923">
            <v>26.97</v>
          </cell>
        </row>
        <row r="3924">
          <cell r="A3924">
            <v>37069</v>
          </cell>
          <cell r="B3924">
            <v>25.67</v>
          </cell>
        </row>
        <row r="3925">
          <cell r="A3925">
            <v>37070</v>
          </cell>
          <cell r="B3925">
            <v>25.75</v>
          </cell>
        </row>
        <row r="3926">
          <cell r="A3926">
            <v>37071</v>
          </cell>
          <cell r="B3926">
            <v>26.37</v>
          </cell>
        </row>
        <row r="3927">
          <cell r="A3927">
            <v>37074</v>
          </cell>
          <cell r="B3927">
            <v>26.02</v>
          </cell>
        </row>
        <row r="3928">
          <cell r="A3928">
            <v>37075</v>
          </cell>
          <cell r="B3928">
            <v>26.28</v>
          </cell>
        </row>
        <row r="3929">
          <cell r="A3929">
            <v>37077</v>
          </cell>
          <cell r="B3929">
            <v>27.07</v>
          </cell>
        </row>
        <row r="3930">
          <cell r="A3930">
            <v>37078</v>
          </cell>
          <cell r="B3930">
            <v>28.1</v>
          </cell>
        </row>
        <row r="3931">
          <cell r="A3931">
            <v>37081</v>
          </cell>
          <cell r="B3931">
            <v>27.63</v>
          </cell>
        </row>
        <row r="3932">
          <cell r="A3932">
            <v>37082</v>
          </cell>
          <cell r="B3932">
            <v>27.22</v>
          </cell>
        </row>
        <row r="3933">
          <cell r="A3933">
            <v>37083</v>
          </cell>
          <cell r="B3933">
            <v>27.07</v>
          </cell>
        </row>
        <row r="3934">
          <cell r="A3934">
            <v>37084</v>
          </cell>
          <cell r="B3934">
            <v>26.85</v>
          </cell>
        </row>
        <row r="3935">
          <cell r="A3935">
            <v>37085</v>
          </cell>
          <cell r="B3935">
            <v>26.57</v>
          </cell>
        </row>
        <row r="3936">
          <cell r="A3936">
            <v>37088</v>
          </cell>
          <cell r="B3936">
            <v>26.02</v>
          </cell>
        </row>
        <row r="3937">
          <cell r="A3937">
            <v>37089</v>
          </cell>
          <cell r="B3937">
            <v>25.33</v>
          </cell>
        </row>
        <row r="3938">
          <cell r="A3938">
            <v>37090</v>
          </cell>
          <cell r="B3938">
            <v>24.65</v>
          </cell>
        </row>
        <row r="3939">
          <cell r="A3939">
            <v>37091</v>
          </cell>
          <cell r="B3939">
            <v>24.65</v>
          </cell>
        </row>
        <row r="3940">
          <cell r="A3940">
            <v>37092</v>
          </cell>
          <cell r="B3940">
            <v>25.67</v>
          </cell>
        </row>
        <row r="3941">
          <cell r="A3941">
            <v>37095</v>
          </cell>
          <cell r="B3941">
            <v>25.88</v>
          </cell>
        </row>
        <row r="3942">
          <cell r="A3942">
            <v>37096</v>
          </cell>
          <cell r="B3942">
            <v>26.18</v>
          </cell>
        </row>
        <row r="3943">
          <cell r="A3943">
            <v>37097</v>
          </cell>
          <cell r="B3943">
            <v>26.71</v>
          </cell>
        </row>
        <row r="3944">
          <cell r="A3944">
            <v>37098</v>
          </cell>
          <cell r="B3944">
            <v>26.74</v>
          </cell>
        </row>
        <row r="3945">
          <cell r="A3945">
            <v>37099</v>
          </cell>
          <cell r="B3945">
            <v>26.98</v>
          </cell>
        </row>
        <row r="3946">
          <cell r="A3946">
            <v>37102</v>
          </cell>
          <cell r="B3946">
            <v>26.6</v>
          </cell>
        </row>
        <row r="3947">
          <cell r="A3947">
            <v>37103</v>
          </cell>
          <cell r="B3947">
            <v>26.7</v>
          </cell>
        </row>
        <row r="3948">
          <cell r="A3948">
            <v>37104</v>
          </cell>
          <cell r="B3948">
            <v>26.83</v>
          </cell>
        </row>
        <row r="3949">
          <cell r="A3949">
            <v>37105</v>
          </cell>
          <cell r="B3949">
            <v>27.86</v>
          </cell>
        </row>
        <row r="3950">
          <cell r="A3950">
            <v>37106</v>
          </cell>
          <cell r="B3950">
            <v>27.51</v>
          </cell>
        </row>
        <row r="3951">
          <cell r="A3951">
            <v>37109</v>
          </cell>
          <cell r="B3951">
            <v>27.7</v>
          </cell>
        </row>
        <row r="3952">
          <cell r="A3952">
            <v>37110</v>
          </cell>
          <cell r="B3952">
            <v>28.17</v>
          </cell>
        </row>
        <row r="3953">
          <cell r="A3953">
            <v>37111</v>
          </cell>
          <cell r="B3953">
            <v>27.62</v>
          </cell>
        </row>
        <row r="3954">
          <cell r="A3954">
            <v>37112</v>
          </cell>
          <cell r="B3954">
            <v>27.72</v>
          </cell>
        </row>
        <row r="3955">
          <cell r="A3955">
            <v>37113</v>
          </cell>
          <cell r="B3955">
            <v>28.12</v>
          </cell>
        </row>
        <row r="3956">
          <cell r="A3956">
            <v>37116</v>
          </cell>
          <cell r="B3956">
            <v>27.85</v>
          </cell>
        </row>
        <row r="3957">
          <cell r="A3957">
            <v>37117</v>
          </cell>
          <cell r="B3957">
            <v>28.1</v>
          </cell>
        </row>
        <row r="3958">
          <cell r="A3958">
            <v>37118</v>
          </cell>
          <cell r="B3958">
            <v>27.51</v>
          </cell>
        </row>
        <row r="3959">
          <cell r="A3959">
            <v>37119</v>
          </cell>
          <cell r="B3959">
            <v>27.47</v>
          </cell>
        </row>
        <row r="3960">
          <cell r="A3960">
            <v>37120</v>
          </cell>
          <cell r="B3960">
            <v>26.65</v>
          </cell>
        </row>
        <row r="3961">
          <cell r="A3961">
            <v>37123</v>
          </cell>
          <cell r="B3961">
            <v>27.2</v>
          </cell>
        </row>
        <row r="3962">
          <cell r="A3962">
            <v>37124</v>
          </cell>
          <cell r="B3962">
            <v>27.93</v>
          </cell>
        </row>
        <row r="3963">
          <cell r="A3963">
            <v>37125</v>
          </cell>
          <cell r="B3963">
            <v>27.17</v>
          </cell>
        </row>
        <row r="3964">
          <cell r="A3964">
            <v>37126</v>
          </cell>
          <cell r="B3964">
            <v>25.63</v>
          </cell>
        </row>
        <row r="3965">
          <cell r="A3965">
            <v>37127</v>
          </cell>
          <cell r="B3965">
            <v>28.34</v>
          </cell>
        </row>
        <row r="3966">
          <cell r="A3966">
            <v>37130</v>
          </cell>
          <cell r="B3966">
            <v>26.69</v>
          </cell>
        </row>
        <row r="3967">
          <cell r="A3967">
            <v>37131</v>
          </cell>
          <cell r="B3967">
            <v>27.16</v>
          </cell>
        </row>
        <row r="3968">
          <cell r="A3968">
            <v>37132</v>
          </cell>
          <cell r="B3968">
            <v>27.07</v>
          </cell>
        </row>
        <row r="3969">
          <cell r="A3969">
            <v>37133</v>
          </cell>
          <cell r="B3969">
            <v>26.65</v>
          </cell>
        </row>
        <row r="3970">
          <cell r="A3970">
            <v>37134</v>
          </cell>
          <cell r="B3970">
            <v>26.65</v>
          </cell>
        </row>
        <row r="3971">
          <cell r="A3971">
            <v>37138</v>
          </cell>
          <cell r="B3971">
            <v>26.94</v>
          </cell>
        </row>
        <row r="3972">
          <cell r="A3972">
            <v>37139</v>
          </cell>
          <cell r="B3972">
            <v>27.03</v>
          </cell>
        </row>
        <row r="3973">
          <cell r="A3973">
            <v>37140</v>
          </cell>
          <cell r="B3973">
            <v>27.54</v>
          </cell>
        </row>
        <row r="3974">
          <cell r="A3974">
            <v>37141</v>
          </cell>
          <cell r="B3974">
            <v>27.99</v>
          </cell>
        </row>
        <row r="3975">
          <cell r="A3975">
            <v>37144</v>
          </cell>
          <cell r="B3975">
            <v>27.66</v>
          </cell>
        </row>
        <row r="3976">
          <cell r="A3976">
            <v>37145</v>
          </cell>
          <cell r="B3976">
            <v>27.65</v>
          </cell>
        </row>
        <row r="3977">
          <cell r="A3977">
            <v>37146</v>
          </cell>
          <cell r="B3977">
            <v>27.64</v>
          </cell>
        </row>
        <row r="3978">
          <cell r="A3978">
            <v>37147</v>
          </cell>
          <cell r="B3978">
            <v>28.58</v>
          </cell>
        </row>
        <row r="3979">
          <cell r="A3979">
            <v>37148</v>
          </cell>
          <cell r="B3979">
            <v>29.59</v>
          </cell>
        </row>
        <row r="3980">
          <cell r="A3980">
            <v>37151</v>
          </cell>
          <cell r="B3980">
            <v>28.84</v>
          </cell>
        </row>
        <row r="3981">
          <cell r="A3981">
            <v>37152</v>
          </cell>
          <cell r="B3981">
            <v>27.81</v>
          </cell>
        </row>
        <row r="3982">
          <cell r="A3982">
            <v>37153</v>
          </cell>
          <cell r="B3982">
            <v>26.73</v>
          </cell>
        </row>
        <row r="3983">
          <cell r="A3983">
            <v>37154</v>
          </cell>
          <cell r="B3983">
            <v>26.6</v>
          </cell>
        </row>
        <row r="3984">
          <cell r="A3984">
            <v>37155</v>
          </cell>
          <cell r="B3984">
            <v>25.46</v>
          </cell>
        </row>
        <row r="3985">
          <cell r="A3985">
            <v>37158</v>
          </cell>
          <cell r="B3985">
            <v>21.46</v>
          </cell>
        </row>
        <row r="3986">
          <cell r="A3986">
            <v>37159</v>
          </cell>
          <cell r="B3986">
            <v>21.63</v>
          </cell>
        </row>
        <row r="3987">
          <cell r="A3987">
            <v>37160</v>
          </cell>
          <cell r="B3987">
            <v>22.4</v>
          </cell>
        </row>
        <row r="3988">
          <cell r="A3988">
            <v>37161</v>
          </cell>
          <cell r="B3988">
            <v>22.8</v>
          </cell>
        </row>
        <row r="3989">
          <cell r="A3989">
            <v>37162</v>
          </cell>
          <cell r="B3989">
            <v>23.44</v>
          </cell>
        </row>
        <row r="3990">
          <cell r="A3990">
            <v>37165</v>
          </cell>
          <cell r="B3990">
            <v>23.12</v>
          </cell>
        </row>
        <row r="3991">
          <cell r="A3991">
            <v>37166</v>
          </cell>
          <cell r="B3991">
            <v>22.7</v>
          </cell>
        </row>
        <row r="3992">
          <cell r="A3992">
            <v>37167</v>
          </cell>
          <cell r="B3992">
            <v>22.17</v>
          </cell>
        </row>
        <row r="3993">
          <cell r="A3993">
            <v>37168</v>
          </cell>
          <cell r="B3993">
            <v>22.7</v>
          </cell>
        </row>
        <row r="3994">
          <cell r="A3994">
            <v>37169</v>
          </cell>
          <cell r="B3994">
            <v>22.32</v>
          </cell>
        </row>
        <row r="3995">
          <cell r="A3995">
            <v>37172</v>
          </cell>
          <cell r="B3995">
            <v>22.25</v>
          </cell>
        </row>
        <row r="3996">
          <cell r="A3996">
            <v>37173</v>
          </cell>
          <cell r="B3996">
            <v>22.55</v>
          </cell>
        </row>
        <row r="3997">
          <cell r="A3997">
            <v>37174</v>
          </cell>
          <cell r="B3997">
            <v>22.51</v>
          </cell>
        </row>
        <row r="3998">
          <cell r="A3998">
            <v>37175</v>
          </cell>
          <cell r="B3998">
            <v>23.49</v>
          </cell>
        </row>
        <row r="3999">
          <cell r="A3999">
            <v>37176</v>
          </cell>
          <cell r="B3999">
            <v>22.49</v>
          </cell>
        </row>
        <row r="4000">
          <cell r="A4000">
            <v>37179</v>
          </cell>
          <cell r="B4000">
            <v>22.37</v>
          </cell>
        </row>
        <row r="4001">
          <cell r="A4001">
            <v>37180</v>
          </cell>
          <cell r="B4001">
            <v>22.01</v>
          </cell>
        </row>
        <row r="4002">
          <cell r="A4002">
            <v>37181</v>
          </cell>
          <cell r="B4002">
            <v>21.89</v>
          </cell>
        </row>
        <row r="4003">
          <cell r="A4003">
            <v>37182</v>
          </cell>
          <cell r="B4003">
            <v>21.33</v>
          </cell>
        </row>
        <row r="4004">
          <cell r="A4004">
            <v>37183</v>
          </cell>
          <cell r="B4004">
            <v>21.99</v>
          </cell>
        </row>
        <row r="4005">
          <cell r="A4005">
            <v>37186</v>
          </cell>
          <cell r="B4005">
            <v>21.78</v>
          </cell>
        </row>
        <row r="4006">
          <cell r="A4006">
            <v>37187</v>
          </cell>
          <cell r="B4006">
            <v>21.28</v>
          </cell>
        </row>
        <row r="4007">
          <cell r="A4007">
            <v>37188</v>
          </cell>
          <cell r="B4007">
            <v>22</v>
          </cell>
        </row>
        <row r="4008">
          <cell r="A4008">
            <v>37189</v>
          </cell>
          <cell r="B4008">
            <v>21.75</v>
          </cell>
        </row>
        <row r="4009">
          <cell r="A4009">
            <v>37190</v>
          </cell>
          <cell r="B4009">
            <v>22.07</v>
          </cell>
        </row>
        <row r="4010">
          <cell r="A4010">
            <v>37193</v>
          </cell>
          <cell r="B4010">
            <v>22.1</v>
          </cell>
        </row>
        <row r="4011">
          <cell r="A4011">
            <v>37194</v>
          </cell>
          <cell r="B4011">
            <v>21.83</v>
          </cell>
        </row>
        <row r="4012">
          <cell r="A4012">
            <v>37195</v>
          </cell>
          <cell r="B4012">
            <v>21.2</v>
          </cell>
        </row>
        <row r="4013">
          <cell r="A4013">
            <v>37196</v>
          </cell>
          <cell r="B4013">
            <v>20.47</v>
          </cell>
        </row>
        <row r="4014">
          <cell r="A4014">
            <v>37197</v>
          </cell>
          <cell r="B4014">
            <v>20.239999999999998</v>
          </cell>
        </row>
        <row r="4015">
          <cell r="A4015">
            <v>37200</v>
          </cell>
          <cell r="B4015">
            <v>20</v>
          </cell>
        </row>
        <row r="4016">
          <cell r="A4016">
            <v>37201</v>
          </cell>
          <cell r="B4016">
            <v>19.93</v>
          </cell>
        </row>
        <row r="4017">
          <cell r="A4017">
            <v>37202</v>
          </cell>
          <cell r="B4017">
            <v>20.11</v>
          </cell>
        </row>
        <row r="4018">
          <cell r="A4018">
            <v>37203</v>
          </cell>
          <cell r="B4018">
            <v>21.21</v>
          </cell>
        </row>
        <row r="4019">
          <cell r="A4019">
            <v>37204</v>
          </cell>
          <cell r="B4019">
            <v>22.23</v>
          </cell>
        </row>
        <row r="4020">
          <cell r="A4020">
            <v>37207</v>
          </cell>
          <cell r="B4020">
            <v>21.26</v>
          </cell>
        </row>
        <row r="4021">
          <cell r="A4021">
            <v>37208</v>
          </cell>
          <cell r="B4021">
            <v>21.56</v>
          </cell>
        </row>
        <row r="4022">
          <cell r="A4022">
            <v>37209</v>
          </cell>
          <cell r="B4022">
            <v>19.63</v>
          </cell>
        </row>
        <row r="4023">
          <cell r="A4023">
            <v>37210</v>
          </cell>
          <cell r="B4023">
            <v>17.5</v>
          </cell>
        </row>
        <row r="4024">
          <cell r="A4024">
            <v>37211</v>
          </cell>
          <cell r="B4024">
            <v>18.09</v>
          </cell>
        </row>
        <row r="4025">
          <cell r="A4025">
            <v>37214</v>
          </cell>
          <cell r="B4025">
            <v>17.739999999999998</v>
          </cell>
        </row>
        <row r="4026">
          <cell r="A4026">
            <v>37215</v>
          </cell>
          <cell r="B4026">
            <v>18.71</v>
          </cell>
        </row>
        <row r="4027">
          <cell r="A4027">
            <v>37216</v>
          </cell>
          <cell r="B4027">
            <v>18.38</v>
          </cell>
        </row>
        <row r="4028">
          <cell r="A4028">
            <v>37221</v>
          </cell>
          <cell r="B4028">
            <v>18.690000000000001</v>
          </cell>
        </row>
        <row r="4029">
          <cell r="A4029">
            <v>37222</v>
          </cell>
          <cell r="B4029">
            <v>19.57</v>
          </cell>
        </row>
        <row r="4030">
          <cell r="A4030">
            <v>37223</v>
          </cell>
          <cell r="B4030">
            <v>19.37</v>
          </cell>
        </row>
        <row r="4031">
          <cell r="A4031">
            <v>37224</v>
          </cell>
          <cell r="B4031">
            <v>18.55</v>
          </cell>
        </row>
        <row r="4032">
          <cell r="A4032">
            <v>37225</v>
          </cell>
          <cell r="B4032">
            <v>19.46</v>
          </cell>
        </row>
        <row r="4033">
          <cell r="A4033">
            <v>37228</v>
          </cell>
          <cell r="B4033">
            <v>20.27</v>
          </cell>
        </row>
        <row r="4034">
          <cell r="A4034">
            <v>37229</v>
          </cell>
          <cell r="B4034">
            <v>19.71</v>
          </cell>
        </row>
        <row r="4035">
          <cell r="A4035">
            <v>37230</v>
          </cell>
          <cell r="B4035">
            <v>19.62</v>
          </cell>
        </row>
        <row r="4036">
          <cell r="A4036">
            <v>37231</v>
          </cell>
          <cell r="B4036">
            <v>18.690000000000001</v>
          </cell>
        </row>
        <row r="4037">
          <cell r="A4037">
            <v>37232</v>
          </cell>
          <cell r="B4037">
            <v>19.079999999999998</v>
          </cell>
        </row>
        <row r="4038">
          <cell r="A4038">
            <v>37235</v>
          </cell>
          <cell r="B4038">
            <v>18.32</v>
          </cell>
        </row>
        <row r="4039">
          <cell r="A4039">
            <v>37236</v>
          </cell>
          <cell r="B4039">
            <v>18.04</v>
          </cell>
        </row>
        <row r="4040">
          <cell r="A4040">
            <v>37237</v>
          </cell>
          <cell r="B4040">
            <v>18.38</v>
          </cell>
        </row>
        <row r="4041">
          <cell r="A4041">
            <v>37238</v>
          </cell>
          <cell r="B4041">
            <v>18.2</v>
          </cell>
        </row>
        <row r="4042">
          <cell r="A4042">
            <v>37239</v>
          </cell>
          <cell r="B4042">
            <v>19.309999999999999</v>
          </cell>
        </row>
        <row r="4043">
          <cell r="A4043">
            <v>37242</v>
          </cell>
          <cell r="B4043">
            <v>19.28</v>
          </cell>
        </row>
        <row r="4044">
          <cell r="A4044">
            <v>37243</v>
          </cell>
          <cell r="B4044">
            <v>19.38</v>
          </cell>
        </row>
        <row r="4045">
          <cell r="A4045">
            <v>37244</v>
          </cell>
          <cell r="B4045">
            <v>19.37</v>
          </cell>
        </row>
        <row r="4046">
          <cell r="A4046">
            <v>37245</v>
          </cell>
          <cell r="B4046">
            <v>18.670000000000002</v>
          </cell>
        </row>
        <row r="4047">
          <cell r="A4047">
            <v>37246</v>
          </cell>
          <cell r="B4047">
            <v>19.3</v>
          </cell>
        </row>
        <row r="4048">
          <cell r="A4048">
            <v>37251</v>
          </cell>
          <cell r="B4048">
            <v>21.32</v>
          </cell>
        </row>
        <row r="4049">
          <cell r="A4049">
            <v>37252</v>
          </cell>
          <cell r="B4049">
            <v>21.07</v>
          </cell>
        </row>
        <row r="4050">
          <cell r="A4050">
            <v>37253</v>
          </cell>
          <cell r="B4050">
            <v>20.420000000000002</v>
          </cell>
        </row>
        <row r="4051">
          <cell r="A4051">
            <v>37256</v>
          </cell>
          <cell r="B4051">
            <v>19.96</v>
          </cell>
        </row>
        <row r="4052">
          <cell r="A4052">
            <v>37258</v>
          </cell>
          <cell r="B4052">
            <v>21.13</v>
          </cell>
        </row>
        <row r="4053">
          <cell r="A4053">
            <v>37259</v>
          </cell>
          <cell r="B4053">
            <v>20.65</v>
          </cell>
        </row>
        <row r="4054">
          <cell r="A4054">
            <v>37260</v>
          </cell>
          <cell r="B4054">
            <v>21.47</v>
          </cell>
        </row>
        <row r="4055">
          <cell r="A4055">
            <v>37263</v>
          </cell>
          <cell r="B4055">
            <v>21.42</v>
          </cell>
        </row>
        <row r="4056">
          <cell r="A4056">
            <v>37264</v>
          </cell>
          <cell r="B4056">
            <v>20.82</v>
          </cell>
        </row>
        <row r="4057">
          <cell r="A4057">
            <v>37265</v>
          </cell>
          <cell r="B4057">
            <v>20.32</v>
          </cell>
        </row>
        <row r="4058">
          <cell r="A4058">
            <v>37266</v>
          </cell>
          <cell r="B4058">
            <v>20.48</v>
          </cell>
        </row>
        <row r="4059">
          <cell r="A4059">
            <v>37267</v>
          </cell>
          <cell r="B4059">
            <v>19.670000000000002</v>
          </cell>
        </row>
        <row r="4060">
          <cell r="A4060">
            <v>37270</v>
          </cell>
          <cell r="B4060">
            <v>18.88</v>
          </cell>
        </row>
        <row r="4061">
          <cell r="A4061">
            <v>37271</v>
          </cell>
          <cell r="B4061">
            <v>18.989999999999998</v>
          </cell>
        </row>
        <row r="4062">
          <cell r="A4062">
            <v>37272</v>
          </cell>
          <cell r="B4062">
            <v>18.96</v>
          </cell>
        </row>
        <row r="4063">
          <cell r="A4063">
            <v>37273</v>
          </cell>
          <cell r="B4063">
            <v>18.2</v>
          </cell>
        </row>
        <row r="4064">
          <cell r="A4064">
            <v>37274</v>
          </cell>
          <cell r="B4064">
            <v>18.02</v>
          </cell>
        </row>
        <row r="4065">
          <cell r="A4065">
            <v>37278</v>
          </cell>
          <cell r="B4065">
            <v>18.36</v>
          </cell>
        </row>
        <row r="4066">
          <cell r="A4066">
            <v>37279</v>
          </cell>
          <cell r="B4066">
            <v>19.100000000000001</v>
          </cell>
        </row>
        <row r="4067">
          <cell r="A4067">
            <v>37280</v>
          </cell>
          <cell r="B4067">
            <v>19.57</v>
          </cell>
        </row>
        <row r="4068">
          <cell r="A4068">
            <v>37281</v>
          </cell>
          <cell r="B4068">
            <v>19.8</v>
          </cell>
        </row>
        <row r="4069">
          <cell r="A4069">
            <v>37284</v>
          </cell>
          <cell r="B4069">
            <v>20.05</v>
          </cell>
        </row>
        <row r="4070">
          <cell r="A4070">
            <v>37285</v>
          </cell>
          <cell r="B4070">
            <v>19.3</v>
          </cell>
        </row>
        <row r="4071">
          <cell r="A4071">
            <v>37286</v>
          </cell>
          <cell r="B4071">
            <v>19.11</v>
          </cell>
        </row>
        <row r="4072">
          <cell r="A4072">
            <v>37287</v>
          </cell>
          <cell r="B4072">
            <v>19.71</v>
          </cell>
        </row>
        <row r="4073">
          <cell r="A4073">
            <v>37288</v>
          </cell>
          <cell r="B4073">
            <v>20.399999999999999</v>
          </cell>
        </row>
        <row r="4074">
          <cell r="A4074">
            <v>37291</v>
          </cell>
          <cell r="B4074">
            <v>20.02</v>
          </cell>
        </row>
        <row r="4075">
          <cell r="A4075">
            <v>37292</v>
          </cell>
          <cell r="B4075">
            <v>20.059999999999999</v>
          </cell>
        </row>
        <row r="4076">
          <cell r="A4076">
            <v>37293</v>
          </cell>
          <cell r="B4076">
            <v>19.77</v>
          </cell>
        </row>
        <row r="4077">
          <cell r="A4077">
            <v>37294</v>
          </cell>
          <cell r="B4077">
            <v>19.75</v>
          </cell>
        </row>
        <row r="4078">
          <cell r="A4078">
            <v>37295</v>
          </cell>
          <cell r="B4078">
            <v>20.25</v>
          </cell>
        </row>
        <row r="4079">
          <cell r="A4079">
            <v>37298</v>
          </cell>
          <cell r="B4079">
            <v>21.29</v>
          </cell>
        </row>
        <row r="4080">
          <cell r="A4080">
            <v>37299</v>
          </cell>
          <cell r="B4080">
            <v>20.76</v>
          </cell>
        </row>
        <row r="4081">
          <cell r="A4081">
            <v>37300</v>
          </cell>
          <cell r="B4081">
            <v>21.19</v>
          </cell>
        </row>
        <row r="4082">
          <cell r="A4082">
            <v>37301</v>
          </cell>
          <cell r="B4082">
            <v>21.19</v>
          </cell>
        </row>
        <row r="4083">
          <cell r="A4083">
            <v>37302</v>
          </cell>
          <cell r="B4083">
            <v>21.47</v>
          </cell>
        </row>
        <row r="4084">
          <cell r="A4084">
            <v>37306</v>
          </cell>
          <cell r="B4084">
            <v>20.77</v>
          </cell>
        </row>
        <row r="4085">
          <cell r="A4085">
            <v>37307</v>
          </cell>
          <cell r="B4085">
            <v>20.309999999999999</v>
          </cell>
        </row>
        <row r="4086">
          <cell r="A4086">
            <v>37308</v>
          </cell>
          <cell r="B4086">
            <v>20.81</v>
          </cell>
        </row>
        <row r="4087">
          <cell r="A4087">
            <v>37309</v>
          </cell>
          <cell r="B4087">
            <v>20.92</v>
          </cell>
        </row>
        <row r="4088">
          <cell r="A4088">
            <v>37312</v>
          </cell>
          <cell r="B4088">
            <v>20.239999999999998</v>
          </cell>
        </row>
        <row r="4089">
          <cell r="A4089">
            <v>37313</v>
          </cell>
          <cell r="B4089">
            <v>21.37</v>
          </cell>
        </row>
        <row r="4090">
          <cell r="A4090">
            <v>37314</v>
          </cell>
          <cell r="B4090">
            <v>21.4</v>
          </cell>
        </row>
        <row r="4091">
          <cell r="A4091">
            <v>37315</v>
          </cell>
          <cell r="B4091">
            <v>21.78</v>
          </cell>
        </row>
        <row r="4092">
          <cell r="A4092">
            <v>37316</v>
          </cell>
          <cell r="B4092">
            <v>22.37</v>
          </cell>
        </row>
        <row r="4093">
          <cell r="A4093">
            <v>37319</v>
          </cell>
          <cell r="B4093">
            <v>22.55</v>
          </cell>
        </row>
        <row r="4094">
          <cell r="A4094">
            <v>37320</v>
          </cell>
          <cell r="B4094">
            <v>23.18</v>
          </cell>
        </row>
        <row r="4095">
          <cell r="A4095">
            <v>37321</v>
          </cell>
          <cell r="B4095">
            <v>23.32</v>
          </cell>
        </row>
        <row r="4096">
          <cell r="A4096">
            <v>37322</v>
          </cell>
          <cell r="B4096">
            <v>23.62</v>
          </cell>
        </row>
        <row r="4097">
          <cell r="A4097">
            <v>37323</v>
          </cell>
          <cell r="B4097">
            <v>23.87</v>
          </cell>
        </row>
        <row r="4098">
          <cell r="A4098">
            <v>37326</v>
          </cell>
          <cell r="B4098">
            <v>24.36</v>
          </cell>
        </row>
        <row r="4099">
          <cell r="A4099">
            <v>37327</v>
          </cell>
          <cell r="B4099">
            <v>24.55</v>
          </cell>
        </row>
        <row r="4100">
          <cell r="A4100">
            <v>37328</v>
          </cell>
          <cell r="B4100">
            <v>24.14</v>
          </cell>
        </row>
        <row r="4101">
          <cell r="A4101">
            <v>37329</v>
          </cell>
          <cell r="B4101">
            <v>24.48</v>
          </cell>
        </row>
        <row r="4102">
          <cell r="A4102">
            <v>37330</v>
          </cell>
          <cell r="B4102">
            <v>24.47</v>
          </cell>
        </row>
        <row r="4103">
          <cell r="A4103">
            <v>37333</v>
          </cell>
          <cell r="B4103">
            <v>25.03</v>
          </cell>
        </row>
        <row r="4104">
          <cell r="A4104">
            <v>37334</v>
          </cell>
          <cell r="B4104">
            <v>25.02</v>
          </cell>
        </row>
        <row r="4105">
          <cell r="A4105">
            <v>37335</v>
          </cell>
          <cell r="B4105">
            <v>24.92</v>
          </cell>
        </row>
        <row r="4106">
          <cell r="A4106">
            <v>37336</v>
          </cell>
          <cell r="B4106">
            <v>25.74</v>
          </cell>
        </row>
        <row r="4107">
          <cell r="A4107">
            <v>37337</v>
          </cell>
          <cell r="B4107">
            <v>25.56</v>
          </cell>
        </row>
        <row r="4108">
          <cell r="A4108">
            <v>37340</v>
          </cell>
          <cell r="B4108">
            <v>25.69</v>
          </cell>
        </row>
        <row r="4109">
          <cell r="A4109">
            <v>37341</v>
          </cell>
          <cell r="B4109">
            <v>25.75</v>
          </cell>
        </row>
        <row r="4110">
          <cell r="A4110">
            <v>37342</v>
          </cell>
          <cell r="B4110">
            <v>25.79</v>
          </cell>
        </row>
        <row r="4111">
          <cell r="A4111">
            <v>37343</v>
          </cell>
          <cell r="B4111">
            <v>26.21</v>
          </cell>
        </row>
        <row r="4112">
          <cell r="A4112">
            <v>37347</v>
          </cell>
          <cell r="B4112">
            <v>26.82</v>
          </cell>
        </row>
        <row r="4113">
          <cell r="A4113">
            <v>37348</v>
          </cell>
          <cell r="B4113">
            <v>27.75</v>
          </cell>
        </row>
        <row r="4114">
          <cell r="A4114">
            <v>37349</v>
          </cell>
          <cell r="B4114">
            <v>27.55</v>
          </cell>
        </row>
        <row r="4115">
          <cell r="A4115">
            <v>37350</v>
          </cell>
          <cell r="B4115">
            <v>26.64</v>
          </cell>
        </row>
        <row r="4116">
          <cell r="A4116">
            <v>37351</v>
          </cell>
          <cell r="B4116">
            <v>26.21</v>
          </cell>
        </row>
        <row r="4117">
          <cell r="A4117">
            <v>37354</v>
          </cell>
          <cell r="B4117">
            <v>26.16</v>
          </cell>
        </row>
        <row r="4118">
          <cell r="A4118">
            <v>37355</v>
          </cell>
          <cell r="B4118">
            <v>25.45</v>
          </cell>
        </row>
        <row r="4119">
          <cell r="A4119">
            <v>37356</v>
          </cell>
          <cell r="B4119">
            <v>26.15</v>
          </cell>
        </row>
        <row r="4120">
          <cell r="A4120">
            <v>37357</v>
          </cell>
          <cell r="B4120">
            <v>24.93</v>
          </cell>
        </row>
        <row r="4121">
          <cell r="A4121">
            <v>37358</v>
          </cell>
          <cell r="B4121">
            <v>23.51</v>
          </cell>
        </row>
        <row r="4122">
          <cell r="A4122">
            <v>37361</v>
          </cell>
          <cell r="B4122">
            <v>24.53</v>
          </cell>
        </row>
        <row r="4123">
          <cell r="A4123">
            <v>37362</v>
          </cell>
          <cell r="B4123">
            <v>24.92</v>
          </cell>
        </row>
        <row r="4124">
          <cell r="A4124">
            <v>37363</v>
          </cell>
          <cell r="B4124">
            <v>25.94</v>
          </cell>
        </row>
        <row r="4125">
          <cell r="A4125">
            <v>37364</v>
          </cell>
          <cell r="B4125">
            <v>25.86</v>
          </cell>
        </row>
        <row r="4126">
          <cell r="A4126">
            <v>37365</v>
          </cell>
          <cell r="B4126">
            <v>26.43</v>
          </cell>
        </row>
        <row r="4127">
          <cell r="A4127">
            <v>37368</v>
          </cell>
          <cell r="B4127">
            <v>26.28</v>
          </cell>
        </row>
        <row r="4128">
          <cell r="A4128">
            <v>37369</v>
          </cell>
          <cell r="B4128">
            <v>26.28</v>
          </cell>
        </row>
        <row r="4129">
          <cell r="A4129">
            <v>37370</v>
          </cell>
          <cell r="B4129">
            <v>26.28</v>
          </cell>
        </row>
        <row r="4130">
          <cell r="A4130">
            <v>37371</v>
          </cell>
          <cell r="B4130">
            <v>26.36</v>
          </cell>
        </row>
        <row r="4131">
          <cell r="A4131">
            <v>37372</v>
          </cell>
          <cell r="B4131">
            <v>27.12</v>
          </cell>
        </row>
        <row r="4132">
          <cell r="A4132">
            <v>37375</v>
          </cell>
          <cell r="B4132">
            <v>27.45</v>
          </cell>
        </row>
        <row r="4133">
          <cell r="A4133">
            <v>37376</v>
          </cell>
          <cell r="B4133">
            <v>27.32</v>
          </cell>
        </row>
        <row r="4134">
          <cell r="A4134">
            <v>37377</v>
          </cell>
          <cell r="B4134">
            <v>26.58</v>
          </cell>
        </row>
        <row r="4135">
          <cell r="A4135">
            <v>37378</v>
          </cell>
          <cell r="B4135">
            <v>26.31</v>
          </cell>
        </row>
        <row r="4136">
          <cell r="A4136">
            <v>37379</v>
          </cell>
          <cell r="B4136">
            <v>26.75</v>
          </cell>
        </row>
        <row r="4137">
          <cell r="A4137">
            <v>37382</v>
          </cell>
          <cell r="B4137">
            <v>26.11</v>
          </cell>
        </row>
        <row r="4138">
          <cell r="A4138">
            <v>37383</v>
          </cell>
          <cell r="B4138">
            <v>26.79</v>
          </cell>
        </row>
        <row r="4139">
          <cell r="A4139">
            <v>37384</v>
          </cell>
          <cell r="B4139">
            <v>27.76</v>
          </cell>
        </row>
        <row r="4140">
          <cell r="A4140">
            <v>37385</v>
          </cell>
          <cell r="B4140">
            <v>27.78</v>
          </cell>
        </row>
        <row r="4141">
          <cell r="A4141">
            <v>37386</v>
          </cell>
          <cell r="B4141">
            <v>27.92</v>
          </cell>
        </row>
        <row r="4142">
          <cell r="A4142">
            <v>37389</v>
          </cell>
          <cell r="B4142">
            <v>28.62</v>
          </cell>
        </row>
        <row r="4143">
          <cell r="A4143">
            <v>37390</v>
          </cell>
          <cell r="B4143">
            <v>29.17</v>
          </cell>
        </row>
        <row r="4144">
          <cell r="A4144">
            <v>37391</v>
          </cell>
          <cell r="B4144">
            <v>28.17</v>
          </cell>
        </row>
        <row r="4145">
          <cell r="A4145">
            <v>37392</v>
          </cell>
          <cell r="B4145">
            <v>28</v>
          </cell>
        </row>
        <row r="4146">
          <cell r="A4146">
            <v>37393</v>
          </cell>
          <cell r="B4146">
            <v>28.19</v>
          </cell>
        </row>
        <row r="4147">
          <cell r="A4147">
            <v>37396</v>
          </cell>
          <cell r="B4147">
            <v>28.24</v>
          </cell>
        </row>
        <row r="4148">
          <cell r="A4148">
            <v>37397</v>
          </cell>
          <cell r="B4148">
            <v>27.35</v>
          </cell>
        </row>
        <row r="4149">
          <cell r="A4149">
            <v>37398</v>
          </cell>
          <cell r="B4149">
            <v>27.01</v>
          </cell>
        </row>
        <row r="4150">
          <cell r="A4150">
            <v>37399</v>
          </cell>
          <cell r="B4150">
            <v>26.6</v>
          </cell>
        </row>
        <row r="4151">
          <cell r="A4151">
            <v>37400</v>
          </cell>
          <cell r="B4151">
            <v>26.69</v>
          </cell>
        </row>
        <row r="4152">
          <cell r="A4152">
            <v>37404</v>
          </cell>
          <cell r="B4152">
            <v>25.08</v>
          </cell>
        </row>
        <row r="4153">
          <cell r="A4153">
            <v>37405</v>
          </cell>
          <cell r="B4153">
            <v>25.64</v>
          </cell>
        </row>
        <row r="4154">
          <cell r="A4154">
            <v>37406</v>
          </cell>
          <cell r="B4154">
            <v>24.78</v>
          </cell>
        </row>
        <row r="4155">
          <cell r="A4155">
            <v>37407</v>
          </cell>
          <cell r="B4155">
            <v>25.37</v>
          </cell>
        </row>
        <row r="4156">
          <cell r="A4156">
            <v>37410</v>
          </cell>
          <cell r="B4156">
            <v>25.1</v>
          </cell>
        </row>
        <row r="4157">
          <cell r="A4157">
            <v>37411</v>
          </cell>
          <cell r="B4157">
            <v>25.32</v>
          </cell>
        </row>
        <row r="4158">
          <cell r="A4158">
            <v>37412</v>
          </cell>
          <cell r="B4158">
            <v>25.02</v>
          </cell>
        </row>
        <row r="4159">
          <cell r="A4159">
            <v>37413</v>
          </cell>
          <cell r="B4159">
            <v>24.89</v>
          </cell>
        </row>
        <row r="4160">
          <cell r="A4160">
            <v>37414</v>
          </cell>
          <cell r="B4160">
            <v>24.72</v>
          </cell>
        </row>
        <row r="4161">
          <cell r="A4161">
            <v>37417</v>
          </cell>
          <cell r="B4161">
            <v>24.24</v>
          </cell>
        </row>
        <row r="4162">
          <cell r="A4162">
            <v>37418</v>
          </cell>
          <cell r="B4162">
            <v>24.21</v>
          </cell>
        </row>
        <row r="4163">
          <cell r="A4163">
            <v>37419</v>
          </cell>
          <cell r="B4163">
            <v>24.79</v>
          </cell>
        </row>
        <row r="4164">
          <cell r="A4164">
            <v>37420</v>
          </cell>
          <cell r="B4164">
            <v>25.54</v>
          </cell>
        </row>
        <row r="4165">
          <cell r="A4165">
            <v>37421</v>
          </cell>
          <cell r="B4165">
            <v>25.9</v>
          </cell>
        </row>
        <row r="4166">
          <cell r="A4166">
            <v>37424</v>
          </cell>
          <cell r="B4166">
            <v>25.98</v>
          </cell>
        </row>
        <row r="4167">
          <cell r="A4167">
            <v>37425</v>
          </cell>
          <cell r="B4167">
            <v>25.36</v>
          </cell>
        </row>
        <row r="4168">
          <cell r="A4168">
            <v>37426</v>
          </cell>
          <cell r="B4168">
            <v>25.57</v>
          </cell>
        </row>
        <row r="4169">
          <cell r="A4169">
            <v>37427</v>
          </cell>
          <cell r="B4169">
            <v>25.62</v>
          </cell>
        </row>
        <row r="4170">
          <cell r="A4170">
            <v>37428</v>
          </cell>
          <cell r="B4170">
            <v>25.51</v>
          </cell>
        </row>
        <row r="4171">
          <cell r="A4171">
            <v>37431</v>
          </cell>
          <cell r="B4171">
            <v>26.31</v>
          </cell>
        </row>
        <row r="4172">
          <cell r="A4172">
            <v>37432</v>
          </cell>
          <cell r="B4172">
            <v>26.06</v>
          </cell>
        </row>
        <row r="4173">
          <cell r="A4173">
            <v>37433</v>
          </cell>
          <cell r="B4173">
            <v>26.67</v>
          </cell>
        </row>
        <row r="4174">
          <cell r="A4174">
            <v>37434</v>
          </cell>
          <cell r="B4174">
            <v>26.77</v>
          </cell>
        </row>
        <row r="4175">
          <cell r="A4175">
            <v>37435</v>
          </cell>
          <cell r="B4175">
            <v>26.79</v>
          </cell>
        </row>
        <row r="4176">
          <cell r="A4176">
            <v>37438</v>
          </cell>
          <cell r="B4176">
            <v>26.79</v>
          </cell>
        </row>
        <row r="4177">
          <cell r="A4177">
            <v>37439</v>
          </cell>
          <cell r="B4177">
            <v>26.83</v>
          </cell>
        </row>
        <row r="4178">
          <cell r="A4178">
            <v>37440</v>
          </cell>
          <cell r="B4178">
            <v>26.82</v>
          </cell>
        </row>
        <row r="4179">
          <cell r="A4179">
            <v>37445</v>
          </cell>
          <cell r="B4179">
            <v>26.14</v>
          </cell>
        </row>
        <row r="4180">
          <cell r="A4180">
            <v>37446</v>
          </cell>
          <cell r="B4180">
            <v>26.16</v>
          </cell>
        </row>
        <row r="4181">
          <cell r="A4181">
            <v>37447</v>
          </cell>
          <cell r="B4181">
            <v>26.73</v>
          </cell>
        </row>
        <row r="4182">
          <cell r="A4182">
            <v>37448</v>
          </cell>
          <cell r="B4182">
            <v>27.01</v>
          </cell>
        </row>
        <row r="4183">
          <cell r="A4183">
            <v>37449</v>
          </cell>
          <cell r="B4183">
            <v>27.48</v>
          </cell>
        </row>
        <row r="4184">
          <cell r="A4184">
            <v>37452</v>
          </cell>
          <cell r="B4184">
            <v>27.23</v>
          </cell>
        </row>
        <row r="4185">
          <cell r="A4185">
            <v>37453</v>
          </cell>
          <cell r="B4185">
            <v>27.68</v>
          </cell>
        </row>
        <row r="4186">
          <cell r="A4186">
            <v>37454</v>
          </cell>
          <cell r="B4186">
            <v>27.88</v>
          </cell>
        </row>
        <row r="4187">
          <cell r="A4187">
            <v>37455</v>
          </cell>
          <cell r="B4187">
            <v>27.5</v>
          </cell>
        </row>
        <row r="4188">
          <cell r="A4188">
            <v>37456</v>
          </cell>
          <cell r="B4188">
            <v>27.83</v>
          </cell>
        </row>
        <row r="4189">
          <cell r="A4189">
            <v>37459</v>
          </cell>
          <cell r="B4189">
            <v>26.61</v>
          </cell>
        </row>
        <row r="4190">
          <cell r="A4190">
            <v>37460</v>
          </cell>
          <cell r="B4190">
            <v>26.61</v>
          </cell>
        </row>
        <row r="4191">
          <cell r="A4191">
            <v>37461</v>
          </cell>
          <cell r="B4191">
            <v>26.78</v>
          </cell>
        </row>
        <row r="4192">
          <cell r="A4192">
            <v>37462</v>
          </cell>
          <cell r="B4192">
            <v>26.67</v>
          </cell>
        </row>
        <row r="4193">
          <cell r="A4193">
            <v>37463</v>
          </cell>
          <cell r="B4193">
            <v>26.55</v>
          </cell>
        </row>
        <row r="4194">
          <cell r="A4194">
            <v>37466</v>
          </cell>
          <cell r="B4194">
            <v>26.54</v>
          </cell>
        </row>
        <row r="4195">
          <cell r="A4195">
            <v>37467</v>
          </cell>
          <cell r="B4195">
            <v>27.43</v>
          </cell>
        </row>
        <row r="4196">
          <cell r="A4196">
            <v>37468</v>
          </cell>
          <cell r="B4196">
            <v>27.02</v>
          </cell>
        </row>
        <row r="4197">
          <cell r="A4197">
            <v>37469</v>
          </cell>
          <cell r="B4197">
            <v>26.51</v>
          </cell>
        </row>
        <row r="4198">
          <cell r="A4198">
            <v>37470</v>
          </cell>
          <cell r="B4198">
            <v>26.87</v>
          </cell>
        </row>
        <row r="4199">
          <cell r="A4199">
            <v>37473</v>
          </cell>
          <cell r="B4199">
            <v>26.55</v>
          </cell>
        </row>
        <row r="4200">
          <cell r="A4200">
            <v>37474</v>
          </cell>
          <cell r="B4200">
            <v>27.18</v>
          </cell>
        </row>
        <row r="4201">
          <cell r="A4201">
            <v>37475</v>
          </cell>
          <cell r="B4201">
            <v>26.58</v>
          </cell>
        </row>
        <row r="4202">
          <cell r="A4202">
            <v>37476</v>
          </cell>
          <cell r="B4202">
            <v>26.67</v>
          </cell>
        </row>
        <row r="4203">
          <cell r="A4203">
            <v>37477</v>
          </cell>
          <cell r="B4203">
            <v>26.87</v>
          </cell>
        </row>
        <row r="4204">
          <cell r="A4204">
            <v>37480</v>
          </cell>
          <cell r="B4204">
            <v>27.84</v>
          </cell>
        </row>
        <row r="4205">
          <cell r="A4205">
            <v>37481</v>
          </cell>
          <cell r="B4205">
            <v>28.35</v>
          </cell>
        </row>
        <row r="4206">
          <cell r="A4206">
            <v>37482</v>
          </cell>
          <cell r="B4206">
            <v>28.19</v>
          </cell>
        </row>
        <row r="4207">
          <cell r="A4207">
            <v>37483</v>
          </cell>
          <cell r="B4207">
            <v>28.99</v>
          </cell>
        </row>
        <row r="4208">
          <cell r="A4208">
            <v>37484</v>
          </cell>
          <cell r="B4208">
            <v>29.24</v>
          </cell>
        </row>
        <row r="4209">
          <cell r="A4209">
            <v>37487</v>
          </cell>
          <cell r="B4209">
            <v>29.86</v>
          </cell>
        </row>
        <row r="4210">
          <cell r="A4210">
            <v>37488</v>
          </cell>
          <cell r="B4210">
            <v>30.12</v>
          </cell>
        </row>
        <row r="4211">
          <cell r="A4211">
            <v>37489</v>
          </cell>
          <cell r="B4211">
            <v>30.37</v>
          </cell>
        </row>
        <row r="4212">
          <cell r="A4212">
            <v>37490</v>
          </cell>
          <cell r="B4212">
            <v>30.11</v>
          </cell>
        </row>
        <row r="4213">
          <cell r="A4213">
            <v>37491</v>
          </cell>
          <cell r="B4213">
            <v>29.99</v>
          </cell>
        </row>
        <row r="4214">
          <cell r="A4214">
            <v>37494</v>
          </cell>
          <cell r="B4214">
            <v>29.23</v>
          </cell>
        </row>
        <row r="4215">
          <cell r="A4215">
            <v>37495</v>
          </cell>
          <cell r="B4215">
            <v>28.84</v>
          </cell>
        </row>
        <row r="4216">
          <cell r="A4216">
            <v>37496</v>
          </cell>
          <cell r="B4216">
            <v>28.31</v>
          </cell>
        </row>
        <row r="4217">
          <cell r="A4217">
            <v>37497</v>
          </cell>
          <cell r="B4217">
            <v>28.83</v>
          </cell>
        </row>
        <row r="4218">
          <cell r="A4218">
            <v>37498</v>
          </cell>
          <cell r="B4218">
            <v>28.97</v>
          </cell>
        </row>
        <row r="4219">
          <cell r="A4219">
            <v>37502</v>
          </cell>
          <cell r="B4219">
            <v>27.76</v>
          </cell>
        </row>
        <row r="4220">
          <cell r="A4220">
            <v>37503</v>
          </cell>
          <cell r="B4220">
            <v>28.28</v>
          </cell>
        </row>
        <row r="4221">
          <cell r="A4221">
            <v>37504</v>
          </cell>
          <cell r="B4221">
            <v>29.06</v>
          </cell>
        </row>
        <row r="4222">
          <cell r="A4222">
            <v>37505</v>
          </cell>
          <cell r="B4222">
            <v>29.51</v>
          </cell>
        </row>
        <row r="4223">
          <cell r="A4223">
            <v>37508</v>
          </cell>
          <cell r="B4223">
            <v>29.8</v>
          </cell>
        </row>
        <row r="4224">
          <cell r="A4224">
            <v>37509</v>
          </cell>
          <cell r="B4224">
            <v>29.62</v>
          </cell>
        </row>
        <row r="4225">
          <cell r="A4225">
            <v>37510</v>
          </cell>
          <cell r="B4225">
            <v>29.77</v>
          </cell>
        </row>
        <row r="4226">
          <cell r="A4226">
            <v>37511</v>
          </cell>
          <cell r="B4226">
            <v>28.95</v>
          </cell>
        </row>
        <row r="4227">
          <cell r="A4227">
            <v>37512</v>
          </cell>
          <cell r="B4227">
            <v>29.83</v>
          </cell>
        </row>
        <row r="4228">
          <cell r="A4228">
            <v>37515</v>
          </cell>
          <cell r="B4228">
            <v>29.14</v>
          </cell>
        </row>
        <row r="4229">
          <cell r="A4229">
            <v>37516</v>
          </cell>
          <cell r="B4229">
            <v>29.08</v>
          </cell>
        </row>
        <row r="4230">
          <cell r="A4230">
            <v>37517</v>
          </cell>
          <cell r="B4230">
            <v>29.57</v>
          </cell>
        </row>
        <row r="4231">
          <cell r="A4231">
            <v>37518</v>
          </cell>
          <cell r="B4231">
            <v>29.49</v>
          </cell>
        </row>
        <row r="4232">
          <cell r="A4232">
            <v>37519</v>
          </cell>
          <cell r="B4232">
            <v>29.65</v>
          </cell>
        </row>
        <row r="4233">
          <cell r="A4233">
            <v>37522</v>
          </cell>
          <cell r="B4233">
            <v>30.85</v>
          </cell>
        </row>
        <row r="4234">
          <cell r="A4234">
            <v>37523</v>
          </cell>
          <cell r="B4234">
            <v>30.79</v>
          </cell>
        </row>
        <row r="4235">
          <cell r="A4235">
            <v>37524</v>
          </cell>
          <cell r="B4235">
            <v>30.69</v>
          </cell>
        </row>
        <row r="4236">
          <cell r="A4236">
            <v>37525</v>
          </cell>
          <cell r="B4236">
            <v>30.31</v>
          </cell>
        </row>
        <row r="4237">
          <cell r="A4237">
            <v>37526</v>
          </cell>
          <cell r="B4237">
            <v>30.53</v>
          </cell>
        </row>
        <row r="4238">
          <cell r="A4238">
            <v>37529</v>
          </cell>
          <cell r="B4238">
            <v>30.59</v>
          </cell>
        </row>
        <row r="4239">
          <cell r="A4239">
            <v>37530</v>
          </cell>
          <cell r="B4239">
            <v>30.71</v>
          </cell>
        </row>
        <row r="4240">
          <cell r="A4240">
            <v>37531</v>
          </cell>
          <cell r="B4240">
            <v>30.59</v>
          </cell>
        </row>
        <row r="4241">
          <cell r="A4241">
            <v>37532</v>
          </cell>
          <cell r="B4241">
            <v>29.73</v>
          </cell>
        </row>
        <row r="4242">
          <cell r="A4242">
            <v>37533</v>
          </cell>
          <cell r="B4242">
            <v>29.65</v>
          </cell>
        </row>
        <row r="4243">
          <cell r="A4243">
            <v>37536</v>
          </cell>
          <cell r="B4243">
            <v>29.65</v>
          </cell>
        </row>
        <row r="4244">
          <cell r="A4244">
            <v>37537</v>
          </cell>
          <cell r="B4244">
            <v>29.56</v>
          </cell>
        </row>
        <row r="4245">
          <cell r="A4245">
            <v>37538</v>
          </cell>
          <cell r="B4245">
            <v>29.31</v>
          </cell>
        </row>
        <row r="4246">
          <cell r="A4246">
            <v>37539</v>
          </cell>
          <cell r="B4246">
            <v>28.96</v>
          </cell>
        </row>
        <row r="4247">
          <cell r="A4247">
            <v>37540</v>
          </cell>
          <cell r="B4247">
            <v>29.36</v>
          </cell>
        </row>
        <row r="4248">
          <cell r="A4248">
            <v>37543</v>
          </cell>
          <cell r="B4248">
            <v>30.06</v>
          </cell>
        </row>
        <row r="4249">
          <cell r="A4249">
            <v>37544</v>
          </cell>
          <cell r="B4249">
            <v>29.73</v>
          </cell>
        </row>
        <row r="4250">
          <cell r="A4250">
            <v>37545</v>
          </cell>
          <cell r="B4250">
            <v>29.28</v>
          </cell>
        </row>
        <row r="4251">
          <cell r="A4251">
            <v>37546</v>
          </cell>
          <cell r="B4251">
            <v>29.61</v>
          </cell>
        </row>
        <row r="4252">
          <cell r="A4252">
            <v>37547</v>
          </cell>
          <cell r="B4252">
            <v>29.56</v>
          </cell>
        </row>
        <row r="4253">
          <cell r="A4253">
            <v>37550</v>
          </cell>
          <cell r="B4253">
            <v>28.31</v>
          </cell>
        </row>
        <row r="4254">
          <cell r="A4254">
            <v>37551</v>
          </cell>
          <cell r="B4254">
            <v>27.93</v>
          </cell>
        </row>
        <row r="4255">
          <cell r="A4255">
            <v>37552</v>
          </cell>
          <cell r="B4255">
            <v>28.19</v>
          </cell>
        </row>
        <row r="4256">
          <cell r="A4256">
            <v>37553</v>
          </cell>
          <cell r="B4256">
            <v>27.87</v>
          </cell>
        </row>
        <row r="4257">
          <cell r="A4257">
            <v>37554</v>
          </cell>
          <cell r="B4257">
            <v>27.09</v>
          </cell>
        </row>
        <row r="4258">
          <cell r="A4258">
            <v>37557</v>
          </cell>
          <cell r="B4258">
            <v>27.25</v>
          </cell>
        </row>
        <row r="4259">
          <cell r="A4259">
            <v>37558</v>
          </cell>
          <cell r="B4259">
            <v>26.81</v>
          </cell>
        </row>
        <row r="4260">
          <cell r="A4260">
            <v>37559</v>
          </cell>
          <cell r="B4260">
            <v>26.85</v>
          </cell>
        </row>
        <row r="4261">
          <cell r="A4261">
            <v>37560</v>
          </cell>
          <cell r="B4261">
            <v>27.18</v>
          </cell>
        </row>
        <row r="4262">
          <cell r="A4262">
            <v>37561</v>
          </cell>
          <cell r="B4262">
            <v>27.04</v>
          </cell>
        </row>
        <row r="4263">
          <cell r="A4263">
            <v>37564</v>
          </cell>
          <cell r="B4263">
            <v>26.89</v>
          </cell>
        </row>
        <row r="4264">
          <cell r="A4264">
            <v>37565</v>
          </cell>
          <cell r="B4264">
            <v>26.06</v>
          </cell>
        </row>
        <row r="4265">
          <cell r="A4265">
            <v>37566</v>
          </cell>
          <cell r="B4265">
            <v>25.72</v>
          </cell>
        </row>
        <row r="4266">
          <cell r="A4266">
            <v>37567</v>
          </cell>
          <cell r="B4266">
            <v>25.36</v>
          </cell>
        </row>
        <row r="4267">
          <cell r="A4267">
            <v>37568</v>
          </cell>
          <cell r="B4267">
            <v>25.83</v>
          </cell>
        </row>
        <row r="4268">
          <cell r="A4268">
            <v>37571</v>
          </cell>
          <cell r="B4268">
            <v>26.02</v>
          </cell>
        </row>
        <row r="4269">
          <cell r="A4269">
            <v>37572</v>
          </cell>
          <cell r="B4269">
            <v>26.19</v>
          </cell>
        </row>
        <row r="4270">
          <cell r="A4270">
            <v>37573</v>
          </cell>
          <cell r="B4270">
            <v>25.28</v>
          </cell>
        </row>
        <row r="4271">
          <cell r="A4271">
            <v>37574</v>
          </cell>
          <cell r="B4271">
            <v>25.4</v>
          </cell>
        </row>
        <row r="4272">
          <cell r="A4272">
            <v>37575</v>
          </cell>
          <cell r="B4272">
            <v>25.5</v>
          </cell>
        </row>
        <row r="4273">
          <cell r="A4273">
            <v>37578</v>
          </cell>
          <cell r="B4273">
            <v>26.71</v>
          </cell>
        </row>
        <row r="4274">
          <cell r="A4274">
            <v>37579</v>
          </cell>
          <cell r="B4274">
            <v>26.41</v>
          </cell>
        </row>
        <row r="4275">
          <cell r="A4275">
            <v>37580</v>
          </cell>
          <cell r="B4275">
            <v>27</v>
          </cell>
        </row>
        <row r="4276">
          <cell r="A4276">
            <v>37581</v>
          </cell>
          <cell r="B4276">
            <v>27.07</v>
          </cell>
        </row>
        <row r="4277">
          <cell r="A4277">
            <v>37582</v>
          </cell>
          <cell r="B4277">
            <v>27.73</v>
          </cell>
        </row>
        <row r="4278">
          <cell r="A4278">
            <v>37585</v>
          </cell>
          <cell r="B4278">
            <v>27.01</v>
          </cell>
        </row>
        <row r="4279">
          <cell r="A4279">
            <v>37586</v>
          </cell>
          <cell r="B4279">
            <v>26.6</v>
          </cell>
        </row>
        <row r="4280">
          <cell r="A4280">
            <v>37587</v>
          </cell>
          <cell r="B4280">
            <v>26.87</v>
          </cell>
        </row>
        <row r="4281">
          <cell r="A4281">
            <v>37592</v>
          </cell>
          <cell r="B4281">
            <v>27.27</v>
          </cell>
        </row>
        <row r="4282">
          <cell r="A4282">
            <v>37593</v>
          </cell>
          <cell r="B4282">
            <v>27.34</v>
          </cell>
        </row>
        <row r="4283">
          <cell r="A4283">
            <v>37594</v>
          </cell>
          <cell r="B4283">
            <v>26.8</v>
          </cell>
        </row>
        <row r="4284">
          <cell r="A4284">
            <v>37595</v>
          </cell>
          <cell r="B4284">
            <v>27.27</v>
          </cell>
        </row>
        <row r="4285">
          <cell r="A4285">
            <v>37596</v>
          </cell>
          <cell r="B4285">
            <v>27.03</v>
          </cell>
        </row>
        <row r="4286">
          <cell r="A4286">
            <v>37599</v>
          </cell>
          <cell r="B4286">
            <v>27.29</v>
          </cell>
        </row>
        <row r="4287">
          <cell r="A4287">
            <v>37600</v>
          </cell>
          <cell r="B4287">
            <v>27.73</v>
          </cell>
        </row>
        <row r="4288">
          <cell r="A4288">
            <v>37601</v>
          </cell>
          <cell r="B4288">
            <v>27.49</v>
          </cell>
        </row>
        <row r="4289">
          <cell r="A4289">
            <v>37602</v>
          </cell>
          <cell r="B4289">
            <v>28.2</v>
          </cell>
        </row>
        <row r="4290">
          <cell r="A4290">
            <v>37603</v>
          </cell>
          <cell r="B4290">
            <v>28.39</v>
          </cell>
        </row>
        <row r="4291">
          <cell r="A4291">
            <v>37606</v>
          </cell>
          <cell r="B4291">
            <v>30.15</v>
          </cell>
        </row>
        <row r="4292">
          <cell r="A4292">
            <v>37607</v>
          </cell>
          <cell r="B4292">
            <v>30.04</v>
          </cell>
        </row>
        <row r="4293">
          <cell r="A4293">
            <v>37608</v>
          </cell>
          <cell r="B4293">
            <v>30.41</v>
          </cell>
        </row>
        <row r="4294">
          <cell r="A4294">
            <v>37609</v>
          </cell>
          <cell r="B4294">
            <v>30.57</v>
          </cell>
        </row>
        <row r="4295">
          <cell r="A4295">
            <v>37610</v>
          </cell>
          <cell r="B4295">
            <v>30.57</v>
          </cell>
        </row>
        <row r="4296">
          <cell r="A4296">
            <v>37613</v>
          </cell>
          <cell r="B4296">
            <v>32.090000000000003</v>
          </cell>
        </row>
        <row r="4297">
          <cell r="A4297">
            <v>37614</v>
          </cell>
          <cell r="B4297">
            <v>32.130000000000003</v>
          </cell>
        </row>
        <row r="4298">
          <cell r="A4298">
            <v>37616</v>
          </cell>
          <cell r="B4298">
            <v>32.61</v>
          </cell>
        </row>
        <row r="4299">
          <cell r="A4299">
            <v>37617</v>
          </cell>
          <cell r="B4299">
            <v>32.68</v>
          </cell>
        </row>
        <row r="4300">
          <cell r="A4300">
            <v>37620</v>
          </cell>
          <cell r="B4300">
            <v>31.41</v>
          </cell>
        </row>
        <row r="4301">
          <cell r="A4301">
            <v>37621</v>
          </cell>
          <cell r="B4301">
            <v>31.21</v>
          </cell>
        </row>
        <row r="4302">
          <cell r="A4302">
            <v>37623</v>
          </cell>
          <cell r="B4302">
            <v>31.97</v>
          </cell>
        </row>
        <row r="4303">
          <cell r="A4303">
            <v>37624</v>
          </cell>
          <cell r="B4303">
            <v>33.26</v>
          </cell>
        </row>
        <row r="4304">
          <cell r="A4304">
            <v>37627</v>
          </cell>
          <cell r="B4304">
            <v>32.29</v>
          </cell>
        </row>
        <row r="4305">
          <cell r="A4305">
            <v>37628</v>
          </cell>
          <cell r="B4305">
            <v>31.2</v>
          </cell>
        </row>
        <row r="4306">
          <cell r="A4306">
            <v>37629</v>
          </cell>
          <cell r="B4306">
            <v>30.66</v>
          </cell>
        </row>
        <row r="4307">
          <cell r="A4307">
            <v>37630</v>
          </cell>
          <cell r="B4307">
            <v>31.95</v>
          </cell>
        </row>
        <row r="4308">
          <cell r="A4308">
            <v>37631</v>
          </cell>
          <cell r="B4308">
            <v>31.59</v>
          </cell>
        </row>
        <row r="4309">
          <cell r="A4309">
            <v>37634</v>
          </cell>
          <cell r="B4309">
            <v>32.08</v>
          </cell>
        </row>
        <row r="4310">
          <cell r="A4310">
            <v>37635</v>
          </cell>
          <cell r="B4310">
            <v>32.42</v>
          </cell>
        </row>
        <row r="4311">
          <cell r="A4311">
            <v>37636</v>
          </cell>
          <cell r="B4311">
            <v>33.229999999999997</v>
          </cell>
        </row>
        <row r="4312">
          <cell r="A4312">
            <v>37637</v>
          </cell>
          <cell r="B4312">
            <v>33.58</v>
          </cell>
        </row>
        <row r="4313">
          <cell r="A4313">
            <v>37638</v>
          </cell>
          <cell r="B4313">
            <v>33.880000000000003</v>
          </cell>
        </row>
        <row r="4314">
          <cell r="A4314">
            <v>37642</v>
          </cell>
          <cell r="B4314">
            <v>34.619999999999997</v>
          </cell>
        </row>
        <row r="4315">
          <cell r="A4315">
            <v>37643</v>
          </cell>
          <cell r="B4315">
            <v>34.32</v>
          </cell>
        </row>
        <row r="4316">
          <cell r="A4316">
            <v>37644</v>
          </cell>
          <cell r="B4316">
            <v>33.9</v>
          </cell>
        </row>
        <row r="4317">
          <cell r="A4317">
            <v>37645</v>
          </cell>
          <cell r="B4317">
            <v>34.979999999999997</v>
          </cell>
        </row>
        <row r="4318">
          <cell r="A4318">
            <v>37648</v>
          </cell>
          <cell r="B4318">
            <v>32.43</v>
          </cell>
        </row>
        <row r="4319">
          <cell r="A4319">
            <v>37649</v>
          </cell>
          <cell r="B4319">
            <v>32.700000000000003</v>
          </cell>
        </row>
        <row r="4320">
          <cell r="A4320">
            <v>37650</v>
          </cell>
          <cell r="B4320">
            <v>33.54</v>
          </cell>
        </row>
        <row r="4321">
          <cell r="A4321">
            <v>37651</v>
          </cell>
          <cell r="B4321">
            <v>33.78</v>
          </cell>
        </row>
        <row r="4322">
          <cell r="A4322">
            <v>37652</v>
          </cell>
          <cell r="B4322">
            <v>33.51</v>
          </cell>
        </row>
        <row r="4323">
          <cell r="A4323">
            <v>37655</v>
          </cell>
          <cell r="B4323">
            <v>32.840000000000003</v>
          </cell>
        </row>
        <row r="4324">
          <cell r="A4324">
            <v>37656</v>
          </cell>
          <cell r="B4324">
            <v>33.61</v>
          </cell>
        </row>
        <row r="4325">
          <cell r="A4325">
            <v>37657</v>
          </cell>
          <cell r="B4325">
            <v>33.909999999999997</v>
          </cell>
        </row>
        <row r="4326">
          <cell r="A4326">
            <v>37658</v>
          </cell>
          <cell r="B4326">
            <v>34.36</v>
          </cell>
        </row>
        <row r="4327">
          <cell r="A4327">
            <v>37659</v>
          </cell>
          <cell r="B4327">
            <v>35.049999999999997</v>
          </cell>
        </row>
        <row r="4328">
          <cell r="A4328">
            <v>37662</v>
          </cell>
          <cell r="B4328">
            <v>34.46</v>
          </cell>
        </row>
        <row r="4329">
          <cell r="A4329">
            <v>37663</v>
          </cell>
          <cell r="B4329">
            <v>35.43</v>
          </cell>
        </row>
        <row r="4330">
          <cell r="A4330">
            <v>37664</v>
          </cell>
          <cell r="B4330">
            <v>35.83</v>
          </cell>
        </row>
        <row r="4331">
          <cell r="A4331">
            <v>37665</v>
          </cell>
          <cell r="B4331">
            <v>36.630000000000003</v>
          </cell>
        </row>
        <row r="4332">
          <cell r="A4332">
            <v>37666</v>
          </cell>
          <cell r="B4332">
            <v>36.61</v>
          </cell>
        </row>
        <row r="4333">
          <cell r="A4333">
            <v>37670</v>
          </cell>
          <cell r="B4333">
            <v>36.880000000000003</v>
          </cell>
        </row>
        <row r="4334">
          <cell r="A4334">
            <v>37671</v>
          </cell>
          <cell r="B4334">
            <v>37.020000000000003</v>
          </cell>
        </row>
        <row r="4335">
          <cell r="A4335">
            <v>37672</v>
          </cell>
          <cell r="B4335">
            <v>36.450000000000003</v>
          </cell>
        </row>
        <row r="4336">
          <cell r="A4336">
            <v>37673</v>
          </cell>
          <cell r="B4336">
            <v>36.76</v>
          </cell>
        </row>
        <row r="4337">
          <cell r="A4337">
            <v>37676</v>
          </cell>
          <cell r="B4337">
            <v>37.29</v>
          </cell>
        </row>
        <row r="4338">
          <cell r="A4338">
            <v>37677</v>
          </cell>
          <cell r="B4338">
            <v>36.06</v>
          </cell>
        </row>
        <row r="4339">
          <cell r="A4339">
            <v>37678</v>
          </cell>
          <cell r="B4339">
            <v>37.96</v>
          </cell>
        </row>
        <row r="4340">
          <cell r="A4340">
            <v>37679</v>
          </cell>
          <cell r="B4340">
            <v>36.83</v>
          </cell>
        </row>
        <row r="4341">
          <cell r="A4341">
            <v>37680</v>
          </cell>
          <cell r="B4341">
            <v>36.76</v>
          </cell>
        </row>
        <row r="4342">
          <cell r="A4342">
            <v>37683</v>
          </cell>
          <cell r="B4342">
            <v>36.1</v>
          </cell>
        </row>
        <row r="4343">
          <cell r="A4343">
            <v>37684</v>
          </cell>
          <cell r="B4343">
            <v>36.950000000000003</v>
          </cell>
        </row>
        <row r="4344">
          <cell r="A4344">
            <v>37685</v>
          </cell>
          <cell r="B4344">
            <v>36.86</v>
          </cell>
        </row>
        <row r="4345">
          <cell r="A4345">
            <v>37686</v>
          </cell>
          <cell r="B4345">
            <v>37.21</v>
          </cell>
        </row>
        <row r="4346">
          <cell r="A4346">
            <v>37687</v>
          </cell>
          <cell r="B4346">
            <v>37.76</v>
          </cell>
        </row>
        <row r="4347">
          <cell r="A4347">
            <v>37690</v>
          </cell>
          <cell r="B4347">
            <v>37.18</v>
          </cell>
        </row>
        <row r="4348">
          <cell r="A4348">
            <v>37691</v>
          </cell>
          <cell r="B4348">
            <v>36.81</v>
          </cell>
        </row>
        <row r="4349">
          <cell r="A4349">
            <v>37692</v>
          </cell>
          <cell r="B4349">
            <v>37.869999999999997</v>
          </cell>
        </row>
        <row r="4350">
          <cell r="A4350">
            <v>37693</v>
          </cell>
          <cell r="B4350">
            <v>36.049999999999997</v>
          </cell>
        </row>
        <row r="4351">
          <cell r="A4351">
            <v>37694</v>
          </cell>
          <cell r="B4351">
            <v>35.409999999999997</v>
          </cell>
        </row>
        <row r="4352">
          <cell r="A4352">
            <v>37697</v>
          </cell>
          <cell r="B4352">
            <v>34.92</v>
          </cell>
        </row>
        <row r="4353">
          <cell r="A4353">
            <v>37698</v>
          </cell>
          <cell r="B4353">
            <v>31.55</v>
          </cell>
        </row>
        <row r="4354">
          <cell r="A4354">
            <v>37699</v>
          </cell>
          <cell r="B4354">
            <v>30.01</v>
          </cell>
        </row>
        <row r="4355">
          <cell r="A4355">
            <v>37700</v>
          </cell>
          <cell r="B4355">
            <v>28.62</v>
          </cell>
        </row>
        <row r="4356">
          <cell r="A4356">
            <v>37701</v>
          </cell>
          <cell r="B4356">
            <v>27.18</v>
          </cell>
        </row>
        <row r="4357">
          <cell r="A4357">
            <v>37704</v>
          </cell>
          <cell r="B4357">
            <v>29.51</v>
          </cell>
        </row>
        <row r="4358">
          <cell r="A4358">
            <v>37705</v>
          </cell>
          <cell r="B4358">
            <v>33.42</v>
          </cell>
        </row>
        <row r="4359">
          <cell r="A4359">
            <v>37706</v>
          </cell>
          <cell r="B4359">
            <v>28.71</v>
          </cell>
        </row>
        <row r="4360">
          <cell r="A4360">
            <v>37707</v>
          </cell>
          <cell r="B4360">
            <v>30.31</v>
          </cell>
        </row>
        <row r="4361">
          <cell r="A4361">
            <v>37708</v>
          </cell>
          <cell r="B4361">
            <v>30.21</v>
          </cell>
        </row>
        <row r="4362">
          <cell r="A4362">
            <v>37711</v>
          </cell>
          <cell r="B4362">
            <v>31.14</v>
          </cell>
        </row>
        <row r="4363">
          <cell r="A4363">
            <v>37712</v>
          </cell>
          <cell r="B4363">
            <v>29.48</v>
          </cell>
        </row>
        <row r="4364">
          <cell r="A4364">
            <v>37713</v>
          </cell>
          <cell r="B4364">
            <v>28.55</v>
          </cell>
        </row>
        <row r="4365">
          <cell r="A4365">
            <v>37714</v>
          </cell>
          <cell r="B4365">
            <v>29.05</v>
          </cell>
        </row>
        <row r="4366">
          <cell r="A4366">
            <v>37715</v>
          </cell>
          <cell r="B4366">
            <v>28.41</v>
          </cell>
        </row>
        <row r="4367">
          <cell r="A4367">
            <v>37718</v>
          </cell>
          <cell r="B4367">
            <v>27.76</v>
          </cell>
        </row>
        <row r="4368">
          <cell r="A4368">
            <v>37719</v>
          </cell>
          <cell r="B4368">
            <v>27.97</v>
          </cell>
        </row>
        <row r="4369">
          <cell r="A4369">
            <v>37720</v>
          </cell>
          <cell r="B4369">
            <v>28.93</v>
          </cell>
        </row>
        <row r="4370">
          <cell r="A4370">
            <v>37721</v>
          </cell>
          <cell r="B4370">
            <v>27.2</v>
          </cell>
        </row>
        <row r="4371">
          <cell r="A4371">
            <v>37722</v>
          </cell>
          <cell r="B4371">
            <v>28.28</v>
          </cell>
        </row>
        <row r="4372">
          <cell r="A4372">
            <v>37725</v>
          </cell>
          <cell r="B4372">
            <v>28.41</v>
          </cell>
        </row>
        <row r="4373">
          <cell r="A4373">
            <v>37726</v>
          </cell>
          <cell r="B4373">
            <v>29.46</v>
          </cell>
        </row>
        <row r="4374">
          <cell r="A4374">
            <v>37727</v>
          </cell>
          <cell r="B4374">
            <v>29.16</v>
          </cell>
        </row>
        <row r="4375">
          <cell r="A4375">
            <v>37728</v>
          </cell>
          <cell r="B4375">
            <v>30.1</v>
          </cell>
        </row>
        <row r="4376">
          <cell r="A4376">
            <v>37732</v>
          </cell>
          <cell r="B4376">
            <v>30.76</v>
          </cell>
        </row>
        <row r="4377">
          <cell r="A4377">
            <v>37733</v>
          </cell>
          <cell r="B4377">
            <v>29.92</v>
          </cell>
        </row>
        <row r="4378">
          <cell r="A4378">
            <v>37734</v>
          </cell>
          <cell r="B4378">
            <v>28.04</v>
          </cell>
        </row>
        <row r="4379">
          <cell r="A4379">
            <v>37735</v>
          </cell>
          <cell r="B4379">
            <v>27.52</v>
          </cell>
        </row>
        <row r="4380">
          <cell r="A4380">
            <v>37736</v>
          </cell>
          <cell r="B4380">
            <v>25.92</v>
          </cell>
        </row>
        <row r="4381">
          <cell r="A4381">
            <v>37739</v>
          </cell>
          <cell r="B4381">
            <v>25.25</v>
          </cell>
        </row>
        <row r="4382">
          <cell r="A4382">
            <v>37740</v>
          </cell>
          <cell r="B4382">
            <v>25.32</v>
          </cell>
        </row>
        <row r="4383">
          <cell r="A4383">
            <v>37741</v>
          </cell>
          <cell r="B4383">
            <v>26.09</v>
          </cell>
        </row>
        <row r="4384">
          <cell r="A4384">
            <v>37742</v>
          </cell>
          <cell r="B4384">
            <v>26.05</v>
          </cell>
        </row>
        <row r="4385">
          <cell r="A4385">
            <v>37743</v>
          </cell>
          <cell r="B4385">
            <v>25.74</v>
          </cell>
        </row>
        <row r="4386">
          <cell r="A4386">
            <v>37746</v>
          </cell>
          <cell r="B4386">
            <v>26.43</v>
          </cell>
        </row>
        <row r="4387">
          <cell r="A4387">
            <v>37747</v>
          </cell>
          <cell r="B4387">
            <v>25.65</v>
          </cell>
        </row>
        <row r="4388">
          <cell r="A4388">
            <v>37748</v>
          </cell>
          <cell r="B4388">
            <v>26.24</v>
          </cell>
        </row>
        <row r="4389">
          <cell r="A4389">
            <v>37749</v>
          </cell>
          <cell r="B4389">
            <v>26.94</v>
          </cell>
        </row>
        <row r="4390">
          <cell r="A4390">
            <v>37750</v>
          </cell>
          <cell r="B4390">
            <v>27.65</v>
          </cell>
        </row>
        <row r="4391">
          <cell r="A4391">
            <v>37753</v>
          </cell>
          <cell r="B4391">
            <v>27.34</v>
          </cell>
        </row>
        <row r="4392">
          <cell r="A4392">
            <v>37754</v>
          </cell>
          <cell r="B4392">
            <v>28.51</v>
          </cell>
        </row>
        <row r="4393">
          <cell r="A4393">
            <v>37755</v>
          </cell>
          <cell r="B4393">
            <v>29.21</v>
          </cell>
        </row>
        <row r="4394">
          <cell r="A4394">
            <v>37756</v>
          </cell>
          <cell r="B4394">
            <v>28.57</v>
          </cell>
        </row>
        <row r="4395">
          <cell r="A4395">
            <v>37757</v>
          </cell>
          <cell r="B4395">
            <v>29.07</v>
          </cell>
        </row>
        <row r="4396">
          <cell r="A4396">
            <v>37760</v>
          </cell>
          <cell r="B4396">
            <v>28.84</v>
          </cell>
        </row>
        <row r="4397">
          <cell r="A4397">
            <v>37761</v>
          </cell>
          <cell r="B4397">
            <v>29.29</v>
          </cell>
        </row>
        <row r="4398">
          <cell r="A4398">
            <v>37762</v>
          </cell>
          <cell r="B4398">
            <v>29.51</v>
          </cell>
        </row>
        <row r="4399">
          <cell r="A4399">
            <v>37763</v>
          </cell>
          <cell r="B4399">
            <v>29.09</v>
          </cell>
        </row>
        <row r="4400">
          <cell r="A4400">
            <v>37764</v>
          </cell>
          <cell r="B4400">
            <v>29.74</v>
          </cell>
        </row>
        <row r="4401">
          <cell r="A4401">
            <v>37768</v>
          </cell>
          <cell r="B4401">
            <v>29.24</v>
          </cell>
        </row>
        <row r="4402">
          <cell r="A4402">
            <v>37769</v>
          </cell>
          <cell r="B4402">
            <v>28.46</v>
          </cell>
        </row>
        <row r="4403">
          <cell r="A4403">
            <v>37770</v>
          </cell>
          <cell r="B4403">
            <v>29.15</v>
          </cell>
        </row>
        <row r="4404">
          <cell r="A4404">
            <v>37771</v>
          </cell>
          <cell r="B4404">
            <v>29.56</v>
          </cell>
        </row>
        <row r="4405">
          <cell r="A4405">
            <v>37774</v>
          </cell>
          <cell r="B4405">
            <v>30.72</v>
          </cell>
        </row>
        <row r="4406">
          <cell r="A4406">
            <v>37775</v>
          </cell>
          <cell r="B4406">
            <v>30.78</v>
          </cell>
        </row>
        <row r="4407">
          <cell r="A4407">
            <v>37776</v>
          </cell>
          <cell r="B4407">
            <v>29.81</v>
          </cell>
        </row>
        <row r="4408">
          <cell r="A4408">
            <v>37777</v>
          </cell>
          <cell r="B4408">
            <v>30.84</v>
          </cell>
        </row>
        <row r="4409">
          <cell r="A4409">
            <v>37778</v>
          </cell>
          <cell r="B4409">
            <v>31.26</v>
          </cell>
        </row>
        <row r="4410">
          <cell r="A4410">
            <v>37781</v>
          </cell>
          <cell r="B4410">
            <v>31.36</v>
          </cell>
        </row>
        <row r="4411">
          <cell r="A4411">
            <v>37782</v>
          </cell>
          <cell r="B4411">
            <v>31.72</v>
          </cell>
        </row>
        <row r="4412">
          <cell r="A4412">
            <v>37783</v>
          </cell>
          <cell r="B4412">
            <v>32.17</v>
          </cell>
        </row>
        <row r="4413">
          <cell r="A4413">
            <v>37784</v>
          </cell>
          <cell r="B4413">
            <v>31.41</v>
          </cell>
        </row>
        <row r="4414">
          <cell r="A4414">
            <v>37785</v>
          </cell>
          <cell r="B4414">
            <v>30.63</v>
          </cell>
        </row>
        <row r="4415">
          <cell r="A4415">
            <v>37788</v>
          </cell>
          <cell r="B4415">
            <v>31.14</v>
          </cell>
        </row>
        <row r="4416">
          <cell r="A4416">
            <v>37789</v>
          </cell>
          <cell r="B4416">
            <v>31.08</v>
          </cell>
        </row>
        <row r="4417">
          <cell r="A4417">
            <v>37790</v>
          </cell>
          <cell r="B4417">
            <v>30.28</v>
          </cell>
        </row>
        <row r="4418">
          <cell r="A4418">
            <v>37791</v>
          </cell>
          <cell r="B4418">
            <v>29.86</v>
          </cell>
        </row>
        <row r="4419">
          <cell r="A4419">
            <v>37792</v>
          </cell>
          <cell r="B4419">
            <v>30.63</v>
          </cell>
        </row>
        <row r="4420">
          <cell r="A4420">
            <v>37795</v>
          </cell>
          <cell r="B4420">
            <v>30.22</v>
          </cell>
        </row>
        <row r="4421">
          <cell r="A4421">
            <v>37796</v>
          </cell>
          <cell r="B4421">
            <v>30.05</v>
          </cell>
        </row>
        <row r="4422">
          <cell r="A4422">
            <v>37797</v>
          </cell>
          <cell r="B4422">
            <v>31.65</v>
          </cell>
        </row>
        <row r="4423">
          <cell r="A4423">
            <v>37798</v>
          </cell>
          <cell r="B4423">
            <v>28.97</v>
          </cell>
        </row>
        <row r="4424">
          <cell r="A4424">
            <v>37799</v>
          </cell>
          <cell r="B4424">
            <v>29.18</v>
          </cell>
        </row>
        <row r="4425">
          <cell r="A4425">
            <v>37802</v>
          </cell>
          <cell r="B4425">
            <v>30.15</v>
          </cell>
        </row>
        <row r="4426">
          <cell r="A4426">
            <v>37803</v>
          </cell>
          <cell r="B4426">
            <v>30.41</v>
          </cell>
        </row>
        <row r="4427">
          <cell r="A4427">
            <v>37804</v>
          </cell>
          <cell r="B4427">
            <v>30.29</v>
          </cell>
        </row>
        <row r="4428">
          <cell r="A4428">
            <v>37805</v>
          </cell>
          <cell r="B4428">
            <v>30.39</v>
          </cell>
        </row>
        <row r="4429">
          <cell r="A4429">
            <v>37809</v>
          </cell>
          <cell r="B4429">
            <v>30.08</v>
          </cell>
        </row>
        <row r="4430">
          <cell r="A4430">
            <v>37810</v>
          </cell>
          <cell r="B4430">
            <v>30.32</v>
          </cell>
        </row>
        <row r="4431">
          <cell r="A4431">
            <v>37811</v>
          </cell>
          <cell r="B4431">
            <v>30.87</v>
          </cell>
        </row>
        <row r="4432">
          <cell r="A4432">
            <v>37812</v>
          </cell>
          <cell r="B4432">
            <v>31.04</v>
          </cell>
        </row>
        <row r="4433">
          <cell r="A4433">
            <v>37813</v>
          </cell>
          <cell r="B4433">
            <v>31.33</v>
          </cell>
        </row>
        <row r="4434">
          <cell r="A4434">
            <v>37816</v>
          </cell>
          <cell r="B4434">
            <v>31.2</v>
          </cell>
        </row>
        <row r="4435">
          <cell r="A4435">
            <v>37817</v>
          </cell>
          <cell r="B4435">
            <v>31.6</v>
          </cell>
        </row>
        <row r="4436">
          <cell r="A4436">
            <v>37818</v>
          </cell>
          <cell r="B4436">
            <v>31.2</v>
          </cell>
        </row>
        <row r="4437">
          <cell r="A4437">
            <v>37819</v>
          </cell>
          <cell r="B4437">
            <v>31.44</v>
          </cell>
        </row>
        <row r="4438">
          <cell r="A4438">
            <v>37820</v>
          </cell>
          <cell r="B4438">
            <v>31.96</v>
          </cell>
        </row>
        <row r="4439">
          <cell r="A4439">
            <v>37823</v>
          </cell>
          <cell r="B4439">
            <v>31.67</v>
          </cell>
        </row>
        <row r="4440">
          <cell r="A4440">
            <v>37824</v>
          </cell>
          <cell r="B4440">
            <v>30.2</v>
          </cell>
        </row>
        <row r="4441">
          <cell r="A4441">
            <v>37825</v>
          </cell>
          <cell r="B4441">
            <v>30.13</v>
          </cell>
        </row>
        <row r="4442">
          <cell r="A4442">
            <v>37826</v>
          </cell>
          <cell r="B4442">
            <v>30.72</v>
          </cell>
        </row>
        <row r="4443">
          <cell r="A4443">
            <v>37827</v>
          </cell>
          <cell r="B4443">
            <v>30.31</v>
          </cell>
        </row>
        <row r="4444">
          <cell r="A4444">
            <v>37830</v>
          </cell>
          <cell r="B4444">
            <v>29.98</v>
          </cell>
        </row>
        <row r="4445">
          <cell r="A4445">
            <v>37831</v>
          </cell>
          <cell r="B4445">
            <v>30.21</v>
          </cell>
        </row>
        <row r="4446">
          <cell r="A4446">
            <v>37832</v>
          </cell>
          <cell r="B4446">
            <v>30.69</v>
          </cell>
        </row>
        <row r="4447">
          <cell r="A4447">
            <v>37833</v>
          </cell>
          <cell r="B4447">
            <v>30.56</v>
          </cell>
        </row>
        <row r="4448">
          <cell r="A4448">
            <v>37834</v>
          </cell>
          <cell r="B4448">
            <v>32.229999999999997</v>
          </cell>
        </row>
        <row r="4449">
          <cell r="A4449">
            <v>37837</v>
          </cell>
          <cell r="B4449">
            <v>31.8</v>
          </cell>
        </row>
        <row r="4450">
          <cell r="A4450">
            <v>37838</v>
          </cell>
          <cell r="B4450">
            <v>32.340000000000003</v>
          </cell>
        </row>
        <row r="4451">
          <cell r="A4451">
            <v>37839</v>
          </cell>
          <cell r="B4451">
            <v>31.77</v>
          </cell>
        </row>
        <row r="4452">
          <cell r="A4452">
            <v>37840</v>
          </cell>
          <cell r="B4452">
            <v>32.409999999999997</v>
          </cell>
        </row>
        <row r="4453">
          <cell r="A4453">
            <v>37841</v>
          </cell>
          <cell r="B4453">
            <v>32.229999999999997</v>
          </cell>
        </row>
        <row r="4454">
          <cell r="A4454">
            <v>37844</v>
          </cell>
          <cell r="B4454">
            <v>31.91</v>
          </cell>
        </row>
        <row r="4455">
          <cell r="A4455">
            <v>37845</v>
          </cell>
          <cell r="B4455">
            <v>31.91</v>
          </cell>
        </row>
        <row r="4456">
          <cell r="A4456">
            <v>37846</v>
          </cell>
          <cell r="B4456">
            <v>30.85</v>
          </cell>
        </row>
        <row r="4457">
          <cell r="A4457">
            <v>37847</v>
          </cell>
          <cell r="B4457">
            <v>30.85</v>
          </cell>
        </row>
        <row r="4458">
          <cell r="A4458">
            <v>37848</v>
          </cell>
          <cell r="B4458">
            <v>31.01</v>
          </cell>
        </row>
        <row r="4459">
          <cell r="A4459">
            <v>37851</v>
          </cell>
          <cell r="B4459">
            <v>30.81</v>
          </cell>
        </row>
        <row r="4460">
          <cell r="A4460">
            <v>37852</v>
          </cell>
          <cell r="B4460">
            <v>30.76</v>
          </cell>
        </row>
        <row r="4461">
          <cell r="A4461">
            <v>37853</v>
          </cell>
          <cell r="B4461">
            <v>30.96</v>
          </cell>
        </row>
        <row r="4462">
          <cell r="A4462">
            <v>37854</v>
          </cell>
          <cell r="B4462">
            <v>31.78</v>
          </cell>
        </row>
        <row r="4463">
          <cell r="A4463">
            <v>37855</v>
          </cell>
          <cell r="B4463">
            <v>31.64</v>
          </cell>
        </row>
        <row r="4464">
          <cell r="A4464">
            <v>37858</v>
          </cell>
          <cell r="B4464">
            <v>31.43</v>
          </cell>
        </row>
        <row r="4465">
          <cell r="A4465">
            <v>37859</v>
          </cell>
          <cell r="B4465">
            <v>32.01</v>
          </cell>
        </row>
        <row r="4466">
          <cell r="A4466">
            <v>37860</v>
          </cell>
          <cell r="B4466">
            <v>31.18</v>
          </cell>
        </row>
        <row r="4467">
          <cell r="A4467">
            <v>37861</v>
          </cell>
          <cell r="B4467">
            <v>31.41</v>
          </cell>
        </row>
        <row r="4468">
          <cell r="A4468">
            <v>37862</v>
          </cell>
          <cell r="B4468">
            <v>31.76</v>
          </cell>
        </row>
        <row r="4469">
          <cell r="A4469">
            <v>37866</v>
          </cell>
          <cell r="B4469">
            <v>29.57</v>
          </cell>
        </row>
        <row r="4470">
          <cell r="A4470">
            <v>37867</v>
          </cell>
          <cell r="B4470">
            <v>29.43</v>
          </cell>
        </row>
        <row r="4471">
          <cell r="A4471">
            <v>37868</v>
          </cell>
          <cell r="B4471">
            <v>28.87</v>
          </cell>
        </row>
        <row r="4472">
          <cell r="A4472">
            <v>37869</v>
          </cell>
          <cell r="B4472">
            <v>28.93</v>
          </cell>
        </row>
        <row r="4473">
          <cell r="A4473">
            <v>37872</v>
          </cell>
          <cell r="B4473">
            <v>28.85</v>
          </cell>
        </row>
        <row r="4474">
          <cell r="A4474">
            <v>37873</v>
          </cell>
          <cell r="B4474">
            <v>29.22</v>
          </cell>
        </row>
        <row r="4475">
          <cell r="A4475">
            <v>37874</v>
          </cell>
          <cell r="B4475">
            <v>29.41</v>
          </cell>
        </row>
        <row r="4476">
          <cell r="A4476">
            <v>37875</v>
          </cell>
          <cell r="B4476">
            <v>28.86</v>
          </cell>
        </row>
        <row r="4477">
          <cell r="A4477">
            <v>37876</v>
          </cell>
          <cell r="B4477">
            <v>28.26</v>
          </cell>
        </row>
        <row r="4478">
          <cell r="A4478">
            <v>37879</v>
          </cell>
          <cell r="B4478">
            <v>28.15</v>
          </cell>
        </row>
        <row r="4479">
          <cell r="A4479">
            <v>37880</v>
          </cell>
          <cell r="B4479">
            <v>27.6</v>
          </cell>
        </row>
        <row r="4480">
          <cell r="A4480">
            <v>37881</v>
          </cell>
          <cell r="B4480">
            <v>27</v>
          </cell>
        </row>
        <row r="4481">
          <cell r="A4481">
            <v>37882</v>
          </cell>
          <cell r="B4481">
            <v>27.26</v>
          </cell>
        </row>
        <row r="4482">
          <cell r="A4482">
            <v>37883</v>
          </cell>
          <cell r="B4482">
            <v>26.93</v>
          </cell>
        </row>
        <row r="4483">
          <cell r="A4483">
            <v>37886</v>
          </cell>
          <cell r="B4483">
            <v>26.97</v>
          </cell>
        </row>
        <row r="4484">
          <cell r="A4484">
            <v>37887</v>
          </cell>
          <cell r="B4484">
            <v>27</v>
          </cell>
        </row>
        <row r="4485">
          <cell r="A4485">
            <v>37888</v>
          </cell>
          <cell r="B4485">
            <v>28.19</v>
          </cell>
        </row>
        <row r="4486">
          <cell r="A4486">
            <v>37889</v>
          </cell>
          <cell r="B4486">
            <v>28.29</v>
          </cell>
        </row>
        <row r="4487">
          <cell r="A4487">
            <v>37890</v>
          </cell>
          <cell r="B4487">
            <v>28.21</v>
          </cell>
        </row>
        <row r="4488">
          <cell r="A4488">
            <v>37893</v>
          </cell>
          <cell r="B4488">
            <v>28.35</v>
          </cell>
        </row>
        <row r="4489">
          <cell r="A4489">
            <v>37894</v>
          </cell>
          <cell r="B4489">
            <v>29.19</v>
          </cell>
        </row>
        <row r="4490">
          <cell r="A4490">
            <v>37895</v>
          </cell>
          <cell r="B4490">
            <v>29.43</v>
          </cell>
        </row>
        <row r="4491">
          <cell r="A4491">
            <v>37896</v>
          </cell>
          <cell r="B4491">
            <v>29.83</v>
          </cell>
        </row>
        <row r="4492">
          <cell r="A4492">
            <v>37897</v>
          </cell>
          <cell r="B4492">
            <v>30.37</v>
          </cell>
        </row>
        <row r="4493">
          <cell r="A4493">
            <v>37900</v>
          </cell>
          <cell r="B4493">
            <v>30.4</v>
          </cell>
        </row>
        <row r="4494">
          <cell r="A4494">
            <v>37901</v>
          </cell>
          <cell r="B4494">
            <v>30.48</v>
          </cell>
        </row>
        <row r="4495">
          <cell r="A4495">
            <v>37902</v>
          </cell>
          <cell r="B4495">
            <v>29.6</v>
          </cell>
        </row>
        <row r="4496">
          <cell r="A4496">
            <v>37903</v>
          </cell>
          <cell r="B4496">
            <v>30.97</v>
          </cell>
        </row>
        <row r="4497">
          <cell r="A4497">
            <v>37904</v>
          </cell>
          <cell r="B4497">
            <v>32.01</v>
          </cell>
        </row>
        <row r="4498">
          <cell r="A4498">
            <v>37907</v>
          </cell>
          <cell r="B4498">
            <v>31.91</v>
          </cell>
        </row>
        <row r="4499">
          <cell r="A4499">
            <v>37908</v>
          </cell>
          <cell r="B4499">
            <v>31.68</v>
          </cell>
        </row>
        <row r="4500">
          <cell r="A4500">
            <v>37909</v>
          </cell>
          <cell r="B4500">
            <v>31.74</v>
          </cell>
        </row>
        <row r="4501">
          <cell r="A4501">
            <v>37910</v>
          </cell>
          <cell r="B4501">
            <v>31.51</v>
          </cell>
        </row>
        <row r="4502">
          <cell r="A4502">
            <v>37911</v>
          </cell>
          <cell r="B4502">
            <v>30.61</v>
          </cell>
        </row>
        <row r="4503">
          <cell r="A4503">
            <v>37914</v>
          </cell>
          <cell r="B4503">
            <v>30.37</v>
          </cell>
        </row>
        <row r="4504">
          <cell r="A4504">
            <v>37915</v>
          </cell>
          <cell r="B4504">
            <v>30.19</v>
          </cell>
        </row>
        <row r="4505">
          <cell r="A4505">
            <v>37916</v>
          </cell>
          <cell r="B4505">
            <v>30</v>
          </cell>
        </row>
        <row r="4506">
          <cell r="A4506">
            <v>37917</v>
          </cell>
          <cell r="B4506">
            <v>30.31</v>
          </cell>
        </row>
        <row r="4507">
          <cell r="A4507">
            <v>37918</v>
          </cell>
          <cell r="B4507">
            <v>29.99</v>
          </cell>
        </row>
        <row r="4508">
          <cell r="A4508">
            <v>37921</v>
          </cell>
          <cell r="B4508">
            <v>29.95</v>
          </cell>
        </row>
        <row r="4509">
          <cell r="A4509">
            <v>37922</v>
          </cell>
          <cell r="B4509">
            <v>29.57</v>
          </cell>
        </row>
        <row r="4510">
          <cell r="A4510">
            <v>37923</v>
          </cell>
          <cell r="B4510">
            <v>28.95</v>
          </cell>
        </row>
        <row r="4511">
          <cell r="A4511">
            <v>37924</v>
          </cell>
          <cell r="B4511">
            <v>28.67</v>
          </cell>
        </row>
        <row r="4512">
          <cell r="A4512">
            <v>37925</v>
          </cell>
          <cell r="B4512">
            <v>29.24</v>
          </cell>
        </row>
        <row r="4513">
          <cell r="A4513">
            <v>37928</v>
          </cell>
          <cell r="B4513">
            <v>28.81</v>
          </cell>
        </row>
        <row r="4514">
          <cell r="A4514">
            <v>37929</v>
          </cell>
          <cell r="B4514">
            <v>28.86</v>
          </cell>
        </row>
        <row r="4515">
          <cell r="A4515">
            <v>37930</v>
          </cell>
          <cell r="B4515">
            <v>30.29</v>
          </cell>
        </row>
        <row r="4516">
          <cell r="A4516">
            <v>37931</v>
          </cell>
          <cell r="B4516">
            <v>30.25</v>
          </cell>
        </row>
        <row r="4517">
          <cell r="A4517">
            <v>37932</v>
          </cell>
          <cell r="B4517">
            <v>30.73</v>
          </cell>
        </row>
        <row r="4518">
          <cell r="A4518">
            <v>37935</v>
          </cell>
          <cell r="B4518">
            <v>31.01</v>
          </cell>
        </row>
        <row r="4519">
          <cell r="A4519">
            <v>37936</v>
          </cell>
          <cell r="B4519">
            <v>31.21</v>
          </cell>
        </row>
        <row r="4520">
          <cell r="A4520">
            <v>37937</v>
          </cell>
          <cell r="B4520">
            <v>31.37</v>
          </cell>
        </row>
        <row r="4521">
          <cell r="A4521">
            <v>37938</v>
          </cell>
          <cell r="B4521">
            <v>31.89</v>
          </cell>
        </row>
        <row r="4522">
          <cell r="A4522">
            <v>37939</v>
          </cell>
          <cell r="B4522">
            <v>32.31</v>
          </cell>
        </row>
        <row r="4523">
          <cell r="A4523">
            <v>37942</v>
          </cell>
          <cell r="B4523">
            <v>31.75</v>
          </cell>
        </row>
        <row r="4524">
          <cell r="A4524">
            <v>37943</v>
          </cell>
          <cell r="B4524">
            <v>33.159999999999997</v>
          </cell>
        </row>
        <row r="4525">
          <cell r="A4525">
            <v>37944</v>
          </cell>
          <cell r="B4525">
            <v>32.840000000000003</v>
          </cell>
        </row>
        <row r="4526">
          <cell r="A4526">
            <v>37945</v>
          </cell>
          <cell r="B4526">
            <v>32.869999999999997</v>
          </cell>
        </row>
        <row r="4527">
          <cell r="A4527">
            <v>37946</v>
          </cell>
          <cell r="B4527">
            <v>32.26</v>
          </cell>
        </row>
        <row r="4528">
          <cell r="A4528">
            <v>37949</v>
          </cell>
          <cell r="B4528">
            <v>29.99</v>
          </cell>
        </row>
        <row r="4529">
          <cell r="A4529">
            <v>37950</v>
          </cell>
          <cell r="B4529">
            <v>30.02</v>
          </cell>
        </row>
        <row r="4530">
          <cell r="A4530">
            <v>37951</v>
          </cell>
          <cell r="B4530">
            <v>30.33</v>
          </cell>
        </row>
        <row r="4531">
          <cell r="A4531">
            <v>37956</v>
          </cell>
          <cell r="B4531">
            <v>29.89</v>
          </cell>
        </row>
        <row r="4532">
          <cell r="A4532">
            <v>37957</v>
          </cell>
          <cell r="B4532">
            <v>30.74</v>
          </cell>
        </row>
        <row r="4533">
          <cell r="A4533">
            <v>37958</v>
          </cell>
          <cell r="B4533">
            <v>30.61</v>
          </cell>
        </row>
        <row r="4534">
          <cell r="A4534">
            <v>37959</v>
          </cell>
          <cell r="B4534">
            <v>31.24</v>
          </cell>
        </row>
        <row r="4535">
          <cell r="A4535">
            <v>37960</v>
          </cell>
          <cell r="B4535">
            <v>30.68</v>
          </cell>
        </row>
        <row r="4536">
          <cell r="A4536">
            <v>37963</v>
          </cell>
          <cell r="B4536">
            <v>32.08</v>
          </cell>
        </row>
        <row r="4537">
          <cell r="A4537">
            <v>37964</v>
          </cell>
          <cell r="B4537">
            <v>31.72</v>
          </cell>
        </row>
        <row r="4538">
          <cell r="A4538">
            <v>37965</v>
          </cell>
          <cell r="B4538">
            <v>31.92</v>
          </cell>
        </row>
        <row r="4539">
          <cell r="A4539">
            <v>37966</v>
          </cell>
          <cell r="B4539">
            <v>32.01</v>
          </cell>
        </row>
        <row r="4540">
          <cell r="A4540">
            <v>37967</v>
          </cell>
          <cell r="B4540">
            <v>33.06</v>
          </cell>
        </row>
        <row r="4541">
          <cell r="A4541">
            <v>37970</v>
          </cell>
          <cell r="B4541">
            <v>33.17</v>
          </cell>
        </row>
        <row r="4542">
          <cell r="A4542">
            <v>37971</v>
          </cell>
          <cell r="B4542">
            <v>32.94</v>
          </cell>
        </row>
        <row r="4543">
          <cell r="A4543">
            <v>37972</v>
          </cell>
          <cell r="B4543">
            <v>33.36</v>
          </cell>
        </row>
        <row r="4544">
          <cell r="A4544">
            <v>37973</v>
          </cell>
          <cell r="B4544">
            <v>33.72</v>
          </cell>
        </row>
        <row r="4545">
          <cell r="A4545">
            <v>37974</v>
          </cell>
          <cell r="B4545">
            <v>32.81</v>
          </cell>
        </row>
        <row r="4546">
          <cell r="A4546">
            <v>37977</v>
          </cell>
          <cell r="B4546">
            <v>31.71</v>
          </cell>
        </row>
        <row r="4547">
          <cell r="A4547">
            <v>37978</v>
          </cell>
          <cell r="B4547">
            <v>32.03</v>
          </cell>
        </row>
        <row r="4548">
          <cell r="A4548">
            <v>37979</v>
          </cell>
          <cell r="B4548">
            <v>32.99</v>
          </cell>
        </row>
        <row r="4549">
          <cell r="A4549">
            <v>37984</v>
          </cell>
          <cell r="B4549">
            <v>32.51</v>
          </cell>
        </row>
        <row r="4550">
          <cell r="A4550">
            <v>37985</v>
          </cell>
          <cell r="B4550">
            <v>33.01</v>
          </cell>
        </row>
        <row r="4551">
          <cell r="A4551">
            <v>37986</v>
          </cell>
          <cell r="B4551">
            <v>32.51</v>
          </cell>
        </row>
        <row r="4552">
          <cell r="A4552">
            <v>37991</v>
          </cell>
          <cell r="B4552">
            <v>33.71</v>
          </cell>
        </row>
        <row r="4553">
          <cell r="A4553">
            <v>37992</v>
          </cell>
          <cell r="B4553">
            <v>33.54</v>
          </cell>
        </row>
        <row r="4554">
          <cell r="A4554">
            <v>37993</v>
          </cell>
          <cell r="B4554">
            <v>33.57</v>
          </cell>
        </row>
        <row r="4555">
          <cell r="A4555">
            <v>37994</v>
          </cell>
          <cell r="B4555">
            <v>34.270000000000003</v>
          </cell>
        </row>
        <row r="4556">
          <cell r="A4556">
            <v>37995</v>
          </cell>
          <cell r="B4556">
            <v>34.380000000000003</v>
          </cell>
        </row>
        <row r="4557">
          <cell r="A4557">
            <v>37998</v>
          </cell>
          <cell r="B4557">
            <v>34.92</v>
          </cell>
        </row>
        <row r="4558">
          <cell r="A4558">
            <v>37999</v>
          </cell>
          <cell r="B4558">
            <v>34.26</v>
          </cell>
        </row>
        <row r="4559">
          <cell r="A4559">
            <v>38000</v>
          </cell>
          <cell r="B4559">
            <v>34.619999999999997</v>
          </cell>
        </row>
        <row r="4560">
          <cell r="A4560">
            <v>38001</v>
          </cell>
          <cell r="B4560">
            <v>33.61</v>
          </cell>
        </row>
        <row r="4561">
          <cell r="A4561">
            <v>38002</v>
          </cell>
          <cell r="B4561">
            <v>35.159999999999997</v>
          </cell>
        </row>
        <row r="4562">
          <cell r="A4562">
            <v>38006</v>
          </cell>
          <cell r="B4562">
            <v>36.21</v>
          </cell>
        </row>
        <row r="4563">
          <cell r="A4563">
            <v>38007</v>
          </cell>
          <cell r="B4563">
            <v>35.53</v>
          </cell>
        </row>
        <row r="4564">
          <cell r="A4564">
            <v>38008</v>
          </cell>
          <cell r="B4564">
            <v>35.119999999999997</v>
          </cell>
        </row>
        <row r="4565">
          <cell r="A4565">
            <v>38009</v>
          </cell>
          <cell r="B4565">
            <v>34.94</v>
          </cell>
        </row>
        <row r="4566">
          <cell r="A4566">
            <v>38012</v>
          </cell>
          <cell r="B4566">
            <v>34.409999999999997</v>
          </cell>
        </row>
        <row r="4567">
          <cell r="A4567">
            <v>38013</v>
          </cell>
          <cell r="B4567">
            <v>33.99</v>
          </cell>
        </row>
        <row r="4568">
          <cell r="A4568">
            <v>38014</v>
          </cell>
          <cell r="B4568">
            <v>33.630000000000003</v>
          </cell>
        </row>
        <row r="4569">
          <cell r="A4569">
            <v>38015</v>
          </cell>
          <cell r="B4569">
            <v>32.86</v>
          </cell>
        </row>
        <row r="4570">
          <cell r="A4570">
            <v>38016</v>
          </cell>
          <cell r="B4570">
            <v>33.159999999999997</v>
          </cell>
        </row>
        <row r="4571">
          <cell r="A4571">
            <v>38019</v>
          </cell>
          <cell r="B4571">
            <v>34.020000000000003</v>
          </cell>
        </row>
        <row r="4572">
          <cell r="A4572">
            <v>38020</v>
          </cell>
          <cell r="B4572">
            <v>34.200000000000003</v>
          </cell>
        </row>
        <row r="4573">
          <cell r="A4573">
            <v>38021</v>
          </cell>
          <cell r="B4573">
            <v>33.06</v>
          </cell>
        </row>
        <row r="4574">
          <cell r="A4574">
            <v>38022</v>
          </cell>
          <cell r="B4574">
            <v>33.26</v>
          </cell>
        </row>
        <row r="4575">
          <cell r="A4575">
            <v>38023</v>
          </cell>
          <cell r="B4575">
            <v>32.49</v>
          </cell>
        </row>
        <row r="4576">
          <cell r="A4576">
            <v>38026</v>
          </cell>
          <cell r="B4576">
            <v>32.909999999999997</v>
          </cell>
        </row>
        <row r="4577">
          <cell r="A4577">
            <v>38027</v>
          </cell>
          <cell r="B4577">
            <v>34.03</v>
          </cell>
        </row>
        <row r="4578">
          <cell r="A4578">
            <v>38028</v>
          </cell>
          <cell r="B4578">
            <v>33.93</v>
          </cell>
        </row>
        <row r="4579">
          <cell r="A4579">
            <v>38029</v>
          </cell>
          <cell r="B4579">
            <v>34.03</v>
          </cell>
        </row>
        <row r="4580">
          <cell r="A4580">
            <v>38030</v>
          </cell>
          <cell r="B4580">
            <v>34.51</v>
          </cell>
        </row>
        <row r="4581">
          <cell r="A4581">
            <v>38034</v>
          </cell>
          <cell r="B4581">
            <v>35.130000000000003</v>
          </cell>
        </row>
        <row r="4582">
          <cell r="A4582">
            <v>38035</v>
          </cell>
          <cell r="B4582">
            <v>35.42</v>
          </cell>
        </row>
        <row r="4583">
          <cell r="A4583">
            <v>38036</v>
          </cell>
          <cell r="B4583">
            <v>35.81</v>
          </cell>
        </row>
        <row r="4584">
          <cell r="A4584">
            <v>38037</v>
          </cell>
          <cell r="B4584">
            <v>35.799999999999997</v>
          </cell>
        </row>
        <row r="4585">
          <cell r="A4585">
            <v>38040</v>
          </cell>
          <cell r="B4585">
            <v>35.75</v>
          </cell>
        </row>
        <row r="4586">
          <cell r="A4586">
            <v>38041</v>
          </cell>
          <cell r="B4586">
            <v>35.85</v>
          </cell>
        </row>
        <row r="4587">
          <cell r="A4587">
            <v>38042</v>
          </cell>
          <cell r="B4587">
            <v>37.28</v>
          </cell>
        </row>
        <row r="4588">
          <cell r="A4588">
            <v>38043</v>
          </cell>
          <cell r="B4588">
            <v>35.450000000000003</v>
          </cell>
        </row>
        <row r="4589">
          <cell r="A4589">
            <v>38044</v>
          </cell>
          <cell r="B4589">
            <v>36.08</v>
          </cell>
        </row>
        <row r="4590">
          <cell r="A4590">
            <v>38047</v>
          </cell>
          <cell r="B4590">
            <v>36.85</v>
          </cell>
        </row>
        <row r="4591">
          <cell r="A4591">
            <v>38048</v>
          </cell>
          <cell r="B4591">
            <v>36.6</v>
          </cell>
        </row>
        <row r="4592">
          <cell r="A4592">
            <v>38049</v>
          </cell>
          <cell r="B4592">
            <v>35.799999999999997</v>
          </cell>
        </row>
        <row r="4593">
          <cell r="A4593">
            <v>38050</v>
          </cell>
          <cell r="B4593">
            <v>36.81</v>
          </cell>
        </row>
        <row r="4594">
          <cell r="A4594">
            <v>38051</v>
          </cell>
          <cell r="B4594">
            <v>37.31</v>
          </cell>
        </row>
        <row r="4595">
          <cell r="A4595">
            <v>38054</v>
          </cell>
          <cell r="B4595">
            <v>36.53</v>
          </cell>
        </row>
        <row r="4596">
          <cell r="A4596">
            <v>38055</v>
          </cell>
          <cell r="B4596">
            <v>36.29</v>
          </cell>
        </row>
        <row r="4597">
          <cell r="A4597">
            <v>38056</v>
          </cell>
          <cell r="B4597">
            <v>36.21</v>
          </cell>
        </row>
        <row r="4598">
          <cell r="A4598">
            <v>38057</v>
          </cell>
          <cell r="B4598">
            <v>36.950000000000003</v>
          </cell>
        </row>
        <row r="4599">
          <cell r="A4599">
            <v>38058</v>
          </cell>
          <cell r="B4599">
            <v>36.21</v>
          </cell>
        </row>
        <row r="4600">
          <cell r="A4600">
            <v>38061</v>
          </cell>
          <cell r="B4600">
            <v>37.44</v>
          </cell>
        </row>
        <row r="4601">
          <cell r="A4601">
            <v>38062</v>
          </cell>
          <cell r="B4601">
            <v>37.36</v>
          </cell>
        </row>
        <row r="4602">
          <cell r="A4602">
            <v>38063</v>
          </cell>
          <cell r="B4602">
            <v>38.21</v>
          </cell>
        </row>
        <row r="4603">
          <cell r="A4603">
            <v>38064</v>
          </cell>
          <cell r="B4603">
            <v>37.81</v>
          </cell>
        </row>
        <row r="4604">
          <cell r="A4604">
            <v>38065</v>
          </cell>
          <cell r="B4604">
            <v>38.090000000000003</v>
          </cell>
        </row>
        <row r="4605">
          <cell r="A4605">
            <v>38068</v>
          </cell>
          <cell r="B4605">
            <v>37.119999999999997</v>
          </cell>
        </row>
        <row r="4606">
          <cell r="A4606">
            <v>38069</v>
          </cell>
          <cell r="B4606">
            <v>37.81</v>
          </cell>
        </row>
        <row r="4607">
          <cell r="A4607">
            <v>38070</v>
          </cell>
          <cell r="B4607">
            <v>37.06</v>
          </cell>
        </row>
        <row r="4608">
          <cell r="A4608">
            <v>38071</v>
          </cell>
          <cell r="B4608">
            <v>35.67</v>
          </cell>
        </row>
        <row r="4609">
          <cell r="A4609">
            <v>38072</v>
          </cell>
          <cell r="B4609">
            <v>35.61</v>
          </cell>
        </row>
        <row r="4610">
          <cell r="A4610">
            <v>38075</v>
          </cell>
          <cell r="B4610">
            <v>35.409999999999997</v>
          </cell>
        </row>
        <row r="4611">
          <cell r="A4611">
            <v>38076</v>
          </cell>
          <cell r="B4611">
            <v>36.15</v>
          </cell>
        </row>
        <row r="4612">
          <cell r="A4612">
            <v>38077</v>
          </cell>
          <cell r="B4612">
            <v>35.75</v>
          </cell>
        </row>
        <row r="4613">
          <cell r="A4613">
            <v>38078</v>
          </cell>
          <cell r="B4613">
            <v>34.47</v>
          </cell>
        </row>
        <row r="4614">
          <cell r="A4614">
            <v>38079</v>
          </cell>
          <cell r="B4614">
            <v>34.39</v>
          </cell>
        </row>
        <row r="4615">
          <cell r="A4615">
            <v>38082</v>
          </cell>
          <cell r="B4615">
            <v>34.29</v>
          </cell>
        </row>
        <row r="4616">
          <cell r="A4616">
            <v>38083</v>
          </cell>
          <cell r="B4616">
            <v>35.090000000000003</v>
          </cell>
        </row>
        <row r="4617">
          <cell r="A4617">
            <v>38084</v>
          </cell>
          <cell r="B4617">
            <v>36.28</v>
          </cell>
        </row>
        <row r="4618">
          <cell r="A4618">
            <v>38085</v>
          </cell>
          <cell r="B4618">
            <v>37.14</v>
          </cell>
        </row>
        <row r="4619">
          <cell r="A4619">
            <v>38089</v>
          </cell>
          <cell r="B4619">
            <v>37.79</v>
          </cell>
        </row>
        <row r="4620">
          <cell r="A4620">
            <v>38090</v>
          </cell>
          <cell r="B4620">
            <v>37.090000000000003</v>
          </cell>
        </row>
        <row r="4621">
          <cell r="A4621">
            <v>38091</v>
          </cell>
          <cell r="B4621">
            <v>36.619999999999997</v>
          </cell>
        </row>
        <row r="4622">
          <cell r="A4622">
            <v>38092</v>
          </cell>
          <cell r="B4622">
            <v>37.74</v>
          </cell>
        </row>
        <row r="4623">
          <cell r="A4623">
            <v>38093</v>
          </cell>
          <cell r="B4623">
            <v>37.700000000000003</v>
          </cell>
        </row>
        <row r="4624">
          <cell r="A4624">
            <v>38096</v>
          </cell>
          <cell r="B4624">
            <v>37.46</v>
          </cell>
        </row>
        <row r="4625">
          <cell r="A4625">
            <v>38097</v>
          </cell>
          <cell r="B4625">
            <v>37.61</v>
          </cell>
        </row>
        <row r="4626">
          <cell r="A4626">
            <v>38098</v>
          </cell>
          <cell r="B4626">
            <v>36.61</v>
          </cell>
        </row>
        <row r="4627">
          <cell r="A4627">
            <v>38099</v>
          </cell>
          <cell r="B4627">
            <v>37.700000000000003</v>
          </cell>
        </row>
        <row r="4628">
          <cell r="A4628">
            <v>38100</v>
          </cell>
          <cell r="B4628">
            <v>37.22</v>
          </cell>
        </row>
        <row r="4629">
          <cell r="A4629">
            <v>38103</v>
          </cell>
          <cell r="B4629">
            <v>37.020000000000003</v>
          </cell>
        </row>
        <row r="4630">
          <cell r="A4630">
            <v>38104</v>
          </cell>
          <cell r="B4630">
            <v>37.49</v>
          </cell>
        </row>
        <row r="4631">
          <cell r="A4631">
            <v>38105</v>
          </cell>
          <cell r="B4631">
            <v>37.229999999999997</v>
          </cell>
        </row>
        <row r="4632">
          <cell r="A4632">
            <v>38106</v>
          </cell>
          <cell r="B4632">
            <v>37.5</v>
          </cell>
        </row>
        <row r="4633">
          <cell r="A4633">
            <v>38107</v>
          </cell>
          <cell r="B4633">
            <v>37.31</v>
          </cell>
        </row>
        <row r="4634">
          <cell r="A4634">
            <v>38110</v>
          </cell>
          <cell r="B4634">
            <v>38.26</v>
          </cell>
        </row>
        <row r="4635">
          <cell r="A4635">
            <v>38111</v>
          </cell>
          <cell r="B4635">
            <v>38.86</v>
          </cell>
        </row>
        <row r="4636">
          <cell r="A4636">
            <v>38112</v>
          </cell>
          <cell r="B4636">
            <v>39.69</v>
          </cell>
        </row>
        <row r="4637">
          <cell r="A4637">
            <v>38113</v>
          </cell>
          <cell r="B4637">
            <v>39.409999999999997</v>
          </cell>
        </row>
        <row r="4638">
          <cell r="A4638">
            <v>38114</v>
          </cell>
          <cell r="B4638">
            <v>39.979999999999997</v>
          </cell>
        </row>
        <row r="4639">
          <cell r="A4639">
            <v>38117</v>
          </cell>
          <cell r="B4639">
            <v>38.9</v>
          </cell>
        </row>
        <row r="4640">
          <cell r="A4640">
            <v>38118</v>
          </cell>
          <cell r="B4640">
            <v>40.299999999999997</v>
          </cell>
        </row>
        <row r="4641">
          <cell r="A4641">
            <v>38119</v>
          </cell>
          <cell r="B4641">
            <v>40.299999999999997</v>
          </cell>
        </row>
        <row r="4642">
          <cell r="A4642">
            <v>38120</v>
          </cell>
          <cell r="B4642">
            <v>40.94</v>
          </cell>
        </row>
        <row r="4643">
          <cell r="A4643">
            <v>38121</v>
          </cell>
          <cell r="B4643">
            <v>41.42</v>
          </cell>
        </row>
        <row r="4644">
          <cell r="A4644">
            <v>38124</v>
          </cell>
          <cell r="B4644">
            <v>41.53</v>
          </cell>
        </row>
        <row r="4645">
          <cell r="A4645">
            <v>38125</v>
          </cell>
          <cell r="B4645">
            <v>40.32</v>
          </cell>
        </row>
        <row r="4646">
          <cell r="A4646">
            <v>38126</v>
          </cell>
          <cell r="B4646">
            <v>41.61</v>
          </cell>
        </row>
        <row r="4647">
          <cell r="A4647">
            <v>38127</v>
          </cell>
          <cell r="B4647">
            <v>40.92</v>
          </cell>
        </row>
        <row r="4648">
          <cell r="A4648">
            <v>38128</v>
          </cell>
          <cell r="B4648">
            <v>39.83</v>
          </cell>
        </row>
        <row r="4649">
          <cell r="A4649">
            <v>38131</v>
          </cell>
          <cell r="B4649">
            <v>42.03</v>
          </cell>
        </row>
        <row r="4650">
          <cell r="A4650">
            <v>38132</v>
          </cell>
          <cell r="B4650">
            <v>41.45</v>
          </cell>
        </row>
        <row r="4651">
          <cell r="A4651">
            <v>38133</v>
          </cell>
          <cell r="B4651">
            <v>40.6</v>
          </cell>
        </row>
        <row r="4652">
          <cell r="A4652">
            <v>38134</v>
          </cell>
          <cell r="B4652">
            <v>39.25</v>
          </cell>
        </row>
        <row r="4653">
          <cell r="A4653">
            <v>38135</v>
          </cell>
          <cell r="B4653">
            <v>39.9</v>
          </cell>
        </row>
        <row r="4654">
          <cell r="A4654">
            <v>38139</v>
          </cell>
          <cell r="B4654">
            <v>42.33</v>
          </cell>
        </row>
        <row r="4655">
          <cell r="A4655">
            <v>38140</v>
          </cell>
          <cell r="B4655">
            <v>39.96</v>
          </cell>
        </row>
        <row r="4656">
          <cell r="A4656">
            <v>38141</v>
          </cell>
          <cell r="B4656">
            <v>39.29</v>
          </cell>
        </row>
        <row r="4657">
          <cell r="A4657">
            <v>38142</v>
          </cell>
          <cell r="B4657">
            <v>38.44</v>
          </cell>
        </row>
        <row r="4658">
          <cell r="A4658">
            <v>38145</v>
          </cell>
          <cell r="B4658">
            <v>38.72</v>
          </cell>
        </row>
        <row r="4659">
          <cell r="A4659">
            <v>38146</v>
          </cell>
          <cell r="B4659">
            <v>37.18</v>
          </cell>
        </row>
        <row r="4660">
          <cell r="A4660">
            <v>38147</v>
          </cell>
          <cell r="B4660">
            <v>37.6</v>
          </cell>
        </row>
        <row r="4661">
          <cell r="A4661">
            <v>38148</v>
          </cell>
          <cell r="B4661">
            <v>38.450000000000003</v>
          </cell>
        </row>
        <row r="4662">
          <cell r="A4662">
            <v>38152</v>
          </cell>
          <cell r="B4662">
            <v>37.58</v>
          </cell>
        </row>
        <row r="4663">
          <cell r="A4663">
            <v>38153</v>
          </cell>
          <cell r="B4663">
            <v>37.18</v>
          </cell>
        </row>
        <row r="4664">
          <cell r="A4664">
            <v>38154</v>
          </cell>
          <cell r="B4664">
            <v>37.33</v>
          </cell>
        </row>
        <row r="4665">
          <cell r="A4665">
            <v>38155</v>
          </cell>
          <cell r="B4665">
            <v>38.51</v>
          </cell>
        </row>
        <row r="4666">
          <cell r="A4666">
            <v>38156</v>
          </cell>
          <cell r="B4666">
            <v>38.68</v>
          </cell>
        </row>
        <row r="4667">
          <cell r="A4667">
            <v>38159</v>
          </cell>
          <cell r="B4667">
            <v>37.69</v>
          </cell>
        </row>
        <row r="4668">
          <cell r="A4668">
            <v>38160</v>
          </cell>
          <cell r="B4668">
            <v>38.11</v>
          </cell>
        </row>
        <row r="4669">
          <cell r="A4669">
            <v>38161</v>
          </cell>
          <cell r="B4669">
            <v>37.56</v>
          </cell>
        </row>
        <row r="4670">
          <cell r="A4670">
            <v>38162</v>
          </cell>
          <cell r="B4670">
            <v>37.81</v>
          </cell>
        </row>
        <row r="4671">
          <cell r="A4671">
            <v>38163</v>
          </cell>
          <cell r="B4671">
            <v>37.340000000000003</v>
          </cell>
        </row>
        <row r="4672">
          <cell r="A4672">
            <v>38166</v>
          </cell>
          <cell r="B4672">
            <v>36.25</v>
          </cell>
        </row>
        <row r="4673">
          <cell r="A4673">
            <v>38167</v>
          </cell>
          <cell r="B4673">
            <v>35.6</v>
          </cell>
        </row>
        <row r="4674">
          <cell r="A4674">
            <v>38168</v>
          </cell>
          <cell r="B4674">
            <v>36.92</v>
          </cell>
        </row>
        <row r="4675">
          <cell r="A4675">
            <v>38169</v>
          </cell>
          <cell r="B4675">
            <v>38.56</v>
          </cell>
        </row>
        <row r="4676">
          <cell r="A4676">
            <v>38170</v>
          </cell>
          <cell r="B4676">
            <v>38.369999999999997</v>
          </cell>
        </row>
        <row r="4677">
          <cell r="A4677">
            <v>38174</v>
          </cell>
          <cell r="B4677">
            <v>39.56</v>
          </cell>
        </row>
        <row r="4678">
          <cell r="A4678">
            <v>38175</v>
          </cell>
          <cell r="B4678">
            <v>39.18</v>
          </cell>
        </row>
        <row r="4679">
          <cell r="A4679">
            <v>38176</v>
          </cell>
          <cell r="B4679">
            <v>40.270000000000003</v>
          </cell>
        </row>
        <row r="4680">
          <cell r="A4680">
            <v>38177</v>
          </cell>
          <cell r="B4680">
            <v>39.9</v>
          </cell>
        </row>
        <row r="4681">
          <cell r="A4681">
            <v>38180</v>
          </cell>
          <cell r="B4681">
            <v>39.299999999999997</v>
          </cell>
        </row>
        <row r="4682">
          <cell r="A4682">
            <v>38181</v>
          </cell>
          <cell r="B4682">
            <v>39.549999999999997</v>
          </cell>
        </row>
        <row r="4683">
          <cell r="A4683">
            <v>38182</v>
          </cell>
          <cell r="B4683">
            <v>40.98</v>
          </cell>
        </row>
        <row r="4684">
          <cell r="A4684">
            <v>38183</v>
          </cell>
          <cell r="B4684">
            <v>40.700000000000003</v>
          </cell>
        </row>
        <row r="4685">
          <cell r="A4685">
            <v>38184</v>
          </cell>
          <cell r="B4685">
            <v>41.1</v>
          </cell>
        </row>
        <row r="4686">
          <cell r="A4686">
            <v>38187</v>
          </cell>
          <cell r="B4686">
            <v>41.55</v>
          </cell>
        </row>
        <row r="4687">
          <cell r="A4687">
            <v>38188</v>
          </cell>
          <cell r="B4687">
            <v>40.86</v>
          </cell>
        </row>
        <row r="4688">
          <cell r="A4688">
            <v>38189</v>
          </cell>
          <cell r="B4688">
            <v>40.630000000000003</v>
          </cell>
        </row>
        <row r="4689">
          <cell r="A4689">
            <v>38190</v>
          </cell>
          <cell r="B4689">
            <v>41.51</v>
          </cell>
        </row>
        <row r="4690">
          <cell r="A4690">
            <v>38191</v>
          </cell>
          <cell r="B4690">
            <v>41.82</v>
          </cell>
        </row>
        <row r="4691">
          <cell r="A4691">
            <v>38194</v>
          </cell>
          <cell r="B4691">
            <v>41.45</v>
          </cell>
        </row>
        <row r="4692">
          <cell r="A4692">
            <v>38195</v>
          </cell>
          <cell r="B4692">
            <v>41.83</v>
          </cell>
        </row>
        <row r="4693">
          <cell r="A4693">
            <v>38196</v>
          </cell>
          <cell r="B4693">
            <v>42.81</v>
          </cell>
        </row>
        <row r="4694">
          <cell r="A4694">
            <v>38197</v>
          </cell>
          <cell r="B4694">
            <v>42.69</v>
          </cell>
        </row>
        <row r="4695">
          <cell r="A4695">
            <v>38198</v>
          </cell>
          <cell r="B4695">
            <v>43.72</v>
          </cell>
        </row>
        <row r="4696">
          <cell r="A4696">
            <v>38201</v>
          </cell>
          <cell r="B4696">
            <v>43.83</v>
          </cell>
        </row>
        <row r="4697">
          <cell r="A4697">
            <v>38202</v>
          </cell>
          <cell r="B4697">
            <v>44.13</v>
          </cell>
        </row>
        <row r="4698">
          <cell r="A4698">
            <v>38203</v>
          </cell>
          <cell r="B4698">
            <v>42.73</v>
          </cell>
        </row>
        <row r="4699">
          <cell r="A4699">
            <v>38204</v>
          </cell>
          <cell r="B4699">
            <v>44.39</v>
          </cell>
        </row>
        <row r="4700">
          <cell r="A4700">
            <v>38205</v>
          </cell>
          <cell r="B4700">
            <v>43.95</v>
          </cell>
        </row>
        <row r="4701">
          <cell r="A4701">
            <v>38208</v>
          </cell>
          <cell r="B4701">
            <v>44.86</v>
          </cell>
        </row>
        <row r="4702">
          <cell r="A4702">
            <v>38209</v>
          </cell>
          <cell r="B4702">
            <v>44.51</v>
          </cell>
        </row>
        <row r="4703">
          <cell r="A4703">
            <v>38210</v>
          </cell>
          <cell r="B4703">
            <v>44.72</v>
          </cell>
        </row>
        <row r="4704">
          <cell r="A4704">
            <v>38211</v>
          </cell>
          <cell r="B4704">
            <v>45.52</v>
          </cell>
        </row>
        <row r="4705">
          <cell r="A4705">
            <v>38212</v>
          </cell>
          <cell r="B4705">
            <v>46.61</v>
          </cell>
        </row>
        <row r="4706">
          <cell r="A4706">
            <v>38215</v>
          </cell>
          <cell r="B4706">
            <v>46.02</v>
          </cell>
        </row>
        <row r="4707">
          <cell r="A4707">
            <v>38216</v>
          </cell>
          <cell r="B4707">
            <v>46.75</v>
          </cell>
        </row>
        <row r="4708">
          <cell r="A4708">
            <v>38217</v>
          </cell>
          <cell r="B4708">
            <v>47.36</v>
          </cell>
        </row>
        <row r="4709">
          <cell r="A4709">
            <v>38218</v>
          </cell>
          <cell r="B4709">
            <v>48.66</v>
          </cell>
        </row>
        <row r="4710">
          <cell r="A4710">
            <v>38219</v>
          </cell>
          <cell r="B4710">
            <v>47.6</v>
          </cell>
        </row>
        <row r="4711">
          <cell r="A4711">
            <v>38222</v>
          </cell>
          <cell r="B4711">
            <v>46</v>
          </cell>
        </row>
        <row r="4712">
          <cell r="A4712">
            <v>38223</v>
          </cell>
          <cell r="B4712">
            <v>45.68</v>
          </cell>
        </row>
        <row r="4713">
          <cell r="A4713">
            <v>38224</v>
          </cell>
          <cell r="B4713">
            <v>43.83</v>
          </cell>
        </row>
        <row r="4714">
          <cell r="A4714">
            <v>38225</v>
          </cell>
          <cell r="B4714">
            <v>43.06</v>
          </cell>
        </row>
        <row r="4715">
          <cell r="A4715">
            <v>38226</v>
          </cell>
          <cell r="B4715">
            <v>43.11</v>
          </cell>
        </row>
        <row r="4716">
          <cell r="A4716">
            <v>38229</v>
          </cell>
          <cell r="B4716">
            <v>42.32</v>
          </cell>
        </row>
        <row r="4717">
          <cell r="A4717">
            <v>38230</v>
          </cell>
          <cell r="B4717">
            <v>42.23</v>
          </cell>
        </row>
        <row r="4718">
          <cell r="A4718">
            <v>38231</v>
          </cell>
          <cell r="B4718">
            <v>43.89</v>
          </cell>
        </row>
        <row r="4719">
          <cell r="A4719">
            <v>38232</v>
          </cell>
          <cell r="B4719">
            <v>44.04</v>
          </cell>
        </row>
        <row r="4720">
          <cell r="A4720">
            <v>38233</v>
          </cell>
          <cell r="B4720">
            <v>43.94</v>
          </cell>
        </row>
        <row r="4721">
          <cell r="A4721">
            <v>38237</v>
          </cell>
          <cell r="B4721">
            <v>43.18</v>
          </cell>
        </row>
        <row r="4722">
          <cell r="A4722">
            <v>38238</v>
          </cell>
          <cell r="B4722">
            <v>42.77</v>
          </cell>
        </row>
        <row r="4723">
          <cell r="A4723">
            <v>38239</v>
          </cell>
          <cell r="B4723">
            <v>44.53</v>
          </cell>
        </row>
        <row r="4724">
          <cell r="A4724">
            <v>38240</v>
          </cell>
          <cell r="B4724">
            <v>42.84</v>
          </cell>
        </row>
        <row r="4725">
          <cell r="A4725">
            <v>38243</v>
          </cell>
          <cell r="B4725">
            <v>43.86</v>
          </cell>
        </row>
        <row r="4726">
          <cell r="A4726">
            <v>38244</v>
          </cell>
          <cell r="B4726">
            <v>44.62</v>
          </cell>
        </row>
        <row r="4727">
          <cell r="A4727">
            <v>38245</v>
          </cell>
          <cell r="B4727">
            <v>43.83</v>
          </cell>
        </row>
        <row r="4728">
          <cell r="A4728">
            <v>38246</v>
          </cell>
          <cell r="B4728">
            <v>44.03</v>
          </cell>
        </row>
        <row r="4729">
          <cell r="A4729">
            <v>38247</v>
          </cell>
          <cell r="B4729">
            <v>45.63</v>
          </cell>
        </row>
        <row r="4730">
          <cell r="A4730">
            <v>38250</v>
          </cell>
          <cell r="B4730">
            <v>46.33</v>
          </cell>
        </row>
        <row r="4731">
          <cell r="A4731">
            <v>38251</v>
          </cell>
          <cell r="B4731">
            <v>47.11</v>
          </cell>
        </row>
        <row r="4732">
          <cell r="A4732">
            <v>38252</v>
          </cell>
          <cell r="B4732">
            <v>48.41</v>
          </cell>
        </row>
        <row r="4733">
          <cell r="A4733">
            <v>38253</v>
          </cell>
          <cell r="B4733">
            <v>48.37</v>
          </cell>
        </row>
        <row r="4734">
          <cell r="A4734">
            <v>38254</v>
          </cell>
          <cell r="B4734">
            <v>48.86</v>
          </cell>
        </row>
        <row r="4735">
          <cell r="A4735">
            <v>38257</v>
          </cell>
          <cell r="B4735">
            <v>49.56</v>
          </cell>
        </row>
        <row r="4736">
          <cell r="A4736">
            <v>38258</v>
          </cell>
          <cell r="B4736">
            <v>49.76</v>
          </cell>
        </row>
        <row r="4737">
          <cell r="A4737">
            <v>38259</v>
          </cell>
          <cell r="B4737">
            <v>49.53</v>
          </cell>
        </row>
        <row r="4738">
          <cell r="A4738">
            <v>38260</v>
          </cell>
          <cell r="B4738">
            <v>49.56</v>
          </cell>
        </row>
        <row r="4739">
          <cell r="A4739">
            <v>38261</v>
          </cell>
          <cell r="B4739">
            <v>50.16</v>
          </cell>
        </row>
        <row r="4740">
          <cell r="A4740">
            <v>38264</v>
          </cell>
          <cell r="B4740">
            <v>49.85</v>
          </cell>
        </row>
        <row r="4741">
          <cell r="A4741">
            <v>38265</v>
          </cell>
          <cell r="B4741">
            <v>51.08</v>
          </cell>
        </row>
        <row r="4742">
          <cell r="A4742">
            <v>38266</v>
          </cell>
          <cell r="B4742">
            <v>51.98</v>
          </cell>
        </row>
        <row r="4743">
          <cell r="A4743">
            <v>38267</v>
          </cell>
          <cell r="B4743">
            <v>52.56</v>
          </cell>
        </row>
        <row r="4744">
          <cell r="A4744">
            <v>38268</v>
          </cell>
          <cell r="B4744">
            <v>53.4</v>
          </cell>
        </row>
        <row r="4745">
          <cell r="A4745">
            <v>38271</v>
          </cell>
          <cell r="B4745">
            <v>53.65</v>
          </cell>
        </row>
        <row r="4746">
          <cell r="A4746">
            <v>38272</v>
          </cell>
          <cell r="B4746">
            <v>53.49</v>
          </cell>
        </row>
        <row r="4747">
          <cell r="A4747">
            <v>38273</v>
          </cell>
          <cell r="B4747">
            <v>53.86</v>
          </cell>
        </row>
        <row r="4748">
          <cell r="A4748">
            <v>38274</v>
          </cell>
          <cell r="B4748">
            <v>54.69</v>
          </cell>
        </row>
        <row r="4749">
          <cell r="A4749">
            <v>38275</v>
          </cell>
          <cell r="B4749">
            <v>54.89</v>
          </cell>
        </row>
        <row r="4750">
          <cell r="A4750">
            <v>38278</v>
          </cell>
          <cell r="B4750">
            <v>53.59</v>
          </cell>
        </row>
        <row r="4751">
          <cell r="A4751">
            <v>38279</v>
          </cell>
          <cell r="B4751">
            <v>53.28</v>
          </cell>
        </row>
        <row r="4752">
          <cell r="A4752">
            <v>38280</v>
          </cell>
          <cell r="B4752">
            <v>54.93</v>
          </cell>
        </row>
        <row r="4753">
          <cell r="A4753">
            <v>38281</v>
          </cell>
          <cell r="B4753">
            <v>54.51</v>
          </cell>
        </row>
        <row r="4754">
          <cell r="A4754">
            <v>38282</v>
          </cell>
          <cell r="B4754">
            <v>55.83</v>
          </cell>
        </row>
        <row r="4755">
          <cell r="A4755">
            <v>38285</v>
          </cell>
          <cell r="B4755">
            <v>55.52</v>
          </cell>
        </row>
        <row r="4756">
          <cell r="A4756">
            <v>38286</v>
          </cell>
          <cell r="B4756">
            <v>56.37</v>
          </cell>
        </row>
        <row r="4757">
          <cell r="A4757">
            <v>38287</v>
          </cell>
          <cell r="B4757">
            <v>52.52</v>
          </cell>
        </row>
        <row r="4758">
          <cell r="A4758">
            <v>38288</v>
          </cell>
          <cell r="B4758">
            <v>50.95</v>
          </cell>
        </row>
        <row r="4759">
          <cell r="A4759">
            <v>38289</v>
          </cell>
          <cell r="B4759">
            <v>51.78</v>
          </cell>
        </row>
        <row r="4760">
          <cell r="A4760">
            <v>38292</v>
          </cell>
          <cell r="B4760">
            <v>50.1</v>
          </cell>
        </row>
        <row r="4761">
          <cell r="A4761">
            <v>38293</v>
          </cell>
          <cell r="B4761">
            <v>49.6</v>
          </cell>
        </row>
        <row r="4762">
          <cell r="A4762">
            <v>38294</v>
          </cell>
          <cell r="B4762">
            <v>50.9</v>
          </cell>
        </row>
        <row r="4763">
          <cell r="A4763">
            <v>38295</v>
          </cell>
          <cell r="B4763">
            <v>48.8</v>
          </cell>
        </row>
        <row r="4764">
          <cell r="A4764">
            <v>38296</v>
          </cell>
          <cell r="B4764">
            <v>49.65</v>
          </cell>
        </row>
        <row r="4765">
          <cell r="A4765">
            <v>38299</v>
          </cell>
          <cell r="B4765">
            <v>49.1</v>
          </cell>
        </row>
        <row r="4766">
          <cell r="A4766">
            <v>38300</v>
          </cell>
          <cell r="B4766">
            <v>47.4</v>
          </cell>
        </row>
        <row r="4767">
          <cell r="A4767">
            <v>38301</v>
          </cell>
          <cell r="B4767">
            <v>48.7</v>
          </cell>
        </row>
        <row r="4768">
          <cell r="A4768">
            <v>38302</v>
          </cell>
          <cell r="B4768">
            <v>47.5</v>
          </cell>
        </row>
        <row r="4769">
          <cell r="A4769">
            <v>38303</v>
          </cell>
          <cell r="B4769">
            <v>47.3</v>
          </cell>
        </row>
        <row r="4770">
          <cell r="A4770">
            <v>38306</v>
          </cell>
          <cell r="B4770">
            <v>46.95</v>
          </cell>
        </row>
        <row r="4771">
          <cell r="A4771">
            <v>38307</v>
          </cell>
          <cell r="B4771">
            <v>46.1</v>
          </cell>
        </row>
        <row r="4772">
          <cell r="A4772">
            <v>38308</v>
          </cell>
          <cell r="B4772">
            <v>46.85</v>
          </cell>
        </row>
        <row r="4773">
          <cell r="A4773">
            <v>38309</v>
          </cell>
          <cell r="B4773">
            <v>46.3</v>
          </cell>
        </row>
        <row r="4774">
          <cell r="A4774">
            <v>38310</v>
          </cell>
          <cell r="B4774">
            <v>48.9</v>
          </cell>
        </row>
        <row r="4775">
          <cell r="A4775">
            <v>38313</v>
          </cell>
          <cell r="B4775">
            <v>48.48</v>
          </cell>
        </row>
        <row r="4776">
          <cell r="A4776">
            <v>38314</v>
          </cell>
          <cell r="B4776">
            <v>48.74</v>
          </cell>
        </row>
        <row r="4777">
          <cell r="A4777">
            <v>38315</v>
          </cell>
          <cell r="B4777">
            <v>49.14</v>
          </cell>
        </row>
        <row r="4778">
          <cell r="A4778">
            <v>38320</v>
          </cell>
          <cell r="B4778">
            <v>49.71</v>
          </cell>
        </row>
        <row r="4779">
          <cell r="A4779">
            <v>38321</v>
          </cell>
          <cell r="B4779">
            <v>49.16</v>
          </cell>
        </row>
        <row r="4780">
          <cell r="A4780">
            <v>38322</v>
          </cell>
          <cell r="B4780">
            <v>45.56</v>
          </cell>
        </row>
        <row r="4781">
          <cell r="A4781">
            <v>38323</v>
          </cell>
          <cell r="B4781">
            <v>43.31</v>
          </cell>
        </row>
        <row r="4782">
          <cell r="A4782">
            <v>38324</v>
          </cell>
          <cell r="B4782">
            <v>42.56</v>
          </cell>
        </row>
        <row r="4783">
          <cell r="A4783">
            <v>38327</v>
          </cell>
          <cell r="B4783">
            <v>42.96</v>
          </cell>
        </row>
        <row r="4784">
          <cell r="A4784">
            <v>38328</v>
          </cell>
          <cell r="B4784">
            <v>41.51</v>
          </cell>
        </row>
        <row r="4785">
          <cell r="A4785">
            <v>38329</v>
          </cell>
          <cell r="B4785">
            <v>41.96</v>
          </cell>
        </row>
        <row r="4786">
          <cell r="A4786">
            <v>38330</v>
          </cell>
          <cell r="B4786">
            <v>42.41</v>
          </cell>
        </row>
        <row r="4787">
          <cell r="A4787">
            <v>38331</v>
          </cell>
          <cell r="B4787">
            <v>40.71</v>
          </cell>
        </row>
        <row r="4788">
          <cell r="A4788">
            <v>38334</v>
          </cell>
          <cell r="B4788">
            <v>41.06</v>
          </cell>
        </row>
        <row r="4789">
          <cell r="A4789">
            <v>38335</v>
          </cell>
          <cell r="B4789">
            <v>41.76</v>
          </cell>
        </row>
        <row r="4790">
          <cell r="A4790">
            <v>38336</v>
          </cell>
          <cell r="B4790">
            <v>44.21</v>
          </cell>
        </row>
        <row r="4791">
          <cell r="A4791">
            <v>38337</v>
          </cell>
          <cell r="B4791">
            <v>44.16</v>
          </cell>
        </row>
        <row r="4792">
          <cell r="A4792">
            <v>38338</v>
          </cell>
          <cell r="B4792">
            <v>46.31</v>
          </cell>
        </row>
        <row r="4793">
          <cell r="A4793">
            <v>38341</v>
          </cell>
          <cell r="B4793">
            <v>45.57</v>
          </cell>
        </row>
        <row r="4794">
          <cell r="A4794">
            <v>38342</v>
          </cell>
          <cell r="B4794">
            <v>45.76</v>
          </cell>
        </row>
        <row r="4795">
          <cell r="A4795">
            <v>38343</v>
          </cell>
          <cell r="B4795">
            <v>44.05</v>
          </cell>
        </row>
        <row r="4796">
          <cell r="A4796">
            <v>38344</v>
          </cell>
          <cell r="B4796">
            <v>42.19</v>
          </cell>
        </row>
        <row r="4797">
          <cell r="A4797">
            <v>38348</v>
          </cell>
          <cell r="B4797">
            <v>41.26</v>
          </cell>
        </row>
        <row r="4798">
          <cell r="A4798">
            <v>38349</v>
          </cell>
          <cell r="B4798">
            <v>41.78</v>
          </cell>
        </row>
        <row r="4799">
          <cell r="A4799">
            <v>38350</v>
          </cell>
          <cell r="B4799">
            <v>43.69</v>
          </cell>
        </row>
        <row r="4800">
          <cell r="A4800">
            <v>38351</v>
          </cell>
          <cell r="B4800">
            <v>43.36</v>
          </cell>
        </row>
        <row r="4801">
          <cell r="A4801">
            <v>38355</v>
          </cell>
          <cell r="B4801">
            <v>42.16</v>
          </cell>
        </row>
        <row r="4802">
          <cell r="A4802">
            <v>38356</v>
          </cell>
          <cell r="B4802">
            <v>43.96</v>
          </cell>
        </row>
        <row r="4803">
          <cell r="A4803">
            <v>38357</v>
          </cell>
          <cell r="B4803">
            <v>43.41</v>
          </cell>
        </row>
        <row r="4804">
          <cell r="A4804">
            <v>38358</v>
          </cell>
          <cell r="B4804">
            <v>45.51</v>
          </cell>
        </row>
        <row r="4805">
          <cell r="A4805">
            <v>38359</v>
          </cell>
          <cell r="B4805">
            <v>45.32</v>
          </cell>
        </row>
        <row r="4806">
          <cell r="A4806">
            <v>38362</v>
          </cell>
          <cell r="B4806">
            <v>45.31</v>
          </cell>
        </row>
        <row r="4807">
          <cell r="A4807">
            <v>38363</v>
          </cell>
          <cell r="B4807">
            <v>45.66</v>
          </cell>
        </row>
        <row r="4808">
          <cell r="A4808">
            <v>38364</v>
          </cell>
          <cell r="B4808">
            <v>46.46</v>
          </cell>
        </row>
        <row r="4809">
          <cell r="A4809">
            <v>38365</v>
          </cell>
          <cell r="B4809">
            <v>48.11</v>
          </cell>
        </row>
        <row r="4810">
          <cell r="A4810">
            <v>38366</v>
          </cell>
          <cell r="B4810">
            <v>48.41</v>
          </cell>
        </row>
        <row r="4811">
          <cell r="A4811">
            <v>38370</v>
          </cell>
          <cell r="B4811">
            <v>48.46</v>
          </cell>
        </row>
        <row r="4812">
          <cell r="A4812">
            <v>38371</v>
          </cell>
          <cell r="B4812">
            <v>47.61</v>
          </cell>
        </row>
        <row r="4813">
          <cell r="A4813">
            <v>38372</v>
          </cell>
          <cell r="B4813">
            <v>47.01</v>
          </cell>
        </row>
        <row r="4814">
          <cell r="A4814">
            <v>38373</v>
          </cell>
          <cell r="B4814">
            <v>48.31</v>
          </cell>
        </row>
        <row r="4815">
          <cell r="A4815">
            <v>38376</v>
          </cell>
          <cell r="B4815">
            <v>48.61</v>
          </cell>
        </row>
        <row r="4816">
          <cell r="A4816">
            <v>38377</v>
          </cell>
          <cell r="B4816">
            <v>49.43</v>
          </cell>
        </row>
        <row r="4817">
          <cell r="A4817">
            <v>38378</v>
          </cell>
          <cell r="B4817">
            <v>48.8</v>
          </cell>
        </row>
        <row r="4818">
          <cell r="A4818">
            <v>38379</v>
          </cell>
          <cell r="B4818">
            <v>48.8</v>
          </cell>
        </row>
        <row r="4819">
          <cell r="A4819">
            <v>38380</v>
          </cell>
          <cell r="B4819">
            <v>47.15</v>
          </cell>
        </row>
        <row r="4820">
          <cell r="A4820">
            <v>38383</v>
          </cell>
          <cell r="B4820">
            <v>48.25</v>
          </cell>
        </row>
        <row r="4821">
          <cell r="A4821">
            <v>38384</v>
          </cell>
          <cell r="B4821">
            <v>47.1</v>
          </cell>
        </row>
        <row r="4822">
          <cell r="A4822">
            <v>38385</v>
          </cell>
          <cell r="B4822">
            <v>46.65</v>
          </cell>
        </row>
        <row r="4823">
          <cell r="A4823">
            <v>38386</v>
          </cell>
          <cell r="B4823">
            <v>46.4</v>
          </cell>
        </row>
        <row r="4824">
          <cell r="A4824">
            <v>38387</v>
          </cell>
          <cell r="B4824">
            <v>46.45</v>
          </cell>
        </row>
        <row r="4825">
          <cell r="A4825">
            <v>38390</v>
          </cell>
          <cell r="B4825">
            <v>45.35</v>
          </cell>
        </row>
        <row r="4826">
          <cell r="A4826">
            <v>38391</v>
          </cell>
          <cell r="B4826">
            <v>45.4</v>
          </cell>
        </row>
        <row r="4827">
          <cell r="A4827">
            <v>38392</v>
          </cell>
          <cell r="B4827">
            <v>45.45</v>
          </cell>
        </row>
        <row r="4828">
          <cell r="A4828">
            <v>38393</v>
          </cell>
          <cell r="B4828">
            <v>47.05</v>
          </cell>
        </row>
        <row r="4829">
          <cell r="A4829">
            <v>38394</v>
          </cell>
          <cell r="B4829">
            <v>47.15</v>
          </cell>
        </row>
        <row r="4830">
          <cell r="A4830">
            <v>38397</v>
          </cell>
          <cell r="B4830">
            <v>47.5</v>
          </cell>
        </row>
        <row r="4831">
          <cell r="A4831">
            <v>38398</v>
          </cell>
          <cell r="B4831">
            <v>47.3</v>
          </cell>
        </row>
        <row r="4832">
          <cell r="A4832">
            <v>38399</v>
          </cell>
          <cell r="B4832">
            <v>48.35</v>
          </cell>
        </row>
        <row r="4833">
          <cell r="A4833">
            <v>38400</v>
          </cell>
          <cell r="B4833">
            <v>47.5</v>
          </cell>
        </row>
        <row r="4834">
          <cell r="A4834">
            <v>38401</v>
          </cell>
          <cell r="B4834">
            <v>48.45</v>
          </cell>
        </row>
        <row r="4835">
          <cell r="A4835">
            <v>38405</v>
          </cell>
          <cell r="B4835">
            <v>51</v>
          </cell>
        </row>
        <row r="4836">
          <cell r="A4836">
            <v>38406</v>
          </cell>
          <cell r="B4836">
            <v>51.73</v>
          </cell>
        </row>
        <row r="4837">
          <cell r="A4837">
            <v>38407</v>
          </cell>
          <cell r="B4837">
            <v>52.05</v>
          </cell>
        </row>
        <row r="4838">
          <cell r="A4838">
            <v>38408</v>
          </cell>
          <cell r="B4838">
            <v>52.2</v>
          </cell>
        </row>
        <row r="4839">
          <cell r="A4839">
            <v>38411</v>
          </cell>
          <cell r="B4839">
            <v>51.75</v>
          </cell>
        </row>
        <row r="4840">
          <cell r="A4840">
            <v>38412</v>
          </cell>
          <cell r="B4840">
            <v>51.67</v>
          </cell>
        </row>
        <row r="4841">
          <cell r="A4841">
            <v>38413</v>
          </cell>
          <cell r="B4841">
            <v>53</v>
          </cell>
        </row>
        <row r="4842">
          <cell r="A4842">
            <v>38414</v>
          </cell>
          <cell r="B4842">
            <v>53.6</v>
          </cell>
        </row>
        <row r="4843">
          <cell r="A4843">
            <v>38415</v>
          </cell>
          <cell r="B4843">
            <v>53.7</v>
          </cell>
        </row>
        <row r="4844">
          <cell r="A4844">
            <v>38418</v>
          </cell>
          <cell r="B4844">
            <v>53.9</v>
          </cell>
        </row>
        <row r="4845">
          <cell r="A4845">
            <v>38419</v>
          </cell>
          <cell r="B4845">
            <v>54.55</v>
          </cell>
        </row>
        <row r="4846">
          <cell r="A4846">
            <v>38420</v>
          </cell>
          <cell r="B4846">
            <v>54.75</v>
          </cell>
        </row>
        <row r="4847">
          <cell r="A4847">
            <v>38421</v>
          </cell>
          <cell r="B4847">
            <v>53.52</v>
          </cell>
        </row>
        <row r="4848">
          <cell r="A4848">
            <v>38422</v>
          </cell>
          <cell r="B4848">
            <v>54.4</v>
          </cell>
        </row>
        <row r="4849">
          <cell r="A4849">
            <v>38425</v>
          </cell>
          <cell r="B4849">
            <v>54.9</v>
          </cell>
        </row>
        <row r="4850">
          <cell r="A4850">
            <v>38426</v>
          </cell>
          <cell r="B4850">
            <v>55.05</v>
          </cell>
        </row>
        <row r="4851">
          <cell r="A4851">
            <v>38427</v>
          </cell>
          <cell r="B4851">
            <v>56.5</v>
          </cell>
        </row>
        <row r="4852">
          <cell r="A4852">
            <v>38428</v>
          </cell>
          <cell r="B4852">
            <v>56.4</v>
          </cell>
        </row>
        <row r="4853">
          <cell r="A4853">
            <v>38429</v>
          </cell>
          <cell r="B4853">
            <v>56.8</v>
          </cell>
        </row>
        <row r="4854">
          <cell r="A4854">
            <v>38432</v>
          </cell>
          <cell r="B4854">
            <v>56.7</v>
          </cell>
        </row>
        <row r="4855">
          <cell r="A4855">
            <v>38433</v>
          </cell>
          <cell r="B4855">
            <v>55.95</v>
          </cell>
        </row>
        <row r="4856">
          <cell r="A4856">
            <v>38434</v>
          </cell>
          <cell r="B4856">
            <v>49.43</v>
          </cell>
        </row>
        <row r="4857">
          <cell r="A4857">
            <v>38435</v>
          </cell>
          <cell r="B4857">
            <v>49.7</v>
          </cell>
        </row>
        <row r="4858">
          <cell r="A4858">
            <v>38439</v>
          </cell>
          <cell r="B4858">
            <v>54.06</v>
          </cell>
        </row>
        <row r="4859">
          <cell r="A4859">
            <v>38440</v>
          </cell>
          <cell r="B4859">
            <v>54.26</v>
          </cell>
        </row>
        <row r="4860">
          <cell r="A4860">
            <v>38441</v>
          </cell>
          <cell r="B4860">
            <v>53.96</v>
          </cell>
        </row>
        <row r="4861">
          <cell r="A4861">
            <v>38442</v>
          </cell>
          <cell r="B4861">
            <v>55.31</v>
          </cell>
        </row>
        <row r="4862">
          <cell r="A4862">
            <v>38443</v>
          </cell>
          <cell r="B4862">
            <v>57.26</v>
          </cell>
        </row>
        <row r="4863">
          <cell r="A4863">
            <v>38446</v>
          </cell>
          <cell r="B4863">
            <v>56.86</v>
          </cell>
        </row>
        <row r="4864">
          <cell r="A4864">
            <v>38447</v>
          </cell>
          <cell r="B4864">
            <v>55.83</v>
          </cell>
        </row>
        <row r="4865">
          <cell r="A4865">
            <v>38448</v>
          </cell>
          <cell r="B4865">
            <v>55.88</v>
          </cell>
        </row>
        <row r="4866">
          <cell r="A4866">
            <v>38449</v>
          </cell>
          <cell r="B4866">
            <v>54.16</v>
          </cell>
        </row>
        <row r="4867">
          <cell r="A4867">
            <v>38450</v>
          </cell>
          <cell r="B4867">
            <v>53.46</v>
          </cell>
        </row>
        <row r="4868">
          <cell r="A4868">
            <v>38453</v>
          </cell>
          <cell r="B4868">
            <v>53.71</v>
          </cell>
        </row>
        <row r="4869">
          <cell r="A4869">
            <v>38454</v>
          </cell>
          <cell r="B4869">
            <v>51.54</v>
          </cell>
        </row>
        <row r="4870">
          <cell r="A4870">
            <v>38455</v>
          </cell>
          <cell r="B4870">
            <v>50.21</v>
          </cell>
        </row>
        <row r="4871">
          <cell r="A4871">
            <v>38456</v>
          </cell>
          <cell r="B4871">
            <v>51.11</v>
          </cell>
        </row>
        <row r="4872">
          <cell r="A4872">
            <v>38457</v>
          </cell>
          <cell r="B4872">
            <v>50.61</v>
          </cell>
        </row>
        <row r="4873">
          <cell r="A4873">
            <v>38460</v>
          </cell>
          <cell r="B4873">
            <v>50.52</v>
          </cell>
        </row>
        <row r="4874">
          <cell r="A4874">
            <v>38461</v>
          </cell>
          <cell r="B4874">
            <v>52.33</v>
          </cell>
        </row>
        <row r="4875">
          <cell r="A4875">
            <v>38462</v>
          </cell>
          <cell r="B4875">
            <v>52.45</v>
          </cell>
        </row>
        <row r="4876">
          <cell r="A4876">
            <v>38463</v>
          </cell>
          <cell r="B4876">
            <v>52.49</v>
          </cell>
        </row>
        <row r="4877">
          <cell r="A4877">
            <v>38464</v>
          </cell>
          <cell r="B4877">
            <v>54.16</v>
          </cell>
        </row>
        <row r="4878">
          <cell r="A4878">
            <v>38467</v>
          </cell>
          <cell r="B4878">
            <v>53.16</v>
          </cell>
        </row>
        <row r="4879">
          <cell r="A4879">
            <v>38468</v>
          </cell>
          <cell r="B4879">
            <v>54.33</v>
          </cell>
        </row>
        <row r="4880">
          <cell r="A4880">
            <v>38469</v>
          </cell>
          <cell r="B4880">
            <v>51.37</v>
          </cell>
        </row>
        <row r="4881">
          <cell r="A4881">
            <v>38470</v>
          </cell>
          <cell r="B4881">
            <v>51.92</v>
          </cell>
        </row>
        <row r="4882">
          <cell r="A4882">
            <v>38471</v>
          </cell>
          <cell r="B4882">
            <v>49.2</v>
          </cell>
        </row>
        <row r="4883">
          <cell r="A4883">
            <v>38474</v>
          </cell>
          <cell r="B4883">
            <v>50.94</v>
          </cell>
        </row>
        <row r="4884">
          <cell r="A4884">
            <v>38475</v>
          </cell>
          <cell r="B4884">
            <v>49.6</v>
          </cell>
        </row>
        <row r="4885">
          <cell r="A4885">
            <v>38476</v>
          </cell>
          <cell r="B4885">
            <v>50.22</v>
          </cell>
        </row>
        <row r="4886">
          <cell r="A4886">
            <v>38477</v>
          </cell>
          <cell r="B4886">
            <v>51.12</v>
          </cell>
        </row>
        <row r="4887">
          <cell r="A4887">
            <v>38478</v>
          </cell>
          <cell r="B4887">
            <v>51.3</v>
          </cell>
        </row>
        <row r="4888">
          <cell r="A4888">
            <v>38481</v>
          </cell>
          <cell r="B4888">
            <v>52.04</v>
          </cell>
        </row>
        <row r="4889">
          <cell r="A4889">
            <v>38482</v>
          </cell>
          <cell r="B4889">
            <v>51.76</v>
          </cell>
        </row>
        <row r="4890">
          <cell r="A4890">
            <v>38483</v>
          </cell>
          <cell r="B4890">
            <v>50.39</v>
          </cell>
        </row>
        <row r="4891">
          <cell r="A4891">
            <v>38484</v>
          </cell>
          <cell r="B4891">
            <v>48.83</v>
          </cell>
        </row>
        <row r="4892">
          <cell r="A4892">
            <v>38485</v>
          </cell>
          <cell r="B4892">
            <v>48.65</v>
          </cell>
        </row>
        <row r="4893">
          <cell r="A4893">
            <v>38488</v>
          </cell>
          <cell r="B4893">
            <v>48.64</v>
          </cell>
        </row>
        <row r="4894">
          <cell r="A4894">
            <v>38489</v>
          </cell>
          <cell r="B4894">
            <v>48.97</v>
          </cell>
        </row>
        <row r="4895">
          <cell r="A4895">
            <v>38490</v>
          </cell>
          <cell r="B4895">
            <v>46.99</v>
          </cell>
        </row>
        <row r="4896">
          <cell r="A4896">
            <v>38491</v>
          </cell>
          <cell r="B4896">
            <v>47</v>
          </cell>
        </row>
        <row r="4897">
          <cell r="A4897">
            <v>38492</v>
          </cell>
          <cell r="B4897">
            <v>47.25</v>
          </cell>
        </row>
        <row r="4898">
          <cell r="A4898">
            <v>38495</v>
          </cell>
          <cell r="B4898">
            <v>48.68</v>
          </cell>
        </row>
        <row r="4899">
          <cell r="A4899">
            <v>38496</v>
          </cell>
          <cell r="B4899">
            <v>49.14</v>
          </cell>
        </row>
        <row r="4900">
          <cell r="A4900">
            <v>38497</v>
          </cell>
          <cell r="B4900">
            <v>50.37</v>
          </cell>
        </row>
        <row r="4901">
          <cell r="A4901">
            <v>38498</v>
          </cell>
          <cell r="B4901">
            <v>50.89</v>
          </cell>
        </row>
        <row r="4902">
          <cell r="A4902">
            <v>38499</v>
          </cell>
          <cell r="B4902">
            <v>51.65</v>
          </cell>
        </row>
        <row r="4903">
          <cell r="A4903">
            <v>38503</v>
          </cell>
          <cell r="B4903">
            <v>52.08</v>
          </cell>
        </row>
        <row r="4904">
          <cell r="A4904">
            <v>38504</v>
          </cell>
          <cell r="B4904">
            <v>54.4</v>
          </cell>
        </row>
        <row r="4905">
          <cell r="A4905">
            <v>38505</v>
          </cell>
          <cell r="B4905">
            <v>53.46</v>
          </cell>
        </row>
        <row r="4906">
          <cell r="A4906">
            <v>38506</v>
          </cell>
          <cell r="B4906">
            <v>55.08</v>
          </cell>
        </row>
        <row r="4907">
          <cell r="A4907">
            <v>38509</v>
          </cell>
          <cell r="B4907">
            <v>54.46</v>
          </cell>
        </row>
        <row r="4908">
          <cell r="A4908">
            <v>38510</v>
          </cell>
          <cell r="B4908">
            <v>53.84</v>
          </cell>
        </row>
        <row r="4909">
          <cell r="A4909">
            <v>38511</v>
          </cell>
          <cell r="B4909">
            <v>52.51</v>
          </cell>
        </row>
        <row r="4910">
          <cell r="A4910">
            <v>38512</v>
          </cell>
          <cell r="B4910">
            <v>54.36</v>
          </cell>
        </row>
        <row r="4911">
          <cell r="A4911">
            <v>38513</v>
          </cell>
          <cell r="B4911">
            <v>53.55</v>
          </cell>
        </row>
        <row r="4912">
          <cell r="A4912">
            <v>38516</v>
          </cell>
          <cell r="B4912">
            <v>55.47</v>
          </cell>
        </row>
        <row r="4913">
          <cell r="A4913">
            <v>38517</v>
          </cell>
          <cell r="B4913">
            <v>55.03</v>
          </cell>
        </row>
        <row r="4914">
          <cell r="A4914">
            <v>38518</v>
          </cell>
          <cell r="B4914">
            <v>55.53</v>
          </cell>
        </row>
        <row r="4915">
          <cell r="A4915">
            <v>38519</v>
          </cell>
          <cell r="B4915">
            <v>56.48</v>
          </cell>
        </row>
        <row r="4916">
          <cell r="A4916">
            <v>38520</v>
          </cell>
          <cell r="B4916">
            <v>58.4</v>
          </cell>
        </row>
        <row r="4917">
          <cell r="A4917">
            <v>38523</v>
          </cell>
          <cell r="B4917">
            <v>59.19</v>
          </cell>
        </row>
        <row r="4918">
          <cell r="A4918">
            <v>38524</v>
          </cell>
          <cell r="B4918">
            <v>58.9</v>
          </cell>
        </row>
        <row r="4919">
          <cell r="A4919">
            <v>38525</v>
          </cell>
          <cell r="B4919">
            <v>58.27</v>
          </cell>
        </row>
        <row r="4920">
          <cell r="A4920">
            <v>38526</v>
          </cell>
          <cell r="B4920">
            <v>59.23</v>
          </cell>
        </row>
        <row r="4921">
          <cell r="A4921">
            <v>38527</v>
          </cell>
          <cell r="B4921">
            <v>59.63</v>
          </cell>
        </row>
        <row r="4922">
          <cell r="A4922">
            <v>38530</v>
          </cell>
          <cell r="B4922">
            <v>59.78</v>
          </cell>
        </row>
        <row r="4923">
          <cell r="A4923">
            <v>38531</v>
          </cell>
          <cell r="B4923">
            <v>58.32</v>
          </cell>
        </row>
        <row r="4924">
          <cell r="A4924">
            <v>38532</v>
          </cell>
          <cell r="B4924">
            <v>57.23</v>
          </cell>
        </row>
        <row r="4925">
          <cell r="A4925">
            <v>38533</v>
          </cell>
          <cell r="B4925">
            <v>56.63</v>
          </cell>
        </row>
        <row r="4926">
          <cell r="A4926">
            <v>38534</v>
          </cell>
          <cell r="B4926">
            <v>59.11</v>
          </cell>
        </row>
        <row r="4927">
          <cell r="A4927">
            <v>38538</v>
          </cell>
          <cell r="B4927">
            <v>59.71</v>
          </cell>
        </row>
        <row r="4928">
          <cell r="A4928">
            <v>38539</v>
          </cell>
          <cell r="B4928">
            <v>61.24</v>
          </cell>
        </row>
        <row r="4929">
          <cell r="A4929">
            <v>38540</v>
          </cell>
          <cell r="B4929">
            <v>60.76</v>
          </cell>
        </row>
        <row r="4930">
          <cell r="A4930">
            <v>38541</v>
          </cell>
          <cell r="B4930">
            <v>59.71</v>
          </cell>
        </row>
        <row r="4931">
          <cell r="A4931">
            <v>38544</v>
          </cell>
          <cell r="B4931">
            <v>59.23</v>
          </cell>
        </row>
        <row r="4932">
          <cell r="A4932">
            <v>38545</v>
          </cell>
          <cell r="B4932">
            <v>60.49</v>
          </cell>
        </row>
        <row r="4933">
          <cell r="A4933">
            <v>38546</v>
          </cell>
          <cell r="B4933">
            <v>60</v>
          </cell>
        </row>
        <row r="4934">
          <cell r="A4934">
            <v>38547</v>
          </cell>
          <cell r="B4934">
            <v>57.83</v>
          </cell>
        </row>
        <row r="4935">
          <cell r="A4935">
            <v>38548</v>
          </cell>
          <cell r="B4935">
            <v>58.36</v>
          </cell>
        </row>
        <row r="4936">
          <cell r="A4936">
            <v>38551</v>
          </cell>
          <cell r="B4936">
            <v>57.12</v>
          </cell>
        </row>
        <row r="4937">
          <cell r="A4937">
            <v>38552</v>
          </cell>
          <cell r="B4937">
            <v>57.61</v>
          </cell>
        </row>
        <row r="4938">
          <cell r="A4938">
            <v>38553</v>
          </cell>
          <cell r="B4938">
            <v>56.73</v>
          </cell>
        </row>
        <row r="4939">
          <cell r="A4939">
            <v>38554</v>
          </cell>
          <cell r="B4939">
            <v>57.31</v>
          </cell>
        </row>
        <row r="4940">
          <cell r="A4940">
            <v>38555</v>
          </cell>
          <cell r="B4940">
            <v>57.75</v>
          </cell>
        </row>
        <row r="4941">
          <cell r="A4941">
            <v>38558</v>
          </cell>
          <cell r="B4941">
            <v>58.16</v>
          </cell>
        </row>
        <row r="4942">
          <cell r="A4942">
            <v>38559</v>
          </cell>
          <cell r="B4942">
            <v>59.05</v>
          </cell>
        </row>
        <row r="4943">
          <cell r="A4943">
            <v>38560</v>
          </cell>
          <cell r="B4943">
            <v>59.12</v>
          </cell>
        </row>
        <row r="4944">
          <cell r="A4944">
            <v>38561</v>
          </cell>
          <cell r="B4944">
            <v>59.91</v>
          </cell>
        </row>
        <row r="4945">
          <cell r="A4945">
            <v>38562</v>
          </cell>
          <cell r="B4945">
            <v>60.71</v>
          </cell>
        </row>
        <row r="4946">
          <cell r="A4946">
            <v>38565</v>
          </cell>
          <cell r="B4946">
            <v>61.51</v>
          </cell>
        </row>
        <row r="4947">
          <cell r="A4947">
            <v>38566</v>
          </cell>
          <cell r="B4947">
            <v>61.87</v>
          </cell>
        </row>
        <row r="4948">
          <cell r="A4948">
            <v>38567</v>
          </cell>
          <cell r="B4948">
            <v>60.76</v>
          </cell>
        </row>
        <row r="4949">
          <cell r="A4949">
            <v>38568</v>
          </cell>
          <cell r="B4949">
            <v>61.6</v>
          </cell>
        </row>
        <row r="4950">
          <cell r="A4950">
            <v>38569</v>
          </cell>
          <cell r="B4950">
            <v>62.44</v>
          </cell>
        </row>
        <row r="4951">
          <cell r="A4951">
            <v>38572</v>
          </cell>
          <cell r="B4951">
            <v>63.92</v>
          </cell>
        </row>
        <row r="4952">
          <cell r="A4952">
            <v>38573</v>
          </cell>
          <cell r="B4952">
            <v>63.13</v>
          </cell>
        </row>
        <row r="4953">
          <cell r="A4953">
            <v>38574</v>
          </cell>
          <cell r="B4953">
            <v>64.8</v>
          </cell>
        </row>
        <row r="4954">
          <cell r="A4954">
            <v>38575</v>
          </cell>
          <cell r="B4954">
            <v>65.67</v>
          </cell>
        </row>
        <row r="4955">
          <cell r="A4955">
            <v>38576</v>
          </cell>
          <cell r="B4955">
            <v>66.709999999999994</v>
          </cell>
        </row>
        <row r="4956">
          <cell r="A4956">
            <v>38579</v>
          </cell>
          <cell r="B4956">
            <v>66.209999999999994</v>
          </cell>
        </row>
        <row r="4957">
          <cell r="A4957">
            <v>38580</v>
          </cell>
          <cell r="B4957">
            <v>66.11</v>
          </cell>
        </row>
        <row r="4958">
          <cell r="A4958">
            <v>38581</v>
          </cell>
          <cell r="B4958">
            <v>63.29</v>
          </cell>
        </row>
        <row r="4959">
          <cell r="A4959">
            <v>38582</v>
          </cell>
          <cell r="B4959">
            <v>63.47</v>
          </cell>
        </row>
        <row r="4960">
          <cell r="A4960">
            <v>38583</v>
          </cell>
          <cell r="B4960">
            <v>65.510000000000005</v>
          </cell>
        </row>
        <row r="4961">
          <cell r="A4961">
            <v>38586</v>
          </cell>
          <cell r="B4961">
            <v>65.459999999999994</v>
          </cell>
        </row>
        <row r="4962">
          <cell r="A4962">
            <v>38587</v>
          </cell>
          <cell r="B4962">
            <v>65.81</v>
          </cell>
        </row>
        <row r="4963">
          <cell r="A4963">
            <v>38588</v>
          </cell>
          <cell r="B4963">
            <v>67.099999999999994</v>
          </cell>
        </row>
        <row r="4964">
          <cell r="A4964">
            <v>38589</v>
          </cell>
          <cell r="B4964">
            <v>67.290000000000006</v>
          </cell>
        </row>
        <row r="4965">
          <cell r="A4965">
            <v>38590</v>
          </cell>
          <cell r="B4965">
            <v>66.05</v>
          </cell>
        </row>
        <row r="4966">
          <cell r="A4966">
            <v>38593</v>
          </cell>
          <cell r="B4966">
            <v>67.41</v>
          </cell>
        </row>
        <row r="4967">
          <cell r="A4967">
            <v>38594</v>
          </cell>
          <cell r="B4967">
            <v>69.91</v>
          </cell>
        </row>
        <row r="4968">
          <cell r="A4968">
            <v>38595</v>
          </cell>
          <cell r="B4968">
            <v>68.63</v>
          </cell>
        </row>
        <row r="4969">
          <cell r="A4969">
            <v>38596</v>
          </cell>
          <cell r="B4969">
            <v>69.5</v>
          </cell>
        </row>
        <row r="4970">
          <cell r="A4970">
            <v>38597</v>
          </cell>
          <cell r="B4970">
            <v>66.91</v>
          </cell>
        </row>
        <row r="4971">
          <cell r="A4971">
            <v>38601</v>
          </cell>
          <cell r="B4971">
            <v>65.83</v>
          </cell>
        </row>
        <row r="4972">
          <cell r="A4972">
            <v>38602</v>
          </cell>
          <cell r="B4972">
            <v>64.38</v>
          </cell>
        </row>
        <row r="4973">
          <cell r="A4973">
            <v>38603</v>
          </cell>
          <cell r="B4973">
            <v>64.8</v>
          </cell>
        </row>
        <row r="4974">
          <cell r="A4974">
            <v>38604</v>
          </cell>
          <cell r="B4974">
            <v>64.209999999999994</v>
          </cell>
        </row>
        <row r="4975">
          <cell r="A4975">
            <v>38607</v>
          </cell>
          <cell r="B4975">
            <v>63.29</v>
          </cell>
        </row>
        <row r="4976">
          <cell r="A4976">
            <v>38608</v>
          </cell>
          <cell r="B4976">
            <v>63.18</v>
          </cell>
        </row>
        <row r="4977">
          <cell r="A4977">
            <v>38609</v>
          </cell>
          <cell r="B4977">
            <v>65.2</v>
          </cell>
        </row>
        <row r="4978">
          <cell r="A4978">
            <v>38610</v>
          </cell>
          <cell r="B4978">
            <v>64.64</v>
          </cell>
        </row>
        <row r="4979">
          <cell r="A4979">
            <v>38611</v>
          </cell>
          <cell r="B4979">
            <v>62.91</v>
          </cell>
        </row>
        <row r="4980">
          <cell r="A4980">
            <v>38614</v>
          </cell>
          <cell r="B4980">
            <v>67.209999999999994</v>
          </cell>
        </row>
        <row r="4981">
          <cell r="A4981">
            <v>38615</v>
          </cell>
          <cell r="B4981">
            <v>66.239999999999995</v>
          </cell>
        </row>
        <row r="4982">
          <cell r="A4982">
            <v>38616</v>
          </cell>
          <cell r="B4982">
            <v>66.959999999999994</v>
          </cell>
        </row>
        <row r="4983">
          <cell r="A4983">
            <v>38617</v>
          </cell>
          <cell r="B4983">
            <v>67.069999999999993</v>
          </cell>
        </row>
        <row r="4984">
          <cell r="A4984">
            <v>38618</v>
          </cell>
          <cell r="B4984">
            <v>64.67</v>
          </cell>
        </row>
        <row r="4985">
          <cell r="A4985">
            <v>38621</v>
          </cell>
          <cell r="B4985">
            <v>65.98</v>
          </cell>
        </row>
        <row r="4986">
          <cell r="A4986">
            <v>38622</v>
          </cell>
          <cell r="B4986">
            <v>64.94</v>
          </cell>
        </row>
        <row r="4987">
          <cell r="A4987">
            <v>38623</v>
          </cell>
          <cell r="B4987">
            <v>66.36</v>
          </cell>
        </row>
        <row r="4988">
          <cell r="A4988">
            <v>38624</v>
          </cell>
          <cell r="B4988">
            <v>66.83</v>
          </cell>
        </row>
        <row r="4989">
          <cell r="A4989">
            <v>38625</v>
          </cell>
          <cell r="B4989">
            <v>66.209999999999994</v>
          </cell>
        </row>
        <row r="4990">
          <cell r="A4990">
            <v>38628</v>
          </cell>
          <cell r="B4990">
            <v>65.36</v>
          </cell>
        </row>
        <row r="4991">
          <cell r="A4991">
            <v>38629</v>
          </cell>
          <cell r="B4991">
            <v>63.74</v>
          </cell>
        </row>
        <row r="4992">
          <cell r="A4992">
            <v>38630</v>
          </cell>
          <cell r="B4992">
            <v>62.56</v>
          </cell>
        </row>
        <row r="4993">
          <cell r="A4993">
            <v>38631</v>
          </cell>
          <cell r="B4993">
            <v>61.81</v>
          </cell>
        </row>
        <row r="4994">
          <cell r="A4994">
            <v>38632</v>
          </cell>
          <cell r="B4994">
            <v>61.81</v>
          </cell>
        </row>
        <row r="4995">
          <cell r="A4995">
            <v>38635</v>
          </cell>
          <cell r="B4995">
            <v>60.71</v>
          </cell>
        </row>
        <row r="4996">
          <cell r="A4996">
            <v>38636</v>
          </cell>
          <cell r="B4996">
            <v>63.84</v>
          </cell>
        </row>
        <row r="4997">
          <cell r="A4997">
            <v>38637</v>
          </cell>
          <cell r="B4997">
            <v>64.13</v>
          </cell>
        </row>
        <row r="4998">
          <cell r="A4998">
            <v>38638</v>
          </cell>
          <cell r="B4998">
            <v>63.05</v>
          </cell>
        </row>
        <row r="4999">
          <cell r="A4999">
            <v>38639</v>
          </cell>
          <cell r="B4999">
            <v>62.61</v>
          </cell>
        </row>
        <row r="5000">
          <cell r="A5000">
            <v>38642</v>
          </cell>
          <cell r="B5000">
            <v>64.260000000000005</v>
          </cell>
        </row>
        <row r="5001">
          <cell r="A5001">
            <v>38643</v>
          </cell>
          <cell r="B5001">
            <v>62.94</v>
          </cell>
        </row>
        <row r="5002">
          <cell r="A5002">
            <v>38644</v>
          </cell>
          <cell r="B5002">
            <v>62.11</v>
          </cell>
        </row>
        <row r="5003">
          <cell r="A5003">
            <v>38645</v>
          </cell>
          <cell r="B5003">
            <v>61.04</v>
          </cell>
        </row>
        <row r="5004">
          <cell r="A5004">
            <v>38646</v>
          </cell>
          <cell r="B5004">
            <v>61.05</v>
          </cell>
        </row>
        <row r="5005">
          <cell r="A5005">
            <v>38649</v>
          </cell>
          <cell r="B5005">
            <v>60.63</v>
          </cell>
        </row>
        <row r="5006">
          <cell r="A5006">
            <v>38650</v>
          </cell>
          <cell r="B5006">
            <v>62.83</v>
          </cell>
        </row>
        <row r="5007">
          <cell r="A5007">
            <v>38651</v>
          </cell>
          <cell r="B5007">
            <v>60.85</v>
          </cell>
        </row>
        <row r="5008">
          <cell r="A5008">
            <v>38652</v>
          </cell>
          <cell r="B5008">
            <v>61.03</v>
          </cell>
        </row>
        <row r="5009">
          <cell r="A5009">
            <v>38653</v>
          </cell>
          <cell r="B5009">
            <v>61.3</v>
          </cell>
        </row>
        <row r="5010">
          <cell r="A5010">
            <v>38656</v>
          </cell>
          <cell r="B5010">
            <v>59.8</v>
          </cell>
        </row>
        <row r="5011">
          <cell r="A5011">
            <v>38657</v>
          </cell>
          <cell r="B5011">
            <v>59.85</v>
          </cell>
        </row>
        <row r="5012">
          <cell r="A5012">
            <v>38658</v>
          </cell>
          <cell r="B5012">
            <v>59.75</v>
          </cell>
        </row>
        <row r="5013">
          <cell r="A5013">
            <v>38659</v>
          </cell>
          <cell r="B5013">
            <v>61.7</v>
          </cell>
        </row>
        <row r="5014">
          <cell r="A5014">
            <v>38660</v>
          </cell>
          <cell r="B5014">
            <v>60.6</v>
          </cell>
        </row>
        <row r="5015">
          <cell r="A5015">
            <v>38663</v>
          </cell>
          <cell r="B5015">
            <v>59.4</v>
          </cell>
        </row>
        <row r="5016">
          <cell r="A5016">
            <v>38664</v>
          </cell>
          <cell r="B5016">
            <v>59.7</v>
          </cell>
        </row>
        <row r="5017">
          <cell r="A5017">
            <v>38665</v>
          </cell>
          <cell r="B5017">
            <v>59.65</v>
          </cell>
        </row>
        <row r="5018">
          <cell r="A5018">
            <v>38666</v>
          </cell>
          <cell r="B5018">
            <v>57.8</v>
          </cell>
        </row>
        <row r="5019">
          <cell r="A5019">
            <v>38667</v>
          </cell>
          <cell r="B5019">
            <v>57.45</v>
          </cell>
        </row>
        <row r="5020">
          <cell r="A5020">
            <v>38670</v>
          </cell>
          <cell r="B5020">
            <v>57.6</v>
          </cell>
        </row>
        <row r="5021">
          <cell r="A5021">
            <v>38671</v>
          </cell>
          <cell r="B5021">
            <v>57.05</v>
          </cell>
        </row>
        <row r="5022">
          <cell r="A5022">
            <v>38672</v>
          </cell>
          <cell r="B5022">
            <v>57.85</v>
          </cell>
        </row>
        <row r="5023">
          <cell r="A5023">
            <v>38673</v>
          </cell>
          <cell r="B5023">
            <v>56.2</v>
          </cell>
        </row>
        <row r="5024">
          <cell r="A5024">
            <v>38674</v>
          </cell>
          <cell r="B5024">
            <v>56.3</v>
          </cell>
        </row>
        <row r="5025">
          <cell r="A5025">
            <v>38677</v>
          </cell>
          <cell r="B5025">
            <v>57.75</v>
          </cell>
        </row>
        <row r="5026">
          <cell r="A5026">
            <v>38678</v>
          </cell>
          <cell r="B5026">
            <v>58.3</v>
          </cell>
        </row>
        <row r="5027">
          <cell r="A5027">
            <v>38679</v>
          </cell>
          <cell r="B5027">
            <v>58.35</v>
          </cell>
        </row>
        <row r="5028">
          <cell r="A5028">
            <v>38684</v>
          </cell>
          <cell r="B5028">
            <v>57.36</v>
          </cell>
        </row>
        <row r="5029">
          <cell r="A5029">
            <v>38685</v>
          </cell>
          <cell r="B5029">
            <v>56.46</v>
          </cell>
        </row>
        <row r="5030">
          <cell r="A5030">
            <v>38686</v>
          </cell>
          <cell r="B5030">
            <v>57.33</v>
          </cell>
        </row>
        <row r="5031">
          <cell r="A5031">
            <v>38687</v>
          </cell>
          <cell r="B5031">
            <v>58.46</v>
          </cell>
        </row>
        <row r="5032">
          <cell r="A5032">
            <v>38688</v>
          </cell>
          <cell r="B5032">
            <v>59.31</v>
          </cell>
        </row>
        <row r="5033">
          <cell r="A5033">
            <v>38691</v>
          </cell>
          <cell r="B5033">
            <v>59.91</v>
          </cell>
        </row>
        <row r="5034">
          <cell r="A5034">
            <v>38692</v>
          </cell>
          <cell r="B5034">
            <v>59.96</v>
          </cell>
        </row>
        <row r="5035">
          <cell r="A5035">
            <v>38693</v>
          </cell>
          <cell r="B5035">
            <v>59.21</v>
          </cell>
        </row>
        <row r="5036">
          <cell r="A5036">
            <v>38694</v>
          </cell>
          <cell r="B5036">
            <v>60.66</v>
          </cell>
        </row>
        <row r="5037">
          <cell r="A5037">
            <v>38695</v>
          </cell>
          <cell r="B5037">
            <v>59.41</v>
          </cell>
        </row>
        <row r="5038">
          <cell r="A5038">
            <v>38698</v>
          </cell>
          <cell r="B5038">
            <v>61.36</v>
          </cell>
        </row>
        <row r="5039">
          <cell r="A5039">
            <v>38699</v>
          </cell>
          <cell r="B5039">
            <v>61.36</v>
          </cell>
        </row>
        <row r="5040">
          <cell r="A5040">
            <v>38700</v>
          </cell>
          <cell r="B5040">
            <v>60.86</v>
          </cell>
        </row>
        <row r="5041">
          <cell r="A5041">
            <v>38701</v>
          </cell>
          <cell r="B5041">
            <v>60.01</v>
          </cell>
        </row>
        <row r="5042">
          <cell r="A5042">
            <v>38702</v>
          </cell>
          <cell r="B5042">
            <v>58.01</v>
          </cell>
        </row>
        <row r="5043">
          <cell r="A5043">
            <v>38705</v>
          </cell>
          <cell r="B5043">
            <v>57.31</v>
          </cell>
        </row>
        <row r="5044">
          <cell r="A5044">
            <v>38706</v>
          </cell>
          <cell r="B5044">
            <v>57.81</v>
          </cell>
        </row>
        <row r="5045">
          <cell r="A5045">
            <v>38707</v>
          </cell>
          <cell r="B5045">
            <v>58.56</v>
          </cell>
        </row>
        <row r="5046">
          <cell r="A5046">
            <v>38708</v>
          </cell>
          <cell r="B5046">
            <v>58.08</v>
          </cell>
        </row>
        <row r="5047">
          <cell r="A5047">
            <v>38709</v>
          </cell>
          <cell r="B5047">
            <v>58.08</v>
          </cell>
        </row>
        <row r="5048">
          <cell r="A5048">
            <v>38713</v>
          </cell>
          <cell r="B5048">
            <v>58.16</v>
          </cell>
        </row>
        <row r="5049">
          <cell r="A5049">
            <v>38714</v>
          </cell>
          <cell r="B5049">
            <v>59.81</v>
          </cell>
        </row>
        <row r="5050">
          <cell r="A5050">
            <v>38715</v>
          </cell>
          <cell r="B5050">
            <v>60.26</v>
          </cell>
        </row>
        <row r="5051">
          <cell r="A5051">
            <v>38716</v>
          </cell>
          <cell r="B5051">
            <v>61.06</v>
          </cell>
        </row>
        <row r="5052">
          <cell r="A5052">
            <v>38720</v>
          </cell>
          <cell r="B5052">
            <v>63.11</v>
          </cell>
        </row>
        <row r="5053">
          <cell r="A5053">
            <v>38721</v>
          </cell>
          <cell r="B5053">
            <v>63.41</v>
          </cell>
        </row>
        <row r="5054">
          <cell r="A5054">
            <v>38722</v>
          </cell>
          <cell r="B5054">
            <v>62.81</v>
          </cell>
        </row>
        <row r="5055">
          <cell r="A5055">
            <v>38723</v>
          </cell>
          <cell r="B5055">
            <v>64.209999999999994</v>
          </cell>
        </row>
        <row r="5056">
          <cell r="A5056">
            <v>38726</v>
          </cell>
          <cell r="B5056">
            <v>63.56</v>
          </cell>
        </row>
        <row r="5057">
          <cell r="A5057">
            <v>38727</v>
          </cell>
          <cell r="B5057">
            <v>63.41</v>
          </cell>
        </row>
        <row r="5058">
          <cell r="A5058">
            <v>38728</v>
          </cell>
          <cell r="B5058">
            <v>63.91</v>
          </cell>
        </row>
        <row r="5059">
          <cell r="A5059">
            <v>38729</v>
          </cell>
          <cell r="B5059">
            <v>63.96</v>
          </cell>
        </row>
        <row r="5060">
          <cell r="A5060">
            <v>38730</v>
          </cell>
          <cell r="B5060">
            <v>63.86</v>
          </cell>
        </row>
        <row r="5061">
          <cell r="A5061">
            <v>38734</v>
          </cell>
          <cell r="B5061">
            <v>66.36</v>
          </cell>
        </row>
        <row r="5062">
          <cell r="A5062">
            <v>38735</v>
          </cell>
          <cell r="B5062">
            <v>65.760000000000005</v>
          </cell>
        </row>
        <row r="5063">
          <cell r="A5063">
            <v>38736</v>
          </cell>
          <cell r="B5063">
            <v>66.86</v>
          </cell>
        </row>
        <row r="5064">
          <cell r="A5064">
            <v>38737</v>
          </cell>
          <cell r="B5064">
            <v>68.16</v>
          </cell>
        </row>
        <row r="5065">
          <cell r="A5065">
            <v>38740</v>
          </cell>
          <cell r="B5065">
            <v>68.06</v>
          </cell>
        </row>
        <row r="5066">
          <cell r="A5066">
            <v>38741</v>
          </cell>
          <cell r="B5066">
            <v>66.83</v>
          </cell>
        </row>
        <row r="5067">
          <cell r="A5067">
            <v>38742</v>
          </cell>
          <cell r="B5067">
            <v>65.599999999999994</v>
          </cell>
        </row>
        <row r="5068">
          <cell r="A5068">
            <v>38743</v>
          </cell>
          <cell r="B5068">
            <v>65.8</v>
          </cell>
        </row>
        <row r="5069">
          <cell r="A5069">
            <v>38744</v>
          </cell>
          <cell r="B5069">
            <v>67.81</v>
          </cell>
        </row>
        <row r="5070">
          <cell r="A5070">
            <v>38747</v>
          </cell>
          <cell r="B5070">
            <v>68.36</v>
          </cell>
        </row>
        <row r="5071">
          <cell r="A5071">
            <v>38748</v>
          </cell>
          <cell r="B5071">
            <v>67.86</v>
          </cell>
        </row>
        <row r="5072">
          <cell r="A5072">
            <v>38749</v>
          </cell>
          <cell r="B5072">
            <v>66.61</v>
          </cell>
        </row>
        <row r="5073">
          <cell r="A5073">
            <v>38750</v>
          </cell>
          <cell r="B5073">
            <v>64.709999999999994</v>
          </cell>
        </row>
        <row r="5074">
          <cell r="A5074">
            <v>38751</v>
          </cell>
          <cell r="B5074">
            <v>65.41</v>
          </cell>
        </row>
        <row r="5075">
          <cell r="A5075">
            <v>38754</v>
          </cell>
          <cell r="B5075">
            <v>65.11</v>
          </cell>
        </row>
        <row r="5076">
          <cell r="A5076">
            <v>38755</v>
          </cell>
          <cell r="B5076">
            <v>63.01</v>
          </cell>
        </row>
        <row r="5077">
          <cell r="A5077">
            <v>38756</v>
          </cell>
          <cell r="B5077">
            <v>62.51</v>
          </cell>
        </row>
        <row r="5078">
          <cell r="A5078">
            <v>38757</v>
          </cell>
          <cell r="B5078">
            <v>62.66</v>
          </cell>
        </row>
        <row r="5079">
          <cell r="A5079">
            <v>38758</v>
          </cell>
          <cell r="B5079">
            <v>62.01</v>
          </cell>
        </row>
        <row r="5080">
          <cell r="A5080">
            <v>38761</v>
          </cell>
          <cell r="B5080">
            <v>61.26</v>
          </cell>
        </row>
        <row r="5081">
          <cell r="A5081">
            <v>38762</v>
          </cell>
          <cell r="B5081">
            <v>59.61</v>
          </cell>
        </row>
        <row r="5082">
          <cell r="A5082">
            <v>38763</v>
          </cell>
          <cell r="B5082">
            <v>57.61</v>
          </cell>
        </row>
        <row r="5083">
          <cell r="A5083">
            <v>38764</v>
          </cell>
          <cell r="B5083">
            <v>58.61</v>
          </cell>
        </row>
        <row r="5084">
          <cell r="A5084">
            <v>38765</v>
          </cell>
          <cell r="B5084">
            <v>59.76</v>
          </cell>
        </row>
        <row r="5085">
          <cell r="A5085">
            <v>38769</v>
          </cell>
          <cell r="B5085">
            <v>61.21</v>
          </cell>
        </row>
        <row r="5086">
          <cell r="A5086">
            <v>38770</v>
          </cell>
          <cell r="B5086">
            <v>59.03</v>
          </cell>
        </row>
        <row r="5087">
          <cell r="A5087">
            <v>38771</v>
          </cell>
          <cell r="B5087">
            <v>58.03</v>
          </cell>
        </row>
        <row r="5088">
          <cell r="A5088">
            <v>38772</v>
          </cell>
          <cell r="B5088">
            <v>61.46</v>
          </cell>
        </row>
        <row r="5089">
          <cell r="A5089">
            <v>38775</v>
          </cell>
          <cell r="B5089">
            <v>61.01</v>
          </cell>
        </row>
        <row r="5090">
          <cell r="A5090">
            <v>38776</v>
          </cell>
          <cell r="B5090">
            <v>61.37</v>
          </cell>
        </row>
        <row r="5091">
          <cell r="A5091">
            <v>38777</v>
          </cell>
          <cell r="B5091">
            <v>62.01</v>
          </cell>
        </row>
        <row r="5092">
          <cell r="A5092">
            <v>38778</v>
          </cell>
          <cell r="B5092">
            <v>63.36</v>
          </cell>
        </row>
        <row r="5093">
          <cell r="A5093">
            <v>38779</v>
          </cell>
          <cell r="B5093">
            <v>63.61</v>
          </cell>
        </row>
        <row r="5094">
          <cell r="A5094">
            <v>38782</v>
          </cell>
          <cell r="B5094">
            <v>62.46</v>
          </cell>
        </row>
        <row r="5095">
          <cell r="A5095">
            <v>38783</v>
          </cell>
          <cell r="B5095">
            <v>61.51</v>
          </cell>
        </row>
        <row r="5096">
          <cell r="A5096">
            <v>38784</v>
          </cell>
          <cell r="B5096">
            <v>60.06</v>
          </cell>
        </row>
        <row r="5097">
          <cell r="A5097">
            <v>38785</v>
          </cell>
          <cell r="B5097">
            <v>60.51</v>
          </cell>
        </row>
        <row r="5098">
          <cell r="A5098">
            <v>38786</v>
          </cell>
          <cell r="B5098">
            <v>59.91</v>
          </cell>
        </row>
        <row r="5099">
          <cell r="A5099">
            <v>38789</v>
          </cell>
          <cell r="B5099">
            <v>61.81</v>
          </cell>
        </row>
        <row r="5100">
          <cell r="A5100">
            <v>38790</v>
          </cell>
          <cell r="B5100">
            <v>63.01</v>
          </cell>
        </row>
        <row r="5101">
          <cell r="A5101">
            <v>38791</v>
          </cell>
          <cell r="B5101">
            <v>62.11</v>
          </cell>
        </row>
        <row r="5102">
          <cell r="A5102">
            <v>38792</v>
          </cell>
          <cell r="B5102">
            <v>63.46</v>
          </cell>
        </row>
        <row r="5103">
          <cell r="A5103">
            <v>38793</v>
          </cell>
          <cell r="B5103">
            <v>62.81</v>
          </cell>
        </row>
        <row r="5104">
          <cell r="A5104">
            <v>38796</v>
          </cell>
          <cell r="B5104">
            <v>60.31</v>
          </cell>
        </row>
        <row r="5105">
          <cell r="A5105">
            <v>38797</v>
          </cell>
          <cell r="B5105">
            <v>60.41</v>
          </cell>
        </row>
        <row r="5106">
          <cell r="A5106">
            <v>38798</v>
          </cell>
          <cell r="B5106">
            <v>60.03</v>
          </cell>
        </row>
        <row r="5107">
          <cell r="A5107">
            <v>38799</v>
          </cell>
          <cell r="B5107">
            <v>62.13</v>
          </cell>
        </row>
        <row r="5108">
          <cell r="A5108">
            <v>38800</v>
          </cell>
          <cell r="B5108">
            <v>63.9</v>
          </cell>
        </row>
        <row r="5109">
          <cell r="A5109">
            <v>38803</v>
          </cell>
          <cell r="B5109">
            <v>63.75</v>
          </cell>
        </row>
        <row r="5110">
          <cell r="A5110">
            <v>38804</v>
          </cell>
          <cell r="B5110">
            <v>65.650000000000006</v>
          </cell>
        </row>
        <row r="5111">
          <cell r="A5111">
            <v>38805</v>
          </cell>
          <cell r="B5111">
            <v>66</v>
          </cell>
        </row>
        <row r="5112">
          <cell r="A5112">
            <v>38806</v>
          </cell>
          <cell r="B5112">
            <v>66.7</v>
          </cell>
        </row>
        <row r="5113">
          <cell r="A5113">
            <v>38807</v>
          </cell>
          <cell r="B5113">
            <v>66.25</v>
          </cell>
        </row>
        <row r="5114">
          <cell r="A5114">
            <v>38810</v>
          </cell>
          <cell r="B5114">
            <v>66.069999999999993</v>
          </cell>
        </row>
        <row r="5115">
          <cell r="A5115">
            <v>38811</v>
          </cell>
          <cell r="B5115">
            <v>65.75</v>
          </cell>
        </row>
        <row r="5116">
          <cell r="A5116">
            <v>38812</v>
          </cell>
          <cell r="B5116">
            <v>66.760000000000005</v>
          </cell>
        </row>
        <row r="5117">
          <cell r="A5117">
            <v>38813</v>
          </cell>
          <cell r="B5117">
            <v>67.22</v>
          </cell>
        </row>
        <row r="5118">
          <cell r="A5118">
            <v>38814</v>
          </cell>
          <cell r="B5118">
            <v>67.02</v>
          </cell>
        </row>
        <row r="5119">
          <cell r="A5119">
            <v>38817</v>
          </cell>
          <cell r="B5119">
            <v>68.290000000000006</v>
          </cell>
        </row>
        <row r="5120">
          <cell r="A5120">
            <v>38818</v>
          </cell>
          <cell r="B5120">
            <v>69.03</v>
          </cell>
        </row>
        <row r="5121">
          <cell r="A5121">
            <v>38819</v>
          </cell>
          <cell r="B5121">
            <v>68.53</v>
          </cell>
        </row>
        <row r="5122">
          <cell r="A5122">
            <v>38820</v>
          </cell>
          <cell r="B5122">
            <v>69.53</v>
          </cell>
        </row>
        <row r="5123">
          <cell r="A5123">
            <v>38824</v>
          </cell>
          <cell r="B5123">
            <v>70.3</v>
          </cell>
        </row>
        <row r="5124">
          <cell r="A5124">
            <v>38825</v>
          </cell>
          <cell r="B5124">
            <v>71.28</v>
          </cell>
        </row>
        <row r="5125">
          <cell r="A5125">
            <v>38826</v>
          </cell>
          <cell r="B5125">
            <v>72.069999999999993</v>
          </cell>
        </row>
        <row r="5126">
          <cell r="A5126">
            <v>38827</v>
          </cell>
          <cell r="B5126">
            <v>71.959999999999994</v>
          </cell>
        </row>
        <row r="5127">
          <cell r="A5127">
            <v>38828</v>
          </cell>
          <cell r="B5127">
            <v>73.73</v>
          </cell>
        </row>
        <row r="5128">
          <cell r="A5128">
            <v>38831</v>
          </cell>
          <cell r="B5128">
            <v>70.19</v>
          </cell>
        </row>
        <row r="5129">
          <cell r="A5129">
            <v>38832</v>
          </cell>
          <cell r="B5129">
            <v>67.430000000000007</v>
          </cell>
        </row>
        <row r="5130">
          <cell r="A5130">
            <v>38833</v>
          </cell>
          <cell r="B5130">
            <v>71.709999999999994</v>
          </cell>
        </row>
        <row r="5131">
          <cell r="A5131">
            <v>38834</v>
          </cell>
          <cell r="B5131">
            <v>70.760000000000005</v>
          </cell>
        </row>
        <row r="5132">
          <cell r="A5132">
            <v>38835</v>
          </cell>
          <cell r="B5132">
            <v>71.8</v>
          </cell>
        </row>
        <row r="5133">
          <cell r="A5133">
            <v>38838</v>
          </cell>
          <cell r="B5133">
            <v>73.75</v>
          </cell>
        </row>
        <row r="5134">
          <cell r="A5134">
            <v>38839</v>
          </cell>
          <cell r="B5134">
            <v>74.62</v>
          </cell>
        </row>
        <row r="5135">
          <cell r="A5135">
            <v>38840</v>
          </cell>
          <cell r="B5135">
            <v>72.260000000000005</v>
          </cell>
        </row>
        <row r="5136">
          <cell r="A5136">
            <v>38841</v>
          </cell>
          <cell r="B5136">
            <v>69.98</v>
          </cell>
        </row>
        <row r="5137">
          <cell r="A5137">
            <v>38842</v>
          </cell>
          <cell r="B5137">
            <v>70.09</v>
          </cell>
        </row>
        <row r="5138">
          <cell r="A5138">
            <v>38845</v>
          </cell>
          <cell r="B5138">
            <v>69.75</v>
          </cell>
        </row>
        <row r="5139">
          <cell r="A5139">
            <v>38846</v>
          </cell>
          <cell r="B5139">
            <v>70.709999999999994</v>
          </cell>
        </row>
        <row r="5140">
          <cell r="A5140">
            <v>38847</v>
          </cell>
          <cell r="B5140">
            <v>72.150000000000006</v>
          </cell>
        </row>
        <row r="5141">
          <cell r="A5141">
            <v>38848</v>
          </cell>
          <cell r="B5141">
            <v>73</v>
          </cell>
        </row>
        <row r="5142">
          <cell r="A5142">
            <v>38849</v>
          </cell>
          <cell r="B5142">
            <v>71.87</v>
          </cell>
        </row>
        <row r="5143">
          <cell r="A5143">
            <v>38852</v>
          </cell>
          <cell r="B5143">
            <v>69.25</v>
          </cell>
        </row>
        <row r="5144">
          <cell r="A5144">
            <v>38853</v>
          </cell>
          <cell r="B5144">
            <v>69.400000000000006</v>
          </cell>
        </row>
        <row r="5145">
          <cell r="A5145">
            <v>38854</v>
          </cell>
          <cell r="B5145">
            <v>68.650000000000006</v>
          </cell>
        </row>
        <row r="5146">
          <cell r="A5146">
            <v>38855</v>
          </cell>
          <cell r="B5146">
            <v>69.63</v>
          </cell>
        </row>
        <row r="5147">
          <cell r="A5147">
            <v>38856</v>
          </cell>
          <cell r="B5147">
            <v>68.44</v>
          </cell>
        </row>
        <row r="5148">
          <cell r="A5148">
            <v>38859</v>
          </cell>
          <cell r="B5148">
            <v>69.23</v>
          </cell>
        </row>
        <row r="5149">
          <cell r="A5149">
            <v>38860</v>
          </cell>
          <cell r="B5149">
            <v>70.78</v>
          </cell>
        </row>
        <row r="5150">
          <cell r="A5150">
            <v>38861</v>
          </cell>
          <cell r="B5150">
            <v>69.47</v>
          </cell>
        </row>
        <row r="5151">
          <cell r="A5151">
            <v>38862</v>
          </cell>
          <cell r="B5151">
            <v>70.92</v>
          </cell>
        </row>
        <row r="5152">
          <cell r="A5152">
            <v>38863</v>
          </cell>
          <cell r="B5152">
            <v>71.349999999999994</v>
          </cell>
        </row>
        <row r="5153">
          <cell r="A5153">
            <v>38867</v>
          </cell>
          <cell r="B5153">
            <v>71.849999999999994</v>
          </cell>
        </row>
        <row r="5154">
          <cell r="A5154">
            <v>38868</v>
          </cell>
          <cell r="B5154">
            <v>71.42</v>
          </cell>
        </row>
        <row r="5155">
          <cell r="A5155">
            <v>38869</v>
          </cell>
          <cell r="B5155">
            <v>70.11</v>
          </cell>
        </row>
        <row r="5156">
          <cell r="A5156">
            <v>38870</v>
          </cell>
          <cell r="B5156">
            <v>72.73</v>
          </cell>
        </row>
        <row r="5157">
          <cell r="A5157">
            <v>38873</v>
          </cell>
          <cell r="B5157">
            <v>72.5</v>
          </cell>
        </row>
        <row r="5158">
          <cell r="A5158">
            <v>38874</v>
          </cell>
          <cell r="B5158">
            <v>72.430000000000007</v>
          </cell>
        </row>
        <row r="5159">
          <cell r="A5159">
            <v>38875</v>
          </cell>
          <cell r="B5159">
            <v>70.900000000000006</v>
          </cell>
        </row>
        <row r="5160">
          <cell r="A5160">
            <v>38876</v>
          </cell>
          <cell r="B5160">
            <v>70.25</v>
          </cell>
        </row>
        <row r="5161">
          <cell r="A5161">
            <v>38877</v>
          </cell>
          <cell r="B5161">
            <v>71.62</v>
          </cell>
        </row>
        <row r="5162">
          <cell r="A5162">
            <v>38880</v>
          </cell>
          <cell r="B5162">
            <v>70.28</v>
          </cell>
        </row>
        <row r="5163">
          <cell r="A5163">
            <v>38881</v>
          </cell>
          <cell r="B5163">
            <v>68.48</v>
          </cell>
        </row>
        <row r="5164">
          <cell r="A5164">
            <v>38882</v>
          </cell>
          <cell r="B5164">
            <v>69.12</v>
          </cell>
        </row>
        <row r="5165">
          <cell r="A5165">
            <v>38883</v>
          </cell>
          <cell r="B5165">
            <v>69.78</v>
          </cell>
        </row>
        <row r="5166">
          <cell r="A5166">
            <v>38884</v>
          </cell>
          <cell r="B5166">
            <v>69.75</v>
          </cell>
        </row>
        <row r="5167">
          <cell r="A5167">
            <v>38887</v>
          </cell>
          <cell r="B5167">
            <v>69.209999999999994</v>
          </cell>
        </row>
        <row r="5168">
          <cell r="A5168">
            <v>38888</v>
          </cell>
          <cell r="B5168">
            <v>69.3</v>
          </cell>
        </row>
        <row r="5169">
          <cell r="A5169">
            <v>38889</v>
          </cell>
          <cell r="B5169">
            <v>70.069999999999993</v>
          </cell>
        </row>
        <row r="5170">
          <cell r="A5170">
            <v>38890</v>
          </cell>
          <cell r="B5170">
            <v>70.62</v>
          </cell>
        </row>
        <row r="5171">
          <cell r="A5171">
            <v>38891</v>
          </cell>
          <cell r="B5171">
            <v>70.5</v>
          </cell>
        </row>
        <row r="5172">
          <cell r="A5172">
            <v>38894</v>
          </cell>
          <cell r="B5172">
            <v>71.63</v>
          </cell>
        </row>
        <row r="5173">
          <cell r="A5173">
            <v>38895</v>
          </cell>
          <cell r="B5173">
            <v>72.05</v>
          </cell>
        </row>
        <row r="5174">
          <cell r="A5174">
            <v>38896</v>
          </cell>
          <cell r="B5174">
            <v>72.150000000000006</v>
          </cell>
        </row>
        <row r="5175">
          <cell r="A5175">
            <v>38897</v>
          </cell>
          <cell r="B5175">
            <v>73.5</v>
          </cell>
        </row>
        <row r="5176">
          <cell r="A5176">
            <v>38898</v>
          </cell>
          <cell r="B5176">
            <v>73.94</v>
          </cell>
        </row>
        <row r="5177">
          <cell r="A5177">
            <v>38903</v>
          </cell>
          <cell r="B5177">
            <v>75.2</v>
          </cell>
        </row>
        <row r="5178">
          <cell r="A5178">
            <v>38904</v>
          </cell>
          <cell r="B5178">
            <v>75</v>
          </cell>
        </row>
        <row r="5179">
          <cell r="A5179">
            <v>38905</v>
          </cell>
          <cell r="B5179">
            <v>73.760000000000005</v>
          </cell>
        </row>
        <row r="5180">
          <cell r="A5180">
            <v>38908</v>
          </cell>
          <cell r="B5180">
            <v>73.5</v>
          </cell>
        </row>
        <row r="5181">
          <cell r="A5181">
            <v>38909</v>
          </cell>
          <cell r="B5181">
            <v>74.05</v>
          </cell>
        </row>
        <row r="5182">
          <cell r="A5182">
            <v>38910</v>
          </cell>
          <cell r="B5182">
            <v>74.989999999999995</v>
          </cell>
        </row>
        <row r="5183">
          <cell r="A5183">
            <v>38911</v>
          </cell>
          <cell r="B5183">
            <v>76.7</v>
          </cell>
        </row>
        <row r="5184">
          <cell r="A5184">
            <v>38912</v>
          </cell>
          <cell r="B5184">
            <v>76.8</v>
          </cell>
        </row>
        <row r="5185">
          <cell r="A5185">
            <v>38915</v>
          </cell>
          <cell r="B5185">
            <v>75.7</v>
          </cell>
        </row>
        <row r="5186">
          <cell r="A5186">
            <v>38916</v>
          </cell>
          <cell r="B5186">
            <v>73.87</v>
          </cell>
        </row>
        <row r="5187">
          <cell r="A5187">
            <v>38917</v>
          </cell>
          <cell r="B5187">
            <v>72.790000000000006</v>
          </cell>
        </row>
        <row r="5188">
          <cell r="A5188">
            <v>38918</v>
          </cell>
          <cell r="B5188">
            <v>74</v>
          </cell>
        </row>
        <row r="5189">
          <cell r="A5189">
            <v>38919</v>
          </cell>
          <cell r="B5189">
            <v>73.52</v>
          </cell>
        </row>
        <row r="5190">
          <cell r="A5190">
            <v>38922</v>
          </cell>
          <cell r="B5190">
            <v>74.290000000000006</v>
          </cell>
        </row>
        <row r="5191">
          <cell r="A5191">
            <v>38923</v>
          </cell>
          <cell r="B5191">
            <v>73.459999999999994</v>
          </cell>
        </row>
        <row r="5192">
          <cell r="A5192">
            <v>38924</v>
          </cell>
          <cell r="B5192">
            <v>73.819999999999993</v>
          </cell>
        </row>
        <row r="5193">
          <cell r="A5193">
            <v>38925</v>
          </cell>
          <cell r="B5193">
            <v>74.5</v>
          </cell>
        </row>
        <row r="5194">
          <cell r="A5194">
            <v>38926</v>
          </cell>
          <cell r="B5194">
            <v>73.3</v>
          </cell>
        </row>
        <row r="5195">
          <cell r="A5195">
            <v>38929</v>
          </cell>
          <cell r="B5195">
            <v>74.56</v>
          </cell>
        </row>
        <row r="5196">
          <cell r="A5196">
            <v>38930</v>
          </cell>
          <cell r="B5196">
            <v>74.930000000000007</v>
          </cell>
        </row>
        <row r="5197">
          <cell r="A5197">
            <v>38931</v>
          </cell>
          <cell r="B5197">
            <v>76.16</v>
          </cell>
        </row>
        <row r="5198">
          <cell r="A5198">
            <v>38932</v>
          </cell>
          <cell r="B5198">
            <v>75.59</v>
          </cell>
        </row>
        <row r="5199">
          <cell r="A5199">
            <v>38933</v>
          </cell>
          <cell r="B5199">
            <v>74.78</v>
          </cell>
        </row>
        <row r="5200">
          <cell r="A5200">
            <v>38936</v>
          </cell>
          <cell r="B5200">
            <v>77.05</v>
          </cell>
        </row>
        <row r="5201">
          <cell r="A5201">
            <v>38937</v>
          </cell>
          <cell r="B5201">
            <v>76.290000000000006</v>
          </cell>
        </row>
        <row r="5202">
          <cell r="A5202">
            <v>38938</v>
          </cell>
          <cell r="B5202">
            <v>76.28</v>
          </cell>
        </row>
        <row r="5203">
          <cell r="A5203">
            <v>38939</v>
          </cell>
          <cell r="B5203">
            <v>74.17</v>
          </cell>
        </row>
        <row r="5204">
          <cell r="A5204">
            <v>38940</v>
          </cell>
          <cell r="B5204">
            <v>74.38</v>
          </cell>
        </row>
        <row r="5205">
          <cell r="A5205">
            <v>38943</v>
          </cell>
          <cell r="B5205">
            <v>73.33</v>
          </cell>
        </row>
        <row r="5206">
          <cell r="A5206">
            <v>38944</v>
          </cell>
          <cell r="B5206">
            <v>72.95</v>
          </cell>
        </row>
        <row r="5207">
          <cell r="A5207">
            <v>38945</v>
          </cell>
          <cell r="B5207">
            <v>71.64</v>
          </cell>
        </row>
        <row r="5208">
          <cell r="A5208">
            <v>38946</v>
          </cell>
          <cell r="B5208">
            <v>70.12</v>
          </cell>
        </row>
        <row r="5209">
          <cell r="A5209">
            <v>38947</v>
          </cell>
          <cell r="B5209">
            <v>70.930000000000007</v>
          </cell>
        </row>
        <row r="5210">
          <cell r="A5210">
            <v>38950</v>
          </cell>
          <cell r="B5210">
            <v>72.45</v>
          </cell>
        </row>
        <row r="5211">
          <cell r="A5211">
            <v>38951</v>
          </cell>
          <cell r="B5211">
            <v>72.55</v>
          </cell>
        </row>
        <row r="5212">
          <cell r="A5212">
            <v>38952</v>
          </cell>
          <cell r="B5212">
            <v>71.45</v>
          </cell>
        </row>
        <row r="5213">
          <cell r="A5213">
            <v>38953</v>
          </cell>
          <cell r="B5213">
            <v>72.02</v>
          </cell>
        </row>
        <row r="5214">
          <cell r="A5214">
            <v>38954</v>
          </cell>
          <cell r="B5214">
            <v>72.13</v>
          </cell>
        </row>
        <row r="5215">
          <cell r="A5215">
            <v>38957</v>
          </cell>
          <cell r="B5215">
            <v>70.47</v>
          </cell>
        </row>
        <row r="5216">
          <cell r="A5216">
            <v>38958</v>
          </cell>
          <cell r="B5216">
            <v>69.739999999999995</v>
          </cell>
        </row>
        <row r="5217">
          <cell r="A5217">
            <v>38959</v>
          </cell>
          <cell r="B5217">
            <v>70.2</v>
          </cell>
        </row>
        <row r="5218">
          <cell r="A5218">
            <v>38960</v>
          </cell>
          <cell r="B5218">
            <v>70.38</v>
          </cell>
        </row>
        <row r="5219">
          <cell r="A5219">
            <v>38961</v>
          </cell>
          <cell r="B5219">
            <v>69.239999999999995</v>
          </cell>
        </row>
        <row r="5220">
          <cell r="A5220">
            <v>38965</v>
          </cell>
          <cell r="B5220">
            <v>68.7</v>
          </cell>
        </row>
        <row r="5221">
          <cell r="A5221">
            <v>38966</v>
          </cell>
          <cell r="B5221">
            <v>67.75</v>
          </cell>
        </row>
        <row r="5222">
          <cell r="A5222">
            <v>38967</v>
          </cell>
          <cell r="B5222">
            <v>67.37</v>
          </cell>
        </row>
        <row r="5223">
          <cell r="A5223">
            <v>38968</v>
          </cell>
          <cell r="B5223">
            <v>66.3</v>
          </cell>
        </row>
        <row r="5224">
          <cell r="A5224">
            <v>38971</v>
          </cell>
          <cell r="B5224">
            <v>65.42</v>
          </cell>
        </row>
        <row r="5225">
          <cell r="A5225">
            <v>38972</v>
          </cell>
          <cell r="B5225">
            <v>63.81</v>
          </cell>
        </row>
        <row r="5226">
          <cell r="A5226">
            <v>38973</v>
          </cell>
          <cell r="B5226">
            <v>64.09</v>
          </cell>
        </row>
        <row r="5227">
          <cell r="A5227">
            <v>38974</v>
          </cell>
          <cell r="B5227">
            <v>63.27</v>
          </cell>
        </row>
        <row r="5228">
          <cell r="A5228">
            <v>38975</v>
          </cell>
          <cell r="B5228">
            <v>63.3</v>
          </cell>
        </row>
        <row r="5229">
          <cell r="A5229">
            <v>38978</v>
          </cell>
          <cell r="B5229">
            <v>63.84</v>
          </cell>
        </row>
        <row r="5230">
          <cell r="A5230">
            <v>38979</v>
          </cell>
          <cell r="B5230">
            <v>61.77</v>
          </cell>
        </row>
        <row r="5231">
          <cell r="A5231">
            <v>38980</v>
          </cell>
          <cell r="B5231">
            <v>60</v>
          </cell>
        </row>
        <row r="5232">
          <cell r="A5232">
            <v>38981</v>
          </cell>
          <cell r="B5232">
            <v>61.62</v>
          </cell>
        </row>
        <row r="5233">
          <cell r="A5233">
            <v>38982</v>
          </cell>
          <cell r="B5233">
            <v>59.79</v>
          </cell>
        </row>
        <row r="5234">
          <cell r="A5234">
            <v>38985</v>
          </cell>
          <cell r="B5234">
            <v>60.74</v>
          </cell>
        </row>
        <row r="5235">
          <cell r="A5235">
            <v>38986</v>
          </cell>
          <cell r="B5235">
            <v>60.63</v>
          </cell>
        </row>
        <row r="5236">
          <cell r="A5236">
            <v>38987</v>
          </cell>
          <cell r="B5236">
            <v>62.96</v>
          </cell>
        </row>
        <row r="5237">
          <cell r="A5237">
            <v>38988</v>
          </cell>
          <cell r="B5237">
            <v>62.46</v>
          </cell>
        </row>
        <row r="5238">
          <cell r="A5238">
            <v>38989</v>
          </cell>
          <cell r="B5238">
            <v>62.9</v>
          </cell>
        </row>
        <row r="5239">
          <cell r="A5239">
            <v>38992</v>
          </cell>
          <cell r="B5239">
            <v>60.96</v>
          </cell>
        </row>
        <row r="5240">
          <cell r="A5240">
            <v>38993</v>
          </cell>
          <cell r="B5240">
            <v>58.64</v>
          </cell>
        </row>
        <row r="5241">
          <cell r="A5241">
            <v>38994</v>
          </cell>
          <cell r="B5241">
            <v>59.53</v>
          </cell>
        </row>
        <row r="5242">
          <cell r="A5242">
            <v>38995</v>
          </cell>
          <cell r="B5242">
            <v>60.02</v>
          </cell>
        </row>
        <row r="5243">
          <cell r="A5243">
            <v>38996</v>
          </cell>
          <cell r="B5243">
            <v>59.68</v>
          </cell>
        </row>
        <row r="5244">
          <cell r="A5244">
            <v>38999</v>
          </cell>
          <cell r="B5244">
            <v>59.93</v>
          </cell>
        </row>
        <row r="5245">
          <cell r="A5245">
            <v>39000</v>
          </cell>
          <cell r="B5245">
            <v>58.5</v>
          </cell>
        </row>
        <row r="5246">
          <cell r="A5246">
            <v>39001</v>
          </cell>
          <cell r="B5246">
            <v>57.56</v>
          </cell>
        </row>
        <row r="5247">
          <cell r="A5247">
            <v>39002</v>
          </cell>
          <cell r="B5247">
            <v>58.23</v>
          </cell>
        </row>
        <row r="5248">
          <cell r="A5248">
            <v>39003</v>
          </cell>
          <cell r="B5248">
            <v>58.69</v>
          </cell>
        </row>
        <row r="5249">
          <cell r="A5249">
            <v>39006</v>
          </cell>
          <cell r="B5249">
            <v>59.91</v>
          </cell>
        </row>
        <row r="5250">
          <cell r="A5250">
            <v>39007</v>
          </cell>
          <cell r="B5250">
            <v>58.91</v>
          </cell>
        </row>
        <row r="5251">
          <cell r="A5251">
            <v>39008</v>
          </cell>
          <cell r="B5251">
            <v>57.66</v>
          </cell>
        </row>
        <row r="5252">
          <cell r="A5252">
            <v>39009</v>
          </cell>
          <cell r="B5252">
            <v>58.55</v>
          </cell>
        </row>
        <row r="5253">
          <cell r="A5253">
            <v>39010</v>
          </cell>
          <cell r="B5253">
            <v>57.35</v>
          </cell>
        </row>
        <row r="5254">
          <cell r="A5254">
            <v>39013</v>
          </cell>
          <cell r="B5254">
            <v>56.74</v>
          </cell>
        </row>
        <row r="5255">
          <cell r="A5255">
            <v>39014</v>
          </cell>
          <cell r="B5255">
            <v>57.55</v>
          </cell>
        </row>
        <row r="5256">
          <cell r="A5256">
            <v>39015</v>
          </cell>
          <cell r="B5256">
            <v>59.09</v>
          </cell>
        </row>
        <row r="5257">
          <cell r="A5257">
            <v>39016</v>
          </cell>
          <cell r="B5257">
            <v>60.27</v>
          </cell>
        </row>
        <row r="5258">
          <cell r="A5258">
            <v>39017</v>
          </cell>
          <cell r="B5258">
            <v>60.75</v>
          </cell>
        </row>
        <row r="5259">
          <cell r="A5259">
            <v>39020</v>
          </cell>
          <cell r="B5259">
            <v>58.41</v>
          </cell>
        </row>
        <row r="5260">
          <cell r="A5260">
            <v>39021</v>
          </cell>
          <cell r="B5260">
            <v>58.72</v>
          </cell>
        </row>
        <row r="5261">
          <cell r="A5261">
            <v>39022</v>
          </cell>
          <cell r="B5261">
            <v>58.64</v>
          </cell>
        </row>
        <row r="5262">
          <cell r="A5262">
            <v>39023</v>
          </cell>
          <cell r="B5262">
            <v>57.87</v>
          </cell>
        </row>
        <row r="5263">
          <cell r="A5263">
            <v>39024</v>
          </cell>
          <cell r="B5263">
            <v>59.13</v>
          </cell>
        </row>
        <row r="5264">
          <cell r="A5264">
            <v>39027</v>
          </cell>
          <cell r="B5264">
            <v>60.11</v>
          </cell>
        </row>
        <row r="5265">
          <cell r="A5265">
            <v>39028</v>
          </cell>
          <cell r="B5265">
            <v>58.94</v>
          </cell>
        </row>
        <row r="5266">
          <cell r="A5266">
            <v>39029</v>
          </cell>
          <cell r="B5266">
            <v>59.93</v>
          </cell>
        </row>
        <row r="5267">
          <cell r="A5267">
            <v>39030</v>
          </cell>
          <cell r="B5267">
            <v>61.18</v>
          </cell>
        </row>
        <row r="5268">
          <cell r="A5268">
            <v>39031</v>
          </cell>
          <cell r="B5268">
            <v>59.66</v>
          </cell>
        </row>
        <row r="5269">
          <cell r="A5269">
            <v>39034</v>
          </cell>
          <cell r="B5269">
            <v>58.59</v>
          </cell>
        </row>
        <row r="5270">
          <cell r="A5270">
            <v>39035</v>
          </cell>
          <cell r="B5270">
            <v>58.28</v>
          </cell>
        </row>
        <row r="5271">
          <cell r="A5271">
            <v>39036</v>
          </cell>
          <cell r="B5271">
            <v>58.79</v>
          </cell>
        </row>
        <row r="5272">
          <cell r="A5272">
            <v>39037</v>
          </cell>
          <cell r="B5272">
            <v>56.23</v>
          </cell>
        </row>
        <row r="5273">
          <cell r="A5273">
            <v>39038</v>
          </cell>
          <cell r="B5273">
            <v>55.9</v>
          </cell>
        </row>
        <row r="5274">
          <cell r="A5274">
            <v>39041</v>
          </cell>
          <cell r="B5274">
            <v>56.42</v>
          </cell>
        </row>
        <row r="5275">
          <cell r="A5275">
            <v>39042</v>
          </cell>
          <cell r="B5275">
            <v>58.01</v>
          </cell>
        </row>
        <row r="5276">
          <cell r="A5276">
            <v>39043</v>
          </cell>
          <cell r="B5276">
            <v>57.28</v>
          </cell>
        </row>
        <row r="5277">
          <cell r="A5277">
            <v>39048</v>
          </cell>
          <cell r="B5277">
            <v>60.3</v>
          </cell>
        </row>
        <row r="5278">
          <cell r="A5278">
            <v>39049</v>
          </cell>
          <cell r="B5278">
            <v>60.97</v>
          </cell>
        </row>
        <row r="5279">
          <cell r="A5279">
            <v>39050</v>
          </cell>
          <cell r="B5279">
            <v>62.45</v>
          </cell>
        </row>
        <row r="5280">
          <cell r="A5280">
            <v>39051</v>
          </cell>
          <cell r="B5280">
            <v>62.97</v>
          </cell>
        </row>
        <row r="5281">
          <cell r="A5281">
            <v>39052</v>
          </cell>
          <cell r="B5281">
            <v>63.43</v>
          </cell>
        </row>
        <row r="5282">
          <cell r="A5282">
            <v>39055</v>
          </cell>
          <cell r="B5282">
            <v>62.39</v>
          </cell>
        </row>
        <row r="5283">
          <cell r="A5283">
            <v>39056</v>
          </cell>
          <cell r="B5283">
            <v>62.4</v>
          </cell>
        </row>
        <row r="5284">
          <cell r="A5284">
            <v>39057</v>
          </cell>
          <cell r="B5284">
            <v>62.2</v>
          </cell>
        </row>
        <row r="5285">
          <cell r="A5285">
            <v>39058</v>
          </cell>
          <cell r="B5285">
            <v>62.54</v>
          </cell>
        </row>
        <row r="5286">
          <cell r="A5286">
            <v>39059</v>
          </cell>
          <cell r="B5286">
            <v>62.06</v>
          </cell>
        </row>
        <row r="5287">
          <cell r="A5287">
            <v>39062</v>
          </cell>
          <cell r="B5287">
            <v>61.26</v>
          </cell>
        </row>
        <row r="5288">
          <cell r="A5288">
            <v>39063</v>
          </cell>
          <cell r="B5288">
            <v>61.06</v>
          </cell>
        </row>
        <row r="5289">
          <cell r="A5289">
            <v>39064</v>
          </cell>
          <cell r="B5289">
            <v>61.34</v>
          </cell>
        </row>
        <row r="5290">
          <cell r="A5290">
            <v>39065</v>
          </cell>
          <cell r="B5290">
            <v>62.48</v>
          </cell>
        </row>
        <row r="5291">
          <cell r="A5291">
            <v>39066</v>
          </cell>
          <cell r="B5291">
            <v>63.4</v>
          </cell>
        </row>
        <row r="5292">
          <cell r="A5292">
            <v>39069</v>
          </cell>
          <cell r="B5292">
            <v>62.19</v>
          </cell>
        </row>
        <row r="5293">
          <cell r="A5293">
            <v>39070</v>
          </cell>
          <cell r="B5293">
            <v>62.87</v>
          </cell>
        </row>
        <row r="5294">
          <cell r="A5294">
            <v>39071</v>
          </cell>
          <cell r="B5294">
            <v>63.08</v>
          </cell>
        </row>
        <row r="5295">
          <cell r="A5295">
            <v>39072</v>
          </cell>
          <cell r="B5295">
            <v>62.05</v>
          </cell>
        </row>
        <row r="5296">
          <cell r="A5296">
            <v>39073</v>
          </cell>
          <cell r="B5296">
            <v>61.81</v>
          </cell>
        </row>
        <row r="5297">
          <cell r="A5297">
            <v>39077</v>
          </cell>
          <cell r="B5297">
            <v>61.07</v>
          </cell>
        </row>
        <row r="5298">
          <cell r="A5298">
            <v>39078</v>
          </cell>
          <cell r="B5298">
            <v>60.31</v>
          </cell>
        </row>
        <row r="5299">
          <cell r="A5299">
            <v>39079</v>
          </cell>
          <cell r="B5299">
            <v>60.39</v>
          </cell>
        </row>
        <row r="5300">
          <cell r="A5300">
            <v>39080</v>
          </cell>
          <cell r="B5300">
            <v>60.85</v>
          </cell>
        </row>
        <row r="5301">
          <cell r="A5301">
            <v>39084</v>
          </cell>
          <cell r="B5301">
            <v>60.77</v>
          </cell>
        </row>
        <row r="5302">
          <cell r="A5302">
            <v>39085</v>
          </cell>
          <cell r="B5302">
            <v>58.31</v>
          </cell>
        </row>
        <row r="5303">
          <cell r="A5303">
            <v>39086</v>
          </cell>
          <cell r="B5303">
            <v>55.65</v>
          </cell>
        </row>
        <row r="5304">
          <cell r="A5304">
            <v>39087</v>
          </cell>
          <cell r="B5304">
            <v>56.29</v>
          </cell>
        </row>
        <row r="5305">
          <cell r="A5305">
            <v>39090</v>
          </cell>
          <cell r="B5305">
            <v>56.08</v>
          </cell>
        </row>
        <row r="5306">
          <cell r="A5306">
            <v>39091</v>
          </cell>
          <cell r="B5306">
            <v>55.65</v>
          </cell>
        </row>
        <row r="5307">
          <cell r="A5307">
            <v>39092</v>
          </cell>
          <cell r="B5307">
            <v>53.95</v>
          </cell>
        </row>
        <row r="5308">
          <cell r="A5308">
            <v>39093</v>
          </cell>
          <cell r="B5308">
            <v>51.91</v>
          </cell>
        </row>
        <row r="5309">
          <cell r="A5309">
            <v>39094</v>
          </cell>
          <cell r="B5309">
            <v>52.96</v>
          </cell>
        </row>
        <row r="5310">
          <cell r="A5310">
            <v>39098</v>
          </cell>
          <cell r="B5310">
            <v>51.23</v>
          </cell>
        </row>
        <row r="5311">
          <cell r="A5311">
            <v>39099</v>
          </cell>
          <cell r="B5311">
            <v>52.3</v>
          </cell>
        </row>
        <row r="5312">
          <cell r="A5312">
            <v>39100</v>
          </cell>
          <cell r="B5312">
            <v>50.51</v>
          </cell>
        </row>
        <row r="5313">
          <cell r="A5313">
            <v>39101</v>
          </cell>
          <cell r="B5313">
            <v>51.98</v>
          </cell>
        </row>
        <row r="5314">
          <cell r="A5314">
            <v>39104</v>
          </cell>
          <cell r="B5314">
            <v>51.11</v>
          </cell>
        </row>
        <row r="5315">
          <cell r="A5315">
            <v>39105</v>
          </cell>
          <cell r="B5315">
            <v>53.61</v>
          </cell>
        </row>
        <row r="5316">
          <cell r="A5316">
            <v>39106</v>
          </cell>
          <cell r="B5316">
            <v>54.24</v>
          </cell>
        </row>
        <row r="5317">
          <cell r="A5317">
            <v>39107</v>
          </cell>
          <cell r="B5317">
            <v>53.49</v>
          </cell>
        </row>
        <row r="5318">
          <cell r="A5318">
            <v>39108</v>
          </cell>
          <cell r="B5318">
            <v>55.38</v>
          </cell>
        </row>
        <row r="5319">
          <cell r="A5319">
            <v>39111</v>
          </cell>
          <cell r="B5319">
            <v>54.01</v>
          </cell>
        </row>
        <row r="5320">
          <cell r="A5320">
            <v>39112</v>
          </cell>
          <cell r="B5320">
            <v>57.03</v>
          </cell>
        </row>
        <row r="5321">
          <cell r="A5321">
            <v>39113</v>
          </cell>
          <cell r="B5321">
            <v>58.17</v>
          </cell>
        </row>
        <row r="5322">
          <cell r="A5322">
            <v>39114</v>
          </cell>
          <cell r="B5322">
            <v>57.35</v>
          </cell>
        </row>
        <row r="5323">
          <cell r="A5323">
            <v>39115</v>
          </cell>
          <cell r="B5323">
            <v>59.01</v>
          </cell>
        </row>
        <row r="5324">
          <cell r="A5324">
            <v>39118</v>
          </cell>
          <cell r="B5324">
            <v>58.69</v>
          </cell>
        </row>
        <row r="5325">
          <cell r="A5325">
            <v>39119</v>
          </cell>
          <cell r="B5325">
            <v>58.91</v>
          </cell>
        </row>
        <row r="5326">
          <cell r="A5326">
            <v>39120</v>
          </cell>
          <cell r="B5326">
            <v>57.75</v>
          </cell>
        </row>
        <row r="5327">
          <cell r="A5327">
            <v>39121</v>
          </cell>
          <cell r="B5327">
            <v>59.76</v>
          </cell>
        </row>
        <row r="5328">
          <cell r="A5328">
            <v>39122</v>
          </cell>
          <cell r="B5328">
            <v>59.86</v>
          </cell>
        </row>
        <row r="5329">
          <cell r="A5329">
            <v>39125</v>
          </cell>
          <cell r="B5329">
            <v>57.76</v>
          </cell>
        </row>
        <row r="5330">
          <cell r="A5330">
            <v>39126</v>
          </cell>
          <cell r="B5330">
            <v>58.98</v>
          </cell>
        </row>
        <row r="5331">
          <cell r="A5331">
            <v>39127</v>
          </cell>
          <cell r="B5331">
            <v>58</v>
          </cell>
        </row>
        <row r="5332">
          <cell r="A5332">
            <v>39128</v>
          </cell>
          <cell r="B5332">
            <v>57.92</v>
          </cell>
        </row>
        <row r="5333">
          <cell r="A5333">
            <v>39129</v>
          </cell>
          <cell r="B5333">
            <v>59.38</v>
          </cell>
        </row>
        <row r="5334">
          <cell r="A5334">
            <v>39133</v>
          </cell>
          <cell r="B5334">
            <v>58.32</v>
          </cell>
        </row>
        <row r="5335">
          <cell r="A5335">
            <v>39134</v>
          </cell>
          <cell r="B5335">
            <v>59.4</v>
          </cell>
        </row>
        <row r="5336">
          <cell r="A5336">
            <v>39135</v>
          </cell>
          <cell r="B5336">
            <v>60.28</v>
          </cell>
        </row>
        <row r="5337">
          <cell r="A5337">
            <v>39136</v>
          </cell>
          <cell r="B5337">
            <v>60.28</v>
          </cell>
        </row>
        <row r="5338">
          <cell r="A5338">
            <v>39139</v>
          </cell>
          <cell r="B5338">
            <v>61.41</v>
          </cell>
        </row>
        <row r="5339">
          <cell r="A5339">
            <v>39140</v>
          </cell>
          <cell r="B5339">
            <v>61.46</v>
          </cell>
        </row>
        <row r="5340">
          <cell r="A5340">
            <v>39141</v>
          </cell>
          <cell r="B5340">
            <v>61.78</v>
          </cell>
        </row>
        <row r="5341">
          <cell r="A5341">
            <v>39142</v>
          </cell>
          <cell r="B5341">
            <v>61.97</v>
          </cell>
        </row>
        <row r="5342">
          <cell r="A5342">
            <v>39143</v>
          </cell>
          <cell r="B5342">
            <v>61.58</v>
          </cell>
        </row>
        <row r="5343">
          <cell r="A5343">
            <v>39146</v>
          </cell>
          <cell r="B5343">
            <v>60.05</v>
          </cell>
        </row>
        <row r="5344">
          <cell r="A5344">
            <v>39147</v>
          </cell>
          <cell r="B5344">
            <v>60.66</v>
          </cell>
        </row>
        <row r="5345">
          <cell r="A5345">
            <v>39148</v>
          </cell>
          <cell r="B5345">
            <v>61.85</v>
          </cell>
        </row>
        <row r="5346">
          <cell r="A5346">
            <v>39149</v>
          </cell>
          <cell r="B5346">
            <v>61.63</v>
          </cell>
        </row>
        <row r="5347">
          <cell r="A5347">
            <v>39150</v>
          </cell>
          <cell r="B5347">
            <v>60.06</v>
          </cell>
        </row>
        <row r="5348">
          <cell r="A5348">
            <v>39153</v>
          </cell>
          <cell r="B5348">
            <v>58.94</v>
          </cell>
        </row>
        <row r="5349">
          <cell r="A5349">
            <v>39154</v>
          </cell>
          <cell r="B5349">
            <v>58.03</v>
          </cell>
        </row>
        <row r="5350">
          <cell r="A5350">
            <v>39155</v>
          </cell>
          <cell r="B5350">
            <v>58.15</v>
          </cell>
        </row>
        <row r="5351">
          <cell r="A5351">
            <v>39156</v>
          </cell>
          <cell r="B5351">
            <v>57.52</v>
          </cell>
        </row>
        <row r="5352">
          <cell r="A5352">
            <v>39157</v>
          </cell>
          <cell r="B5352">
            <v>57.06</v>
          </cell>
        </row>
        <row r="5353">
          <cell r="A5353">
            <v>39160</v>
          </cell>
          <cell r="B5353">
            <v>56.65</v>
          </cell>
        </row>
        <row r="5354">
          <cell r="A5354">
            <v>39161</v>
          </cell>
          <cell r="B5354">
            <v>56.41</v>
          </cell>
        </row>
        <row r="5355">
          <cell r="A5355">
            <v>39162</v>
          </cell>
          <cell r="B5355">
            <v>56.98</v>
          </cell>
        </row>
        <row r="5356">
          <cell r="A5356">
            <v>39163</v>
          </cell>
          <cell r="B5356">
            <v>60.21</v>
          </cell>
        </row>
        <row r="5357">
          <cell r="A5357">
            <v>39164</v>
          </cell>
          <cell r="B5357">
            <v>61.07</v>
          </cell>
        </row>
        <row r="5358">
          <cell r="A5358">
            <v>39167</v>
          </cell>
          <cell r="B5358">
            <v>61.77</v>
          </cell>
        </row>
        <row r="5359">
          <cell r="A5359">
            <v>39168</v>
          </cell>
          <cell r="B5359">
            <v>62.98</v>
          </cell>
        </row>
        <row r="5360">
          <cell r="A5360">
            <v>39169</v>
          </cell>
          <cell r="B5360">
            <v>64.11</v>
          </cell>
        </row>
        <row r="5361">
          <cell r="A5361">
            <v>39170</v>
          </cell>
          <cell r="B5361">
            <v>66.099999999999994</v>
          </cell>
        </row>
        <row r="5362">
          <cell r="A5362">
            <v>39171</v>
          </cell>
          <cell r="B5362">
            <v>65.94</v>
          </cell>
        </row>
        <row r="5363">
          <cell r="A5363">
            <v>39174</v>
          </cell>
          <cell r="B5363">
            <v>66.03</v>
          </cell>
        </row>
        <row r="5364">
          <cell r="A5364">
            <v>39175</v>
          </cell>
          <cell r="B5364">
            <v>64.59</v>
          </cell>
        </row>
        <row r="5365">
          <cell r="A5365">
            <v>39176</v>
          </cell>
          <cell r="B5365">
            <v>64.400000000000006</v>
          </cell>
        </row>
        <row r="5366">
          <cell r="A5366">
            <v>39177</v>
          </cell>
          <cell r="B5366">
            <v>64.260000000000005</v>
          </cell>
        </row>
        <row r="5367">
          <cell r="A5367">
            <v>39181</v>
          </cell>
          <cell r="B5367">
            <v>61.51</v>
          </cell>
        </row>
        <row r="5368">
          <cell r="A5368">
            <v>39182</v>
          </cell>
          <cell r="B5368">
            <v>61.92</v>
          </cell>
        </row>
        <row r="5369">
          <cell r="A5369">
            <v>39183</v>
          </cell>
          <cell r="B5369">
            <v>61.98</v>
          </cell>
        </row>
        <row r="5370">
          <cell r="A5370">
            <v>39184</v>
          </cell>
          <cell r="B5370">
            <v>63.87</v>
          </cell>
        </row>
        <row r="5371">
          <cell r="A5371">
            <v>39185</v>
          </cell>
          <cell r="B5371">
            <v>63.63</v>
          </cell>
        </row>
        <row r="5372">
          <cell r="A5372">
            <v>39188</v>
          </cell>
          <cell r="B5372">
            <v>63.63</v>
          </cell>
        </row>
        <row r="5373">
          <cell r="A5373">
            <v>39189</v>
          </cell>
          <cell r="B5373">
            <v>63.14</v>
          </cell>
        </row>
        <row r="5374">
          <cell r="A5374">
            <v>39190</v>
          </cell>
          <cell r="B5374">
            <v>63.14</v>
          </cell>
        </row>
        <row r="5375">
          <cell r="A5375">
            <v>39191</v>
          </cell>
          <cell r="B5375">
            <v>61.81</v>
          </cell>
        </row>
        <row r="5376">
          <cell r="A5376">
            <v>39192</v>
          </cell>
          <cell r="B5376">
            <v>63.56</v>
          </cell>
        </row>
        <row r="5377">
          <cell r="A5377">
            <v>39195</v>
          </cell>
          <cell r="B5377">
            <v>65.33</v>
          </cell>
        </row>
        <row r="5378">
          <cell r="A5378">
            <v>39196</v>
          </cell>
          <cell r="B5378">
            <v>64.099999999999994</v>
          </cell>
        </row>
        <row r="5379">
          <cell r="A5379">
            <v>39197</v>
          </cell>
          <cell r="B5379">
            <v>65.33</v>
          </cell>
        </row>
        <row r="5380">
          <cell r="A5380">
            <v>39198</v>
          </cell>
          <cell r="B5380">
            <v>65.08</v>
          </cell>
        </row>
        <row r="5381">
          <cell r="A5381">
            <v>39199</v>
          </cell>
          <cell r="B5381">
            <v>66.45</v>
          </cell>
        </row>
        <row r="5382">
          <cell r="A5382">
            <v>39202</v>
          </cell>
          <cell r="B5382">
            <v>65.78</v>
          </cell>
        </row>
        <row r="5383">
          <cell r="A5383">
            <v>39203</v>
          </cell>
          <cell r="B5383">
            <v>64.430000000000007</v>
          </cell>
        </row>
        <row r="5384">
          <cell r="A5384">
            <v>39204</v>
          </cell>
          <cell r="B5384">
            <v>63.78</v>
          </cell>
        </row>
        <row r="5385">
          <cell r="A5385">
            <v>39205</v>
          </cell>
          <cell r="B5385">
            <v>63.23</v>
          </cell>
        </row>
        <row r="5386">
          <cell r="A5386">
            <v>39206</v>
          </cell>
          <cell r="B5386">
            <v>61.89</v>
          </cell>
        </row>
        <row r="5387">
          <cell r="A5387">
            <v>39209</v>
          </cell>
          <cell r="B5387">
            <v>61.48</v>
          </cell>
        </row>
        <row r="5388">
          <cell r="A5388">
            <v>39210</v>
          </cell>
          <cell r="B5388">
            <v>62.26</v>
          </cell>
        </row>
        <row r="5389">
          <cell r="A5389">
            <v>39211</v>
          </cell>
          <cell r="B5389">
            <v>61.54</v>
          </cell>
        </row>
        <row r="5390">
          <cell r="A5390">
            <v>39212</v>
          </cell>
          <cell r="B5390">
            <v>61.85</v>
          </cell>
        </row>
        <row r="5391">
          <cell r="A5391">
            <v>39213</v>
          </cell>
          <cell r="B5391">
            <v>62.35</v>
          </cell>
        </row>
        <row r="5392">
          <cell r="A5392">
            <v>39216</v>
          </cell>
          <cell r="B5392">
            <v>62.55</v>
          </cell>
        </row>
        <row r="5393">
          <cell r="A5393">
            <v>39217</v>
          </cell>
          <cell r="B5393">
            <v>63.16</v>
          </cell>
        </row>
        <row r="5394">
          <cell r="A5394">
            <v>39218</v>
          </cell>
          <cell r="B5394">
            <v>62.57</v>
          </cell>
        </row>
        <row r="5395">
          <cell r="A5395">
            <v>39219</v>
          </cell>
          <cell r="B5395">
            <v>64.83</v>
          </cell>
        </row>
        <row r="5396">
          <cell r="A5396">
            <v>39220</v>
          </cell>
          <cell r="B5396">
            <v>64.930000000000007</v>
          </cell>
        </row>
        <row r="5397">
          <cell r="A5397">
            <v>39223</v>
          </cell>
          <cell r="B5397">
            <v>66.25</v>
          </cell>
        </row>
        <row r="5398">
          <cell r="A5398">
            <v>39224</v>
          </cell>
          <cell r="B5398">
            <v>64.91</v>
          </cell>
        </row>
        <row r="5399">
          <cell r="A5399">
            <v>39225</v>
          </cell>
          <cell r="B5399">
            <v>65.099999999999994</v>
          </cell>
        </row>
        <row r="5400">
          <cell r="A5400">
            <v>39226</v>
          </cell>
          <cell r="B5400">
            <v>63.62</v>
          </cell>
        </row>
        <row r="5401">
          <cell r="A5401">
            <v>39227</v>
          </cell>
          <cell r="B5401">
            <v>64.59</v>
          </cell>
        </row>
        <row r="5402">
          <cell r="A5402">
            <v>39231</v>
          </cell>
          <cell r="B5402">
            <v>63.19</v>
          </cell>
        </row>
        <row r="5403">
          <cell r="A5403">
            <v>39232</v>
          </cell>
          <cell r="B5403">
            <v>63.47</v>
          </cell>
        </row>
        <row r="5404">
          <cell r="A5404">
            <v>39233</v>
          </cell>
          <cell r="B5404">
            <v>64.02</v>
          </cell>
        </row>
        <row r="5405">
          <cell r="A5405">
            <v>39234</v>
          </cell>
          <cell r="B5405">
            <v>65.09</v>
          </cell>
        </row>
        <row r="5406">
          <cell r="A5406">
            <v>39237</v>
          </cell>
          <cell r="B5406">
            <v>66.17</v>
          </cell>
        </row>
        <row r="5407">
          <cell r="A5407">
            <v>39238</v>
          </cell>
          <cell r="B5407">
            <v>65.63</v>
          </cell>
        </row>
        <row r="5408">
          <cell r="A5408">
            <v>39239</v>
          </cell>
          <cell r="B5408">
            <v>65.97</v>
          </cell>
        </row>
        <row r="5409">
          <cell r="A5409">
            <v>39240</v>
          </cell>
          <cell r="B5409">
            <v>66.930000000000007</v>
          </cell>
        </row>
        <row r="5410">
          <cell r="A5410">
            <v>39241</v>
          </cell>
          <cell r="B5410">
            <v>64.78</v>
          </cell>
        </row>
        <row r="5411">
          <cell r="A5411">
            <v>39244</v>
          </cell>
          <cell r="B5411">
            <v>65.930000000000007</v>
          </cell>
        </row>
        <row r="5412">
          <cell r="A5412">
            <v>39245</v>
          </cell>
          <cell r="B5412">
            <v>65.36</v>
          </cell>
        </row>
        <row r="5413">
          <cell r="A5413">
            <v>39246</v>
          </cell>
          <cell r="B5413">
            <v>66.17</v>
          </cell>
        </row>
        <row r="5414">
          <cell r="A5414">
            <v>39247</v>
          </cell>
          <cell r="B5414">
            <v>67.62</v>
          </cell>
        </row>
        <row r="5415">
          <cell r="A5415">
            <v>39248</v>
          </cell>
          <cell r="B5415">
            <v>68.040000000000006</v>
          </cell>
        </row>
        <row r="5416">
          <cell r="A5416">
            <v>39251</v>
          </cell>
          <cell r="B5416">
            <v>69.06</v>
          </cell>
        </row>
        <row r="5417">
          <cell r="A5417">
            <v>39252</v>
          </cell>
          <cell r="B5417">
            <v>69.150000000000006</v>
          </cell>
        </row>
        <row r="5418">
          <cell r="A5418">
            <v>39253</v>
          </cell>
          <cell r="B5418">
            <v>68.5</v>
          </cell>
        </row>
        <row r="5419">
          <cell r="A5419">
            <v>39254</v>
          </cell>
          <cell r="B5419">
            <v>68.349999999999994</v>
          </cell>
        </row>
        <row r="5420">
          <cell r="A5420">
            <v>39255</v>
          </cell>
          <cell r="B5420">
            <v>68.849999999999994</v>
          </cell>
        </row>
        <row r="5421">
          <cell r="A5421">
            <v>39258</v>
          </cell>
          <cell r="B5421">
            <v>68.83</v>
          </cell>
        </row>
        <row r="5422">
          <cell r="A5422">
            <v>39259</v>
          </cell>
          <cell r="B5422">
            <v>67.78</v>
          </cell>
        </row>
        <row r="5423">
          <cell r="A5423">
            <v>39260</v>
          </cell>
          <cell r="B5423">
            <v>68.98</v>
          </cell>
        </row>
        <row r="5424">
          <cell r="A5424">
            <v>39261</v>
          </cell>
          <cell r="B5424">
            <v>69.61</v>
          </cell>
        </row>
        <row r="5425">
          <cell r="A5425">
            <v>39262</v>
          </cell>
          <cell r="B5425">
            <v>70.47</v>
          </cell>
        </row>
        <row r="5426">
          <cell r="A5426">
            <v>39265</v>
          </cell>
          <cell r="B5426">
            <v>71.11</v>
          </cell>
        </row>
        <row r="5427">
          <cell r="A5427">
            <v>39266</v>
          </cell>
          <cell r="B5427">
            <v>71.41</v>
          </cell>
        </row>
        <row r="5428">
          <cell r="A5428">
            <v>39268</v>
          </cell>
          <cell r="B5428">
            <v>71.81</v>
          </cell>
        </row>
        <row r="5429">
          <cell r="A5429">
            <v>39269</v>
          </cell>
          <cell r="B5429">
            <v>72.8</v>
          </cell>
        </row>
        <row r="5430">
          <cell r="A5430">
            <v>39272</v>
          </cell>
          <cell r="B5430">
            <v>72.14</v>
          </cell>
        </row>
        <row r="5431">
          <cell r="A5431">
            <v>39273</v>
          </cell>
          <cell r="B5431">
            <v>72.8</v>
          </cell>
        </row>
        <row r="5432">
          <cell r="A5432">
            <v>39274</v>
          </cell>
          <cell r="B5432">
            <v>72.58</v>
          </cell>
        </row>
        <row r="5433">
          <cell r="A5433">
            <v>39275</v>
          </cell>
          <cell r="B5433">
            <v>72.55</v>
          </cell>
        </row>
        <row r="5434">
          <cell r="A5434">
            <v>39276</v>
          </cell>
          <cell r="B5434">
            <v>73.89</v>
          </cell>
        </row>
        <row r="5435">
          <cell r="A5435">
            <v>39279</v>
          </cell>
          <cell r="B5435">
            <v>74.11</v>
          </cell>
        </row>
        <row r="5436">
          <cell r="A5436">
            <v>39280</v>
          </cell>
          <cell r="B5436">
            <v>74.03</v>
          </cell>
        </row>
        <row r="5437">
          <cell r="A5437">
            <v>39281</v>
          </cell>
          <cell r="B5437">
            <v>75.03</v>
          </cell>
        </row>
        <row r="5438">
          <cell r="A5438">
            <v>39282</v>
          </cell>
          <cell r="B5438">
            <v>75.900000000000006</v>
          </cell>
        </row>
        <row r="5439">
          <cell r="A5439">
            <v>39283</v>
          </cell>
          <cell r="B5439">
            <v>75.53</v>
          </cell>
        </row>
        <row r="5440">
          <cell r="A5440">
            <v>39286</v>
          </cell>
          <cell r="B5440">
            <v>74.650000000000006</v>
          </cell>
        </row>
        <row r="5441">
          <cell r="A5441">
            <v>39287</v>
          </cell>
          <cell r="B5441">
            <v>73.38</v>
          </cell>
        </row>
        <row r="5442">
          <cell r="A5442">
            <v>39288</v>
          </cell>
          <cell r="B5442">
            <v>75.739999999999995</v>
          </cell>
        </row>
        <row r="5443">
          <cell r="A5443">
            <v>39289</v>
          </cell>
          <cell r="B5443">
            <v>74.959999999999994</v>
          </cell>
        </row>
        <row r="5444">
          <cell r="A5444">
            <v>39290</v>
          </cell>
          <cell r="B5444">
            <v>77.03</v>
          </cell>
        </row>
        <row r="5445">
          <cell r="A5445">
            <v>39293</v>
          </cell>
          <cell r="B5445">
            <v>76.819999999999993</v>
          </cell>
        </row>
        <row r="5446">
          <cell r="A5446">
            <v>39294</v>
          </cell>
          <cell r="B5446">
            <v>78.2</v>
          </cell>
        </row>
        <row r="5447">
          <cell r="A5447">
            <v>39295</v>
          </cell>
          <cell r="B5447">
            <v>76.489999999999995</v>
          </cell>
        </row>
        <row r="5448">
          <cell r="A5448">
            <v>39296</v>
          </cell>
          <cell r="B5448">
            <v>76.84</v>
          </cell>
        </row>
        <row r="5449">
          <cell r="A5449">
            <v>39297</v>
          </cell>
          <cell r="B5449">
            <v>75.41</v>
          </cell>
        </row>
        <row r="5450">
          <cell r="A5450">
            <v>39300</v>
          </cell>
          <cell r="B5450">
            <v>72.03</v>
          </cell>
        </row>
        <row r="5451">
          <cell r="A5451">
            <v>39301</v>
          </cell>
          <cell r="B5451">
            <v>72.25</v>
          </cell>
        </row>
        <row r="5452">
          <cell r="A5452">
            <v>39302</v>
          </cell>
          <cell r="B5452">
            <v>72.23</v>
          </cell>
        </row>
        <row r="5453">
          <cell r="A5453">
            <v>39303</v>
          </cell>
          <cell r="B5453">
            <v>71.62</v>
          </cell>
        </row>
        <row r="5454">
          <cell r="A5454">
            <v>39304</v>
          </cell>
          <cell r="B5454">
            <v>71.489999999999995</v>
          </cell>
        </row>
        <row r="5455">
          <cell r="A5455">
            <v>39307</v>
          </cell>
          <cell r="B5455">
            <v>71.599999999999994</v>
          </cell>
        </row>
        <row r="5456">
          <cell r="A5456">
            <v>39308</v>
          </cell>
          <cell r="B5456">
            <v>72.400000000000006</v>
          </cell>
        </row>
        <row r="5457">
          <cell r="A5457">
            <v>39309</v>
          </cell>
          <cell r="B5457">
            <v>73.36</v>
          </cell>
        </row>
        <row r="5458">
          <cell r="A5458">
            <v>39310</v>
          </cell>
          <cell r="B5458">
            <v>70.989999999999995</v>
          </cell>
        </row>
        <row r="5459">
          <cell r="A5459">
            <v>39311</v>
          </cell>
          <cell r="B5459">
            <v>71.900000000000006</v>
          </cell>
        </row>
        <row r="5460">
          <cell r="A5460">
            <v>39314</v>
          </cell>
          <cell r="B5460">
            <v>71.12</v>
          </cell>
        </row>
        <row r="5461">
          <cell r="A5461">
            <v>39315</v>
          </cell>
          <cell r="B5461">
            <v>69.489999999999995</v>
          </cell>
        </row>
        <row r="5462">
          <cell r="A5462">
            <v>39316</v>
          </cell>
          <cell r="B5462">
            <v>69.3</v>
          </cell>
        </row>
        <row r="5463">
          <cell r="A5463">
            <v>39317</v>
          </cell>
          <cell r="B5463">
            <v>69.86</v>
          </cell>
        </row>
        <row r="5464">
          <cell r="A5464">
            <v>39318</v>
          </cell>
          <cell r="B5464">
            <v>71.17</v>
          </cell>
        </row>
        <row r="5465">
          <cell r="A5465">
            <v>39321</v>
          </cell>
          <cell r="B5465">
            <v>71.98</v>
          </cell>
        </row>
        <row r="5466">
          <cell r="A5466">
            <v>39322</v>
          </cell>
          <cell r="B5466">
            <v>71.790000000000006</v>
          </cell>
        </row>
        <row r="5467">
          <cell r="A5467">
            <v>39323</v>
          </cell>
          <cell r="B5467">
            <v>73.52</v>
          </cell>
        </row>
        <row r="5468">
          <cell r="A5468">
            <v>39324</v>
          </cell>
          <cell r="B5468">
            <v>73.37</v>
          </cell>
        </row>
        <row r="5469">
          <cell r="A5469">
            <v>39325</v>
          </cell>
          <cell r="B5469">
            <v>73.98</v>
          </cell>
        </row>
        <row r="5470">
          <cell r="A5470">
            <v>39329</v>
          </cell>
          <cell r="B5470">
            <v>75.069999999999993</v>
          </cell>
        </row>
        <row r="5471">
          <cell r="A5471">
            <v>39330</v>
          </cell>
          <cell r="B5471">
            <v>75.739999999999995</v>
          </cell>
        </row>
        <row r="5472">
          <cell r="A5472">
            <v>39331</v>
          </cell>
          <cell r="B5472">
            <v>76.34</v>
          </cell>
        </row>
        <row r="5473">
          <cell r="A5473">
            <v>39332</v>
          </cell>
          <cell r="B5473">
            <v>76.7</v>
          </cell>
        </row>
        <row r="5474">
          <cell r="A5474">
            <v>39335</v>
          </cell>
          <cell r="B5474">
            <v>77.53</v>
          </cell>
        </row>
        <row r="5475">
          <cell r="A5475">
            <v>39336</v>
          </cell>
          <cell r="B5475">
            <v>78.16</v>
          </cell>
        </row>
        <row r="5476">
          <cell r="A5476">
            <v>39337</v>
          </cell>
          <cell r="B5476">
            <v>79.849999999999994</v>
          </cell>
        </row>
        <row r="5477">
          <cell r="A5477">
            <v>39338</v>
          </cell>
          <cell r="B5477">
            <v>80.05</v>
          </cell>
        </row>
        <row r="5478">
          <cell r="A5478">
            <v>39339</v>
          </cell>
          <cell r="B5478">
            <v>79.14</v>
          </cell>
        </row>
        <row r="5479">
          <cell r="A5479">
            <v>39342</v>
          </cell>
          <cell r="B5479">
            <v>80.55</v>
          </cell>
        </row>
        <row r="5480">
          <cell r="A5480">
            <v>39343</v>
          </cell>
          <cell r="B5480">
            <v>81.510000000000005</v>
          </cell>
        </row>
        <row r="5481">
          <cell r="A5481">
            <v>39344</v>
          </cell>
          <cell r="B5481">
            <v>81.99</v>
          </cell>
        </row>
        <row r="5482">
          <cell r="A5482">
            <v>39345</v>
          </cell>
          <cell r="B5482">
            <v>83.85</v>
          </cell>
        </row>
        <row r="5483">
          <cell r="A5483">
            <v>39346</v>
          </cell>
          <cell r="B5483">
            <v>83.38</v>
          </cell>
        </row>
        <row r="5484">
          <cell r="A5484">
            <v>39349</v>
          </cell>
          <cell r="B5484">
            <v>82.51</v>
          </cell>
        </row>
        <row r="5485">
          <cell r="A5485">
            <v>39350</v>
          </cell>
          <cell r="B5485">
            <v>81.2</v>
          </cell>
        </row>
        <row r="5486">
          <cell r="A5486">
            <v>39351</v>
          </cell>
          <cell r="B5486">
            <v>80.31</v>
          </cell>
        </row>
        <row r="5487">
          <cell r="A5487">
            <v>39352</v>
          </cell>
          <cell r="B5487">
            <v>82.86</v>
          </cell>
        </row>
        <row r="5488">
          <cell r="A5488">
            <v>39353</v>
          </cell>
          <cell r="B5488">
            <v>81.64</v>
          </cell>
        </row>
        <row r="5489">
          <cell r="A5489">
            <v>39356</v>
          </cell>
          <cell r="B5489">
            <v>80.31</v>
          </cell>
        </row>
        <row r="5490">
          <cell r="A5490">
            <v>39357</v>
          </cell>
          <cell r="B5490">
            <v>80</v>
          </cell>
        </row>
        <row r="5491">
          <cell r="A5491">
            <v>39358</v>
          </cell>
          <cell r="B5491">
            <v>79.97</v>
          </cell>
        </row>
        <row r="5492">
          <cell r="A5492">
            <v>39359</v>
          </cell>
          <cell r="B5492">
            <v>81.48</v>
          </cell>
        </row>
        <row r="5493">
          <cell r="A5493">
            <v>39360</v>
          </cell>
          <cell r="B5493">
            <v>81.2</v>
          </cell>
        </row>
        <row r="5494">
          <cell r="A5494">
            <v>39363</v>
          </cell>
          <cell r="B5494">
            <v>78.97</v>
          </cell>
        </row>
        <row r="5495">
          <cell r="A5495">
            <v>39364</v>
          </cell>
          <cell r="B5495">
            <v>80.23</v>
          </cell>
        </row>
        <row r="5496">
          <cell r="A5496">
            <v>39365</v>
          </cell>
          <cell r="B5496">
            <v>81.3</v>
          </cell>
        </row>
        <row r="5497">
          <cell r="A5497">
            <v>39366</v>
          </cell>
          <cell r="B5497">
            <v>83.05</v>
          </cell>
        </row>
        <row r="5498">
          <cell r="A5498">
            <v>39367</v>
          </cell>
          <cell r="B5498">
            <v>83.73</v>
          </cell>
        </row>
        <row r="5499">
          <cell r="A5499">
            <v>39370</v>
          </cell>
          <cell r="B5499">
            <v>86.19</v>
          </cell>
        </row>
        <row r="5500">
          <cell r="A5500">
            <v>39371</v>
          </cell>
          <cell r="B5500">
            <v>87.58</v>
          </cell>
        </row>
        <row r="5501">
          <cell r="A5501">
            <v>39372</v>
          </cell>
          <cell r="B5501">
            <v>87.19</v>
          </cell>
        </row>
        <row r="5502">
          <cell r="A5502">
            <v>39373</v>
          </cell>
          <cell r="B5502">
            <v>89.48</v>
          </cell>
        </row>
        <row r="5503">
          <cell r="A5503">
            <v>39374</v>
          </cell>
          <cell r="B5503">
            <v>88.58</v>
          </cell>
        </row>
        <row r="5504">
          <cell r="A5504">
            <v>39377</v>
          </cell>
          <cell r="B5504">
            <v>87.6</v>
          </cell>
        </row>
        <row r="5505">
          <cell r="A5505">
            <v>39378</v>
          </cell>
          <cell r="B5505">
            <v>86.45</v>
          </cell>
        </row>
        <row r="5506">
          <cell r="A5506">
            <v>39379</v>
          </cell>
          <cell r="B5506">
            <v>88.3</v>
          </cell>
        </row>
        <row r="5507">
          <cell r="A5507">
            <v>39380</v>
          </cell>
          <cell r="B5507">
            <v>92.09</v>
          </cell>
        </row>
        <row r="5508">
          <cell r="A5508">
            <v>39381</v>
          </cell>
          <cell r="B5508">
            <v>91.73</v>
          </cell>
        </row>
        <row r="5509">
          <cell r="A5509">
            <v>39384</v>
          </cell>
          <cell r="B5509">
            <v>93.45</v>
          </cell>
        </row>
        <row r="5510">
          <cell r="A5510">
            <v>39385</v>
          </cell>
          <cell r="B5510">
            <v>90.33</v>
          </cell>
        </row>
        <row r="5511">
          <cell r="A5511">
            <v>39386</v>
          </cell>
          <cell r="B5511">
            <v>94.16</v>
          </cell>
        </row>
        <row r="5512">
          <cell r="A5512">
            <v>39387</v>
          </cell>
          <cell r="B5512">
            <v>93.53</v>
          </cell>
        </row>
        <row r="5513">
          <cell r="A5513">
            <v>39388</v>
          </cell>
          <cell r="B5513">
            <v>95.81</v>
          </cell>
        </row>
        <row r="5514">
          <cell r="A5514">
            <v>39391</v>
          </cell>
          <cell r="B5514">
            <v>94.06</v>
          </cell>
        </row>
        <row r="5515">
          <cell r="A5515">
            <v>39392</v>
          </cell>
          <cell r="B5515">
            <v>96.65</v>
          </cell>
        </row>
        <row r="5516">
          <cell r="A5516">
            <v>39393</v>
          </cell>
          <cell r="B5516">
            <v>96.46</v>
          </cell>
        </row>
        <row r="5517">
          <cell r="A5517">
            <v>39394</v>
          </cell>
          <cell r="B5517">
            <v>95.51</v>
          </cell>
        </row>
        <row r="5518">
          <cell r="A5518">
            <v>39395</v>
          </cell>
          <cell r="B5518">
            <v>96.36</v>
          </cell>
        </row>
        <row r="5519">
          <cell r="A5519">
            <v>39398</v>
          </cell>
          <cell r="B5519">
            <v>94.4</v>
          </cell>
        </row>
        <row r="5520">
          <cell r="A5520">
            <v>39399</v>
          </cell>
          <cell r="B5520">
            <v>91.18</v>
          </cell>
        </row>
        <row r="5521">
          <cell r="A5521">
            <v>39400</v>
          </cell>
          <cell r="B5521">
            <v>94.02</v>
          </cell>
        </row>
        <row r="5522">
          <cell r="A5522">
            <v>39401</v>
          </cell>
          <cell r="B5522">
            <v>93.37</v>
          </cell>
        </row>
        <row r="5523">
          <cell r="A5523">
            <v>39402</v>
          </cell>
          <cell r="B5523">
            <v>94.81</v>
          </cell>
        </row>
        <row r="5524">
          <cell r="A5524">
            <v>39405</v>
          </cell>
          <cell r="B5524">
            <v>95.75</v>
          </cell>
        </row>
        <row r="5525">
          <cell r="A5525">
            <v>39406</v>
          </cell>
          <cell r="B5525">
            <v>99.16</v>
          </cell>
        </row>
        <row r="5526">
          <cell r="A5526">
            <v>39407</v>
          </cell>
          <cell r="B5526">
            <v>98.57</v>
          </cell>
        </row>
        <row r="5527">
          <cell r="A5527">
            <v>39409</v>
          </cell>
          <cell r="B5527">
            <v>98.24</v>
          </cell>
        </row>
        <row r="5528">
          <cell r="A5528">
            <v>39412</v>
          </cell>
          <cell r="B5528">
            <v>97.66</v>
          </cell>
        </row>
        <row r="5529">
          <cell r="A5529">
            <v>39413</v>
          </cell>
          <cell r="B5529">
            <v>94.39</v>
          </cell>
        </row>
        <row r="5530">
          <cell r="A5530">
            <v>39414</v>
          </cell>
          <cell r="B5530">
            <v>90.71</v>
          </cell>
        </row>
        <row r="5531">
          <cell r="A5531">
            <v>39415</v>
          </cell>
          <cell r="B5531">
            <v>90.98</v>
          </cell>
        </row>
        <row r="5532">
          <cell r="A5532">
            <v>39416</v>
          </cell>
          <cell r="B5532">
            <v>88.6</v>
          </cell>
        </row>
        <row r="5533">
          <cell r="A5533">
            <v>39419</v>
          </cell>
          <cell r="B5533">
            <v>89.29</v>
          </cell>
        </row>
        <row r="5534">
          <cell r="A5534">
            <v>39420</v>
          </cell>
          <cell r="B5534">
            <v>88.31</v>
          </cell>
        </row>
        <row r="5535">
          <cell r="A5535">
            <v>39421</v>
          </cell>
          <cell r="B5535">
            <v>87.45</v>
          </cell>
        </row>
        <row r="5536">
          <cell r="A5536">
            <v>39422</v>
          </cell>
          <cell r="B5536">
            <v>90.25</v>
          </cell>
        </row>
        <row r="5537">
          <cell r="A5537">
            <v>39423</v>
          </cell>
          <cell r="B5537">
            <v>88.23</v>
          </cell>
        </row>
        <row r="5538">
          <cell r="A5538">
            <v>39426</v>
          </cell>
          <cell r="B5538">
            <v>87.72</v>
          </cell>
        </row>
        <row r="5539">
          <cell r="A5539">
            <v>39427</v>
          </cell>
          <cell r="B5539">
            <v>90.12</v>
          </cell>
        </row>
        <row r="5540">
          <cell r="A5540">
            <v>39428</v>
          </cell>
          <cell r="B5540">
            <v>94.41</v>
          </cell>
        </row>
        <row r="5541">
          <cell r="A5541">
            <v>39429</v>
          </cell>
          <cell r="B5541">
            <v>92.35</v>
          </cell>
        </row>
        <row r="5542">
          <cell r="A5542">
            <v>39430</v>
          </cell>
          <cell r="B5542">
            <v>91.31</v>
          </cell>
        </row>
        <row r="5543">
          <cell r="A5543">
            <v>39433</v>
          </cell>
          <cell r="B5543">
            <v>90.69</v>
          </cell>
        </row>
        <row r="5544">
          <cell r="A5544">
            <v>39434</v>
          </cell>
          <cell r="B5544">
            <v>89.93</v>
          </cell>
        </row>
        <row r="5545">
          <cell r="A5545">
            <v>39435</v>
          </cell>
          <cell r="B5545">
            <v>91.11</v>
          </cell>
        </row>
        <row r="5546">
          <cell r="A5546">
            <v>39436</v>
          </cell>
          <cell r="B5546">
            <v>90.88</v>
          </cell>
        </row>
        <row r="5547">
          <cell r="A5547">
            <v>39437</v>
          </cell>
          <cell r="B5547">
            <v>93.19</v>
          </cell>
        </row>
        <row r="5548">
          <cell r="A5548">
            <v>39440</v>
          </cell>
          <cell r="B5548">
            <v>94</v>
          </cell>
        </row>
        <row r="5549">
          <cell r="A5549">
            <v>39442</v>
          </cell>
          <cell r="B5549">
            <v>95.89</v>
          </cell>
        </row>
        <row r="5550">
          <cell r="A5550">
            <v>39443</v>
          </cell>
          <cell r="B5550">
            <v>96.63</v>
          </cell>
        </row>
        <row r="5551">
          <cell r="A5551">
            <v>39444</v>
          </cell>
          <cell r="B5551">
            <v>96.03</v>
          </cell>
        </row>
        <row r="5552">
          <cell r="A5552">
            <v>39447</v>
          </cell>
          <cell r="B5552">
            <v>95.95</v>
          </cell>
        </row>
        <row r="5553">
          <cell r="A5553">
            <v>39449</v>
          </cell>
          <cell r="B5553">
            <v>99.64</v>
          </cell>
        </row>
        <row r="5554">
          <cell r="A5554">
            <v>39450</v>
          </cell>
          <cell r="B5554">
            <v>99.17</v>
          </cell>
        </row>
        <row r="5555">
          <cell r="A5555">
            <v>39451</v>
          </cell>
          <cell r="B5555">
            <v>97.9</v>
          </cell>
        </row>
        <row r="5556">
          <cell r="A5556">
            <v>39454</v>
          </cell>
          <cell r="B5556">
            <v>95.08</v>
          </cell>
        </row>
        <row r="5557">
          <cell r="A5557">
            <v>39455</v>
          </cell>
          <cell r="B5557">
            <v>96.43</v>
          </cell>
        </row>
        <row r="5558">
          <cell r="A5558">
            <v>39456</v>
          </cell>
          <cell r="B5558">
            <v>95.64</v>
          </cell>
        </row>
        <row r="5559">
          <cell r="A5559">
            <v>39457</v>
          </cell>
          <cell r="B5559">
            <v>93.92</v>
          </cell>
        </row>
        <row r="5560">
          <cell r="A5560">
            <v>39458</v>
          </cell>
          <cell r="B5560">
            <v>92.74</v>
          </cell>
        </row>
        <row r="5561">
          <cell r="A5561">
            <v>39461</v>
          </cell>
          <cell r="B5561">
            <v>94.23</v>
          </cell>
        </row>
        <row r="5562">
          <cell r="A5562">
            <v>39462</v>
          </cell>
          <cell r="B5562">
            <v>91.87</v>
          </cell>
        </row>
        <row r="5563">
          <cell r="A5563">
            <v>39463</v>
          </cell>
          <cell r="B5563">
            <v>90.8</v>
          </cell>
        </row>
        <row r="5564">
          <cell r="A5564">
            <v>39464</v>
          </cell>
          <cell r="B5564">
            <v>90.11</v>
          </cell>
        </row>
        <row r="5565">
          <cell r="A5565">
            <v>39465</v>
          </cell>
          <cell r="B5565">
            <v>90.55</v>
          </cell>
        </row>
        <row r="5566">
          <cell r="A5566">
            <v>39469</v>
          </cell>
          <cell r="B5566">
            <v>89.64</v>
          </cell>
        </row>
        <row r="5567">
          <cell r="A5567">
            <v>39470</v>
          </cell>
          <cell r="B5567">
            <v>87.65</v>
          </cell>
        </row>
        <row r="5568">
          <cell r="A5568">
            <v>39471</v>
          </cell>
          <cell r="B5568">
            <v>89.98</v>
          </cell>
        </row>
        <row r="5569">
          <cell r="A5569">
            <v>39472</v>
          </cell>
          <cell r="B5569">
            <v>90.37</v>
          </cell>
        </row>
        <row r="5570">
          <cell r="A5570">
            <v>39475</v>
          </cell>
          <cell r="B5570">
            <v>90.99</v>
          </cell>
        </row>
        <row r="5571">
          <cell r="A5571">
            <v>39476</v>
          </cell>
          <cell r="B5571">
            <v>91.66</v>
          </cell>
        </row>
        <row r="5572">
          <cell r="A5572">
            <v>39477</v>
          </cell>
          <cell r="B5572">
            <v>92.34</v>
          </cell>
        </row>
        <row r="5573">
          <cell r="A5573">
            <v>39478</v>
          </cell>
          <cell r="B5573">
            <v>91.67</v>
          </cell>
        </row>
        <row r="5574">
          <cell r="A5574">
            <v>39479</v>
          </cell>
          <cell r="B5574">
            <v>89.03</v>
          </cell>
        </row>
        <row r="5575">
          <cell r="A5575">
            <v>39482</v>
          </cell>
          <cell r="B5575">
            <v>90.07</v>
          </cell>
        </row>
        <row r="5576">
          <cell r="A5576">
            <v>39483</v>
          </cell>
          <cell r="B5576">
            <v>88.32</v>
          </cell>
        </row>
        <row r="5577">
          <cell r="A5577">
            <v>39484</v>
          </cell>
          <cell r="B5577">
            <v>87.16</v>
          </cell>
        </row>
        <row r="5578">
          <cell r="A5578">
            <v>39485</v>
          </cell>
          <cell r="B5578">
            <v>88.07</v>
          </cell>
        </row>
        <row r="5579">
          <cell r="A5579">
            <v>39486</v>
          </cell>
          <cell r="B5579">
            <v>91.77</v>
          </cell>
        </row>
        <row r="5580">
          <cell r="A5580">
            <v>39489</v>
          </cell>
          <cell r="B5580">
            <v>93.56</v>
          </cell>
        </row>
        <row r="5581">
          <cell r="A5581">
            <v>39490</v>
          </cell>
          <cell r="B5581">
            <v>92.82</v>
          </cell>
        </row>
        <row r="5582">
          <cell r="A5582">
            <v>39491</v>
          </cell>
          <cell r="B5582">
            <v>93.28</v>
          </cell>
        </row>
        <row r="5583">
          <cell r="A5583">
            <v>39492</v>
          </cell>
          <cell r="B5583">
            <v>95.42</v>
          </cell>
        </row>
        <row r="5584">
          <cell r="A5584">
            <v>39493</v>
          </cell>
          <cell r="B5584">
            <v>95.57</v>
          </cell>
        </row>
        <row r="5585">
          <cell r="A5585">
            <v>39497</v>
          </cell>
          <cell r="B5585">
            <v>99.99</v>
          </cell>
        </row>
        <row r="5586">
          <cell r="A5586">
            <v>39498</v>
          </cell>
          <cell r="B5586">
            <v>100.86</v>
          </cell>
        </row>
        <row r="5587">
          <cell r="A5587">
            <v>39499</v>
          </cell>
          <cell r="B5587">
            <v>98.57</v>
          </cell>
        </row>
        <row r="5588">
          <cell r="A5588">
            <v>39500</v>
          </cell>
          <cell r="B5588">
            <v>99.03</v>
          </cell>
        </row>
        <row r="5589">
          <cell r="A5589">
            <v>39503</v>
          </cell>
          <cell r="B5589">
            <v>99.4</v>
          </cell>
        </row>
        <row r="5590">
          <cell r="A5590">
            <v>39504</v>
          </cell>
          <cell r="B5590">
            <v>100.83</v>
          </cell>
        </row>
        <row r="5591">
          <cell r="A5591">
            <v>39505</v>
          </cell>
          <cell r="B5591">
            <v>99.59</v>
          </cell>
        </row>
        <row r="5592">
          <cell r="A5592">
            <v>39506</v>
          </cell>
          <cell r="B5592">
            <v>102.6</v>
          </cell>
        </row>
        <row r="5593">
          <cell r="A5593">
            <v>39507</v>
          </cell>
          <cell r="B5593">
            <v>101.78</v>
          </cell>
        </row>
        <row r="5594">
          <cell r="A5594">
            <v>39510</v>
          </cell>
          <cell r="B5594">
            <v>102.42</v>
          </cell>
        </row>
        <row r="5595">
          <cell r="A5595">
            <v>39511</v>
          </cell>
          <cell r="B5595">
            <v>99.72</v>
          </cell>
        </row>
        <row r="5596">
          <cell r="A5596">
            <v>39512</v>
          </cell>
          <cell r="B5596">
            <v>104.45</v>
          </cell>
        </row>
        <row r="5597">
          <cell r="A5597">
            <v>39513</v>
          </cell>
          <cell r="B5597">
            <v>105.51</v>
          </cell>
        </row>
        <row r="5598">
          <cell r="A5598">
            <v>39514</v>
          </cell>
          <cell r="B5598">
            <v>105.12</v>
          </cell>
        </row>
        <row r="5599">
          <cell r="A5599">
            <v>39517</v>
          </cell>
          <cell r="B5599">
            <v>107.9</v>
          </cell>
        </row>
        <row r="5600">
          <cell r="A5600">
            <v>39518</v>
          </cell>
          <cell r="B5600">
            <v>108.73</v>
          </cell>
        </row>
        <row r="5601">
          <cell r="A5601">
            <v>39519</v>
          </cell>
          <cell r="B5601">
            <v>109.86</v>
          </cell>
        </row>
        <row r="5602">
          <cell r="A5602">
            <v>39520</v>
          </cell>
          <cell r="B5602">
            <v>110.21</v>
          </cell>
        </row>
        <row r="5603">
          <cell r="A5603">
            <v>39521</v>
          </cell>
          <cell r="B5603">
            <v>110.03</v>
          </cell>
        </row>
        <row r="5604">
          <cell r="A5604">
            <v>39524</v>
          </cell>
          <cell r="B5604">
            <v>105.74</v>
          </cell>
        </row>
        <row r="5605">
          <cell r="A5605">
            <v>39525</v>
          </cell>
          <cell r="B5605">
            <v>109.57</v>
          </cell>
        </row>
        <row r="5606">
          <cell r="A5606">
            <v>39526</v>
          </cell>
          <cell r="B5606">
            <v>103.25</v>
          </cell>
        </row>
        <row r="5607">
          <cell r="A5607">
            <v>39527</v>
          </cell>
          <cell r="B5607">
            <v>102.57</v>
          </cell>
        </row>
        <row r="5608">
          <cell r="A5608">
            <v>39531</v>
          </cell>
          <cell r="B5608">
            <v>101.7</v>
          </cell>
        </row>
        <row r="5609">
          <cell r="A5609">
            <v>39532</v>
          </cell>
          <cell r="B5609">
            <v>101.78</v>
          </cell>
        </row>
        <row r="5610">
          <cell r="A5610">
            <v>39533</v>
          </cell>
          <cell r="B5610">
            <v>105.83</v>
          </cell>
        </row>
        <row r="5611">
          <cell r="A5611">
            <v>39534</v>
          </cell>
          <cell r="B5611">
            <v>107.56</v>
          </cell>
        </row>
        <row r="5612">
          <cell r="A5612">
            <v>39535</v>
          </cell>
          <cell r="B5612">
            <v>105.59</v>
          </cell>
        </row>
        <row r="5613">
          <cell r="A5613">
            <v>39538</v>
          </cell>
          <cell r="B5613">
            <v>101.54</v>
          </cell>
        </row>
        <row r="5614">
          <cell r="A5614">
            <v>39539</v>
          </cell>
          <cell r="B5614">
            <v>100.92</v>
          </cell>
        </row>
        <row r="5615">
          <cell r="A5615">
            <v>39540</v>
          </cell>
          <cell r="B5615">
            <v>104.83</v>
          </cell>
        </row>
        <row r="5616">
          <cell r="A5616">
            <v>39541</v>
          </cell>
          <cell r="B5616">
            <v>103.92</v>
          </cell>
        </row>
        <row r="5617">
          <cell r="A5617">
            <v>39542</v>
          </cell>
          <cell r="B5617">
            <v>106.09</v>
          </cell>
        </row>
        <row r="5618">
          <cell r="A5618">
            <v>39545</v>
          </cell>
          <cell r="B5618">
            <v>108.91</v>
          </cell>
        </row>
        <row r="5619">
          <cell r="A5619">
            <v>39546</v>
          </cell>
          <cell r="B5619">
            <v>108.54</v>
          </cell>
        </row>
        <row r="5620">
          <cell r="A5620">
            <v>39547</v>
          </cell>
          <cell r="B5620">
            <v>110.89</v>
          </cell>
        </row>
        <row r="5621">
          <cell r="A5621">
            <v>39548</v>
          </cell>
          <cell r="B5621">
            <v>110.07</v>
          </cell>
        </row>
        <row r="5622">
          <cell r="A5622">
            <v>39549</v>
          </cell>
          <cell r="B5622">
            <v>110.14</v>
          </cell>
        </row>
        <row r="5623">
          <cell r="A5623">
            <v>39552</v>
          </cell>
          <cell r="B5623">
            <v>111.71</v>
          </cell>
        </row>
        <row r="5624">
          <cell r="A5624">
            <v>39553</v>
          </cell>
          <cell r="B5624">
            <v>113.77</v>
          </cell>
        </row>
        <row r="5625">
          <cell r="A5625">
            <v>39554</v>
          </cell>
          <cell r="B5625">
            <v>114.8</v>
          </cell>
        </row>
        <row r="5626">
          <cell r="A5626">
            <v>39555</v>
          </cell>
          <cell r="B5626">
            <v>114.8</v>
          </cell>
        </row>
        <row r="5627">
          <cell r="A5627">
            <v>39556</v>
          </cell>
          <cell r="B5627">
            <v>116.56</v>
          </cell>
        </row>
        <row r="5628">
          <cell r="A5628">
            <v>39559</v>
          </cell>
          <cell r="B5628">
            <v>117.48</v>
          </cell>
        </row>
        <row r="5629">
          <cell r="A5629">
            <v>39560</v>
          </cell>
          <cell r="B5629">
            <v>119.17</v>
          </cell>
        </row>
        <row r="5630">
          <cell r="A5630">
            <v>39561</v>
          </cell>
          <cell r="B5630">
            <v>119.28</v>
          </cell>
        </row>
        <row r="5631">
          <cell r="A5631">
            <v>39562</v>
          </cell>
          <cell r="B5631">
            <v>117.1</v>
          </cell>
        </row>
        <row r="5632">
          <cell r="A5632">
            <v>39563</v>
          </cell>
          <cell r="B5632">
            <v>119.64</v>
          </cell>
        </row>
        <row r="5633">
          <cell r="A5633">
            <v>39566</v>
          </cell>
          <cell r="B5633">
            <v>118.78</v>
          </cell>
        </row>
        <row r="5634">
          <cell r="A5634">
            <v>39567</v>
          </cell>
          <cell r="B5634">
            <v>115.67</v>
          </cell>
        </row>
        <row r="5635">
          <cell r="A5635">
            <v>39568</v>
          </cell>
          <cell r="B5635">
            <v>113.7</v>
          </cell>
        </row>
        <row r="5636">
          <cell r="A5636">
            <v>39569</v>
          </cell>
          <cell r="B5636">
            <v>112.6</v>
          </cell>
        </row>
        <row r="5637">
          <cell r="A5637">
            <v>39570</v>
          </cell>
          <cell r="B5637">
            <v>116.36</v>
          </cell>
        </row>
        <row r="5638">
          <cell r="A5638">
            <v>39573</v>
          </cell>
          <cell r="B5638">
            <v>119.94</v>
          </cell>
        </row>
        <row r="5639">
          <cell r="A5639">
            <v>39574</v>
          </cell>
          <cell r="B5639">
            <v>121.82</v>
          </cell>
        </row>
        <row r="5640">
          <cell r="A5640">
            <v>39575</v>
          </cell>
          <cell r="B5640">
            <v>123.56</v>
          </cell>
        </row>
        <row r="5641">
          <cell r="A5641">
            <v>39576</v>
          </cell>
          <cell r="B5641">
            <v>123.77</v>
          </cell>
        </row>
        <row r="5642">
          <cell r="A5642">
            <v>39577</v>
          </cell>
          <cell r="B5642">
            <v>125.94</v>
          </cell>
        </row>
        <row r="5643">
          <cell r="A5643">
            <v>39580</v>
          </cell>
          <cell r="B5643">
            <v>124.02</v>
          </cell>
        </row>
        <row r="5644">
          <cell r="A5644">
            <v>39581</v>
          </cell>
          <cell r="B5644">
            <v>125.83</v>
          </cell>
        </row>
        <row r="5645">
          <cell r="A5645">
            <v>39582</v>
          </cell>
          <cell r="B5645">
            <v>124.21</v>
          </cell>
        </row>
        <row r="5646">
          <cell r="A5646">
            <v>39583</v>
          </cell>
          <cell r="B5646">
            <v>124.25</v>
          </cell>
        </row>
        <row r="5647">
          <cell r="A5647">
            <v>39584</v>
          </cell>
          <cell r="B5647">
            <v>126.5</v>
          </cell>
        </row>
        <row r="5648">
          <cell r="A5648">
            <v>39587</v>
          </cell>
          <cell r="B5648">
            <v>127.15</v>
          </cell>
        </row>
        <row r="5649">
          <cell r="A5649">
            <v>39588</v>
          </cell>
          <cell r="B5649">
            <v>128.93</v>
          </cell>
        </row>
        <row r="5650">
          <cell r="A5650">
            <v>39589</v>
          </cell>
          <cell r="B5650">
            <v>132.99</v>
          </cell>
        </row>
        <row r="5651">
          <cell r="A5651">
            <v>39590</v>
          </cell>
          <cell r="B5651">
            <v>130.04</v>
          </cell>
        </row>
        <row r="5652">
          <cell r="A5652">
            <v>39591</v>
          </cell>
          <cell r="B5652">
            <v>131.58000000000001</v>
          </cell>
        </row>
        <row r="5653">
          <cell r="A5653">
            <v>39595</v>
          </cell>
          <cell r="B5653">
            <v>128.81</v>
          </cell>
        </row>
        <row r="5654">
          <cell r="A5654">
            <v>39596</v>
          </cell>
          <cell r="B5654">
            <v>131</v>
          </cell>
        </row>
        <row r="5655">
          <cell r="A5655">
            <v>39597</v>
          </cell>
          <cell r="B5655">
            <v>126.7</v>
          </cell>
        </row>
        <row r="5656">
          <cell r="A5656">
            <v>39598</v>
          </cell>
          <cell r="B5656">
            <v>127.35</v>
          </cell>
        </row>
        <row r="5657">
          <cell r="A5657">
            <v>39601</v>
          </cell>
          <cell r="B5657">
            <v>127.75</v>
          </cell>
        </row>
        <row r="5658">
          <cell r="A5658">
            <v>39602</v>
          </cell>
          <cell r="B5658">
            <v>124.33</v>
          </cell>
        </row>
        <row r="5659">
          <cell r="A5659">
            <v>39603</v>
          </cell>
          <cell r="B5659">
            <v>122.3</v>
          </cell>
        </row>
        <row r="5660">
          <cell r="A5660">
            <v>39604</v>
          </cell>
          <cell r="B5660">
            <v>127.93</v>
          </cell>
        </row>
        <row r="5661">
          <cell r="A5661">
            <v>39605</v>
          </cell>
          <cell r="B5661">
            <v>138.51</v>
          </cell>
        </row>
        <row r="5662">
          <cell r="A5662">
            <v>39608</v>
          </cell>
          <cell r="B5662">
            <v>134.44</v>
          </cell>
        </row>
        <row r="5663">
          <cell r="A5663">
            <v>39609</v>
          </cell>
          <cell r="B5663">
            <v>131.38</v>
          </cell>
        </row>
        <row r="5664">
          <cell r="A5664">
            <v>39610</v>
          </cell>
          <cell r="B5664">
            <v>136.43</v>
          </cell>
        </row>
        <row r="5665">
          <cell r="A5665">
            <v>39611</v>
          </cell>
          <cell r="B5665">
            <v>136.91</v>
          </cell>
        </row>
        <row r="5666">
          <cell r="A5666">
            <v>39612</v>
          </cell>
          <cell r="B5666">
            <v>134.84</v>
          </cell>
        </row>
        <row r="5667">
          <cell r="A5667">
            <v>39615</v>
          </cell>
          <cell r="B5667">
            <v>134.52000000000001</v>
          </cell>
        </row>
        <row r="5668">
          <cell r="A5668">
            <v>39616</v>
          </cell>
          <cell r="B5668">
            <v>133.99</v>
          </cell>
        </row>
        <row r="5669">
          <cell r="A5669">
            <v>39617</v>
          </cell>
          <cell r="B5669">
            <v>136.54</v>
          </cell>
        </row>
        <row r="5670">
          <cell r="A5670">
            <v>39618</v>
          </cell>
          <cell r="B5670">
            <v>131.88</v>
          </cell>
        </row>
        <row r="5671">
          <cell r="A5671">
            <v>39619</v>
          </cell>
          <cell r="B5671">
            <v>134.78</v>
          </cell>
        </row>
        <row r="5672">
          <cell r="A5672">
            <v>39622</v>
          </cell>
          <cell r="B5672">
            <v>135.97999999999999</v>
          </cell>
        </row>
        <row r="5673">
          <cell r="A5673">
            <v>39623</v>
          </cell>
          <cell r="B5673">
            <v>136.49</v>
          </cell>
        </row>
        <row r="5674">
          <cell r="A5674">
            <v>39624</v>
          </cell>
          <cell r="B5674">
            <v>133.91999999999999</v>
          </cell>
        </row>
        <row r="5675">
          <cell r="A5675">
            <v>39625</v>
          </cell>
          <cell r="B5675">
            <v>138.91</v>
          </cell>
        </row>
        <row r="5676">
          <cell r="A5676">
            <v>39626</v>
          </cell>
          <cell r="B5676">
            <v>139.69</v>
          </cell>
        </row>
        <row r="5677">
          <cell r="A5677">
            <v>39629</v>
          </cell>
          <cell r="B5677">
            <v>139.96</v>
          </cell>
        </row>
        <row r="5678">
          <cell r="A5678">
            <v>39630</v>
          </cell>
          <cell r="B5678">
            <v>141.06</v>
          </cell>
        </row>
        <row r="5679">
          <cell r="A5679">
            <v>39631</v>
          </cell>
          <cell r="B5679">
            <v>143.74</v>
          </cell>
        </row>
        <row r="5680">
          <cell r="A5680">
            <v>39632</v>
          </cell>
          <cell r="B5680">
            <v>145.31</v>
          </cell>
        </row>
        <row r="5681">
          <cell r="A5681">
            <v>39636</v>
          </cell>
          <cell r="B5681">
            <v>141.38</v>
          </cell>
        </row>
        <row r="5682">
          <cell r="A5682">
            <v>39637</v>
          </cell>
          <cell r="B5682">
            <v>136.06</v>
          </cell>
        </row>
        <row r="5683">
          <cell r="A5683">
            <v>39638</v>
          </cell>
          <cell r="B5683">
            <v>135.88</v>
          </cell>
        </row>
        <row r="5684">
          <cell r="A5684">
            <v>39639</v>
          </cell>
          <cell r="B5684">
            <v>141.47</v>
          </cell>
        </row>
        <row r="5685">
          <cell r="A5685">
            <v>39640</v>
          </cell>
          <cell r="B5685">
            <v>144.96</v>
          </cell>
        </row>
        <row r="5686">
          <cell r="A5686">
            <v>39643</v>
          </cell>
          <cell r="B5686">
            <v>145.16</v>
          </cell>
        </row>
        <row r="5687">
          <cell r="A5687">
            <v>39644</v>
          </cell>
          <cell r="B5687">
            <v>138.68</v>
          </cell>
        </row>
        <row r="5688">
          <cell r="A5688">
            <v>39645</v>
          </cell>
          <cell r="B5688">
            <v>134.63</v>
          </cell>
        </row>
        <row r="5689">
          <cell r="A5689">
            <v>39646</v>
          </cell>
          <cell r="B5689">
            <v>129.43</v>
          </cell>
        </row>
        <row r="5690">
          <cell r="A5690">
            <v>39647</v>
          </cell>
          <cell r="B5690">
            <v>128.94</v>
          </cell>
        </row>
        <row r="5691">
          <cell r="A5691">
            <v>39650</v>
          </cell>
          <cell r="B5691">
            <v>131.43</v>
          </cell>
        </row>
        <row r="5692">
          <cell r="A5692">
            <v>39651</v>
          </cell>
          <cell r="B5692">
            <v>127.25</v>
          </cell>
        </row>
        <row r="5693">
          <cell r="A5693">
            <v>39652</v>
          </cell>
          <cell r="B5693">
            <v>123.73</v>
          </cell>
        </row>
        <row r="5694">
          <cell r="A5694">
            <v>39653</v>
          </cell>
          <cell r="B5694">
            <v>124.62</v>
          </cell>
        </row>
        <row r="5695">
          <cell r="A5695">
            <v>39654</v>
          </cell>
          <cell r="B5695">
            <v>122.59</v>
          </cell>
        </row>
        <row r="5696">
          <cell r="A5696">
            <v>39657</v>
          </cell>
          <cell r="B5696">
            <v>124.72</v>
          </cell>
        </row>
        <row r="5697">
          <cell r="A5697">
            <v>39658</v>
          </cell>
          <cell r="B5697">
            <v>122.21</v>
          </cell>
        </row>
        <row r="5698">
          <cell r="A5698">
            <v>39659</v>
          </cell>
          <cell r="B5698">
            <v>126.74</v>
          </cell>
        </row>
        <row r="5699">
          <cell r="A5699">
            <v>39660</v>
          </cell>
          <cell r="B5699">
            <v>124.17</v>
          </cell>
        </row>
        <row r="5700">
          <cell r="A5700">
            <v>39661</v>
          </cell>
          <cell r="B5700">
            <v>125.03</v>
          </cell>
        </row>
        <row r="5701">
          <cell r="A5701">
            <v>39664</v>
          </cell>
          <cell r="B5701">
            <v>121.45</v>
          </cell>
        </row>
        <row r="5702">
          <cell r="A5702">
            <v>39665</v>
          </cell>
          <cell r="B5702">
            <v>118.71</v>
          </cell>
        </row>
        <row r="5703">
          <cell r="A5703">
            <v>39666</v>
          </cell>
          <cell r="B5703">
            <v>118.57</v>
          </cell>
        </row>
        <row r="5704">
          <cell r="A5704">
            <v>39667</v>
          </cell>
          <cell r="B5704">
            <v>119.84</v>
          </cell>
        </row>
        <row r="5705">
          <cell r="A5705">
            <v>39668</v>
          </cell>
          <cell r="B5705">
            <v>115.42</v>
          </cell>
        </row>
        <row r="5706">
          <cell r="A5706">
            <v>39671</v>
          </cell>
          <cell r="B5706">
            <v>114.44</v>
          </cell>
        </row>
        <row r="5707">
          <cell r="A5707">
            <v>39672</v>
          </cell>
          <cell r="B5707">
            <v>113.1</v>
          </cell>
        </row>
        <row r="5708">
          <cell r="A5708">
            <v>39673</v>
          </cell>
          <cell r="B5708">
            <v>115.96</v>
          </cell>
        </row>
        <row r="5709">
          <cell r="A5709">
            <v>39674</v>
          </cell>
          <cell r="B5709">
            <v>115.05</v>
          </cell>
        </row>
        <row r="5710">
          <cell r="A5710">
            <v>39675</v>
          </cell>
          <cell r="B5710">
            <v>113.46</v>
          </cell>
        </row>
        <row r="5711">
          <cell r="A5711">
            <v>39678</v>
          </cell>
          <cell r="B5711">
            <v>112.92</v>
          </cell>
        </row>
        <row r="5712">
          <cell r="A5712">
            <v>39679</v>
          </cell>
          <cell r="B5712">
            <v>114.39</v>
          </cell>
        </row>
        <row r="5713">
          <cell r="A5713">
            <v>39680</v>
          </cell>
          <cell r="B5713">
            <v>115.48</v>
          </cell>
        </row>
        <row r="5714">
          <cell r="A5714">
            <v>39681</v>
          </cell>
          <cell r="B5714">
            <v>121.23</v>
          </cell>
        </row>
        <row r="5715">
          <cell r="A5715">
            <v>39682</v>
          </cell>
          <cell r="B5715">
            <v>114.48</v>
          </cell>
        </row>
        <row r="5716">
          <cell r="A5716">
            <v>39685</v>
          </cell>
          <cell r="B5716">
            <v>114.85</v>
          </cell>
        </row>
        <row r="5717">
          <cell r="A5717">
            <v>39686</v>
          </cell>
          <cell r="B5717">
            <v>116.31</v>
          </cell>
        </row>
        <row r="5718">
          <cell r="A5718">
            <v>39687</v>
          </cell>
          <cell r="B5718">
            <v>118.17</v>
          </cell>
        </row>
        <row r="5719">
          <cell r="A5719">
            <v>39688</v>
          </cell>
          <cell r="B5719">
            <v>115.58</v>
          </cell>
        </row>
        <row r="5720">
          <cell r="A5720">
            <v>39689</v>
          </cell>
          <cell r="B5720">
            <v>115.55</v>
          </cell>
        </row>
        <row r="5721">
          <cell r="A5721">
            <v>39693</v>
          </cell>
          <cell r="B5721">
            <v>109.63</v>
          </cell>
        </row>
        <row r="5722">
          <cell r="A5722">
            <v>39694</v>
          </cell>
          <cell r="B5722">
            <v>109.38</v>
          </cell>
        </row>
        <row r="5723">
          <cell r="A5723">
            <v>39695</v>
          </cell>
          <cell r="B5723">
            <v>107.99</v>
          </cell>
        </row>
        <row r="5724">
          <cell r="A5724">
            <v>39696</v>
          </cell>
          <cell r="B5724">
            <v>106.47</v>
          </cell>
        </row>
        <row r="5725">
          <cell r="A5725">
            <v>39699</v>
          </cell>
          <cell r="B5725">
            <v>106.35</v>
          </cell>
        </row>
        <row r="5726">
          <cell r="A5726">
            <v>39700</v>
          </cell>
          <cell r="B5726">
            <v>103.23</v>
          </cell>
        </row>
        <row r="5727">
          <cell r="A5727">
            <v>39701</v>
          </cell>
          <cell r="B5727">
            <v>102.66</v>
          </cell>
        </row>
        <row r="5728">
          <cell r="A5728">
            <v>39702</v>
          </cell>
          <cell r="B5728">
            <v>100.95</v>
          </cell>
        </row>
        <row r="5729">
          <cell r="A5729">
            <v>39703</v>
          </cell>
          <cell r="B5729">
            <v>101.19</v>
          </cell>
        </row>
        <row r="5730">
          <cell r="A5730">
            <v>39706</v>
          </cell>
          <cell r="B5730">
            <v>95.52</v>
          </cell>
        </row>
        <row r="5731">
          <cell r="A5731">
            <v>39707</v>
          </cell>
          <cell r="B5731">
            <v>91.49</v>
          </cell>
        </row>
        <row r="5732">
          <cell r="A5732">
            <v>39708</v>
          </cell>
          <cell r="B5732">
            <v>97.39</v>
          </cell>
        </row>
        <row r="5733">
          <cell r="A5733">
            <v>39709</v>
          </cell>
          <cell r="B5733">
            <v>97.5</v>
          </cell>
        </row>
        <row r="5734">
          <cell r="A5734">
            <v>39710</v>
          </cell>
          <cell r="B5734">
            <v>104.05</v>
          </cell>
        </row>
        <row r="5735">
          <cell r="A5735">
            <v>39713</v>
          </cell>
          <cell r="B5735">
            <v>122.61</v>
          </cell>
        </row>
        <row r="5736">
          <cell r="A5736">
            <v>39714</v>
          </cell>
          <cell r="B5736">
            <v>107.85</v>
          </cell>
        </row>
        <row r="5737">
          <cell r="A5737">
            <v>39715</v>
          </cell>
          <cell r="B5737">
            <v>106.84</v>
          </cell>
        </row>
        <row r="5738">
          <cell r="A5738">
            <v>39716</v>
          </cell>
          <cell r="B5738">
            <v>111.54</v>
          </cell>
        </row>
        <row r="5739">
          <cell r="A5739">
            <v>39717</v>
          </cell>
          <cell r="B5739">
            <v>106.77</v>
          </cell>
        </row>
        <row r="5740">
          <cell r="A5740">
            <v>39720</v>
          </cell>
          <cell r="B5740">
            <v>96.29</v>
          </cell>
        </row>
        <row r="5741">
          <cell r="A5741">
            <v>39721</v>
          </cell>
          <cell r="B5741">
            <v>100.7</v>
          </cell>
        </row>
        <row r="5742">
          <cell r="A5742">
            <v>39722</v>
          </cell>
          <cell r="B5742">
            <v>98.23</v>
          </cell>
        </row>
        <row r="5743">
          <cell r="A5743">
            <v>39723</v>
          </cell>
          <cell r="B5743">
            <v>93.84</v>
          </cell>
        </row>
        <row r="5744">
          <cell r="A5744">
            <v>39724</v>
          </cell>
          <cell r="B5744">
            <v>93.91</v>
          </cell>
        </row>
        <row r="5745">
          <cell r="A5745">
            <v>39727</v>
          </cell>
          <cell r="B5745">
            <v>88.15</v>
          </cell>
        </row>
        <row r="5746">
          <cell r="A5746">
            <v>39728</v>
          </cell>
          <cell r="B5746">
            <v>90.18</v>
          </cell>
        </row>
        <row r="5747">
          <cell r="A5747">
            <v>39729</v>
          </cell>
          <cell r="B5747">
            <v>88.94</v>
          </cell>
        </row>
        <row r="5748">
          <cell r="A5748">
            <v>39730</v>
          </cell>
          <cell r="B5748">
            <v>86.5</v>
          </cell>
        </row>
        <row r="5749">
          <cell r="A5749">
            <v>39731</v>
          </cell>
          <cell r="B5749">
            <v>77.44</v>
          </cell>
        </row>
        <row r="5750">
          <cell r="A5750">
            <v>39734</v>
          </cell>
          <cell r="B5750">
            <v>81.17</v>
          </cell>
        </row>
        <row r="5751">
          <cell r="A5751">
            <v>39735</v>
          </cell>
          <cell r="B5751">
            <v>78.69</v>
          </cell>
        </row>
        <row r="5752">
          <cell r="A5752">
            <v>39736</v>
          </cell>
          <cell r="B5752">
            <v>74.38</v>
          </cell>
        </row>
        <row r="5753">
          <cell r="A5753">
            <v>39737</v>
          </cell>
          <cell r="B5753">
            <v>69.81</v>
          </cell>
        </row>
        <row r="5754">
          <cell r="A5754">
            <v>39738</v>
          </cell>
          <cell r="B5754">
            <v>71.900000000000006</v>
          </cell>
        </row>
        <row r="5755">
          <cell r="A5755">
            <v>39741</v>
          </cell>
          <cell r="B5755">
            <v>74.08</v>
          </cell>
        </row>
        <row r="5756">
          <cell r="A5756">
            <v>39742</v>
          </cell>
          <cell r="B5756">
            <v>71.290000000000006</v>
          </cell>
        </row>
        <row r="5757">
          <cell r="A5757">
            <v>39743</v>
          </cell>
          <cell r="B5757">
            <v>66.92</v>
          </cell>
        </row>
        <row r="5758">
          <cell r="A5758">
            <v>39744</v>
          </cell>
          <cell r="B5758">
            <v>67.17</v>
          </cell>
        </row>
        <row r="5759">
          <cell r="A5759">
            <v>39745</v>
          </cell>
          <cell r="B5759">
            <v>63.34</v>
          </cell>
        </row>
        <row r="5760">
          <cell r="A5760">
            <v>39748</v>
          </cell>
          <cell r="B5760">
            <v>61.92</v>
          </cell>
        </row>
        <row r="5761">
          <cell r="A5761">
            <v>39749</v>
          </cell>
          <cell r="B5761">
            <v>62.8</v>
          </cell>
        </row>
        <row r="5762">
          <cell r="A5762">
            <v>39750</v>
          </cell>
          <cell r="B5762">
            <v>67.45</v>
          </cell>
        </row>
        <row r="5763">
          <cell r="A5763">
            <v>39751</v>
          </cell>
          <cell r="B5763">
            <v>65.790000000000006</v>
          </cell>
        </row>
        <row r="5764">
          <cell r="A5764">
            <v>39752</v>
          </cell>
          <cell r="B5764">
            <v>68.099999999999994</v>
          </cell>
        </row>
        <row r="5765">
          <cell r="A5765">
            <v>39755</v>
          </cell>
          <cell r="B5765">
            <v>63.93</v>
          </cell>
        </row>
        <row r="5766">
          <cell r="A5766">
            <v>39756</v>
          </cell>
          <cell r="B5766">
            <v>70.41</v>
          </cell>
        </row>
        <row r="5767">
          <cell r="A5767">
            <v>39757</v>
          </cell>
          <cell r="B5767">
            <v>65.41</v>
          </cell>
        </row>
        <row r="5768">
          <cell r="A5768">
            <v>39758</v>
          </cell>
          <cell r="B5768">
            <v>60.72</v>
          </cell>
        </row>
        <row r="5769">
          <cell r="A5769">
            <v>39759</v>
          </cell>
          <cell r="B5769">
            <v>61.06</v>
          </cell>
        </row>
        <row r="5770">
          <cell r="A5770">
            <v>39762</v>
          </cell>
          <cell r="B5770">
            <v>62.19</v>
          </cell>
        </row>
        <row r="5771">
          <cell r="A5771">
            <v>39763</v>
          </cell>
          <cell r="B5771">
            <v>59.38</v>
          </cell>
        </row>
        <row r="5772">
          <cell r="A5772">
            <v>39764</v>
          </cell>
          <cell r="B5772">
            <v>55.95</v>
          </cell>
        </row>
        <row r="5773">
          <cell r="A5773">
            <v>39765</v>
          </cell>
          <cell r="B5773">
            <v>58.31</v>
          </cell>
        </row>
        <row r="5774">
          <cell r="A5774">
            <v>39766</v>
          </cell>
          <cell r="B5774">
            <v>57.18</v>
          </cell>
        </row>
        <row r="5775">
          <cell r="A5775">
            <v>39769</v>
          </cell>
          <cell r="B5775">
            <v>55.14</v>
          </cell>
        </row>
        <row r="5776">
          <cell r="A5776">
            <v>39770</v>
          </cell>
          <cell r="B5776">
            <v>54.42</v>
          </cell>
        </row>
        <row r="5777">
          <cell r="A5777">
            <v>39771</v>
          </cell>
          <cell r="B5777">
            <v>53.64</v>
          </cell>
        </row>
        <row r="5778">
          <cell r="A5778">
            <v>39772</v>
          </cell>
          <cell r="B5778">
            <v>48.86</v>
          </cell>
        </row>
        <row r="5779">
          <cell r="A5779">
            <v>39773</v>
          </cell>
          <cell r="B5779">
            <v>49.22</v>
          </cell>
        </row>
        <row r="5780">
          <cell r="A5780">
            <v>39776</v>
          </cell>
          <cell r="B5780">
            <v>53.63</v>
          </cell>
        </row>
        <row r="5781">
          <cell r="A5781">
            <v>39777</v>
          </cell>
          <cell r="B5781">
            <v>50.02</v>
          </cell>
        </row>
        <row r="5782">
          <cell r="A5782">
            <v>39778</v>
          </cell>
          <cell r="B5782">
            <v>54.2</v>
          </cell>
        </row>
        <row r="5783">
          <cell r="A5783">
            <v>39780</v>
          </cell>
          <cell r="B5783">
            <v>55.21</v>
          </cell>
        </row>
        <row r="5784">
          <cell r="A5784">
            <v>39783</v>
          </cell>
          <cell r="B5784">
            <v>49.34</v>
          </cell>
        </row>
        <row r="5785">
          <cell r="A5785">
            <v>39784</v>
          </cell>
          <cell r="B5785">
            <v>47.05</v>
          </cell>
        </row>
        <row r="5786">
          <cell r="A5786">
            <v>39785</v>
          </cell>
          <cell r="B5786">
            <v>46.79</v>
          </cell>
        </row>
        <row r="5787">
          <cell r="A5787">
            <v>39786</v>
          </cell>
          <cell r="B5787">
            <v>43.8</v>
          </cell>
        </row>
        <row r="5788">
          <cell r="A5788">
            <v>39787</v>
          </cell>
          <cell r="B5788">
            <v>41.01</v>
          </cell>
        </row>
        <row r="5789">
          <cell r="A5789">
            <v>39790</v>
          </cell>
          <cell r="B5789">
            <v>43.69</v>
          </cell>
        </row>
        <row r="5790">
          <cell r="A5790">
            <v>39791</v>
          </cell>
          <cell r="B5790">
            <v>42</v>
          </cell>
        </row>
        <row r="5791">
          <cell r="A5791">
            <v>39792</v>
          </cell>
          <cell r="B5791">
            <v>43.1</v>
          </cell>
        </row>
        <row r="5792">
          <cell r="A5792">
            <v>39793</v>
          </cell>
          <cell r="B5792">
            <v>47.77</v>
          </cell>
        </row>
        <row r="5793">
          <cell r="A5793">
            <v>39794</v>
          </cell>
          <cell r="B5793">
            <v>46.27</v>
          </cell>
        </row>
        <row r="5794">
          <cell r="A5794">
            <v>39797</v>
          </cell>
          <cell r="B5794">
            <v>44.61</v>
          </cell>
        </row>
        <row r="5795">
          <cell r="A5795">
            <v>39798</v>
          </cell>
          <cell r="B5795">
            <v>43.84</v>
          </cell>
        </row>
        <row r="5796">
          <cell r="A5796">
            <v>39799</v>
          </cell>
          <cell r="B5796">
            <v>40.17</v>
          </cell>
        </row>
        <row r="5797">
          <cell r="A5797">
            <v>39800</v>
          </cell>
          <cell r="B5797">
            <v>36.729999999999997</v>
          </cell>
        </row>
        <row r="5798">
          <cell r="A5798">
            <v>39801</v>
          </cell>
          <cell r="B5798">
            <v>33.17</v>
          </cell>
        </row>
        <row r="5799">
          <cell r="A5799">
            <v>39804</v>
          </cell>
          <cell r="B5799">
            <v>31.1</v>
          </cell>
        </row>
        <row r="5800">
          <cell r="A5800">
            <v>39805</v>
          </cell>
          <cell r="B5800">
            <v>30.28</v>
          </cell>
        </row>
        <row r="5801">
          <cell r="A5801">
            <v>39806</v>
          </cell>
          <cell r="B5801">
            <v>32.94</v>
          </cell>
        </row>
        <row r="5802">
          <cell r="A5802">
            <v>39808</v>
          </cell>
          <cell r="B5802">
            <v>37.58</v>
          </cell>
        </row>
        <row r="5803">
          <cell r="A5803">
            <v>39811</v>
          </cell>
          <cell r="B5803">
            <v>39.89</v>
          </cell>
        </row>
        <row r="5804">
          <cell r="A5804">
            <v>39812</v>
          </cell>
          <cell r="B5804">
            <v>38.950000000000003</v>
          </cell>
        </row>
        <row r="5805">
          <cell r="A5805">
            <v>39813</v>
          </cell>
          <cell r="B5805">
            <v>44.6</v>
          </cell>
        </row>
        <row r="5806">
          <cell r="A5806">
            <v>39815</v>
          </cell>
          <cell r="B5806">
            <v>46.17</v>
          </cell>
        </row>
        <row r="5807">
          <cell r="A5807">
            <v>39818</v>
          </cell>
          <cell r="B5807">
            <v>48.61</v>
          </cell>
        </row>
        <row r="5808">
          <cell r="A5808">
            <v>39819</v>
          </cell>
          <cell r="B5808">
            <v>48.56</v>
          </cell>
        </row>
        <row r="5809">
          <cell r="A5809">
            <v>39820</v>
          </cell>
          <cell r="B5809">
            <v>42.75</v>
          </cell>
        </row>
        <row r="5810">
          <cell r="A5810">
            <v>39821</v>
          </cell>
          <cell r="B5810">
            <v>41.68</v>
          </cell>
        </row>
        <row r="5811">
          <cell r="A5811">
            <v>39822</v>
          </cell>
          <cell r="B5811">
            <v>40.69</v>
          </cell>
        </row>
        <row r="5812">
          <cell r="A5812">
            <v>39825</v>
          </cell>
          <cell r="B5812">
            <v>37.65</v>
          </cell>
        </row>
        <row r="5813">
          <cell r="A5813">
            <v>39826</v>
          </cell>
          <cell r="B5813">
            <v>37.770000000000003</v>
          </cell>
        </row>
        <row r="5814">
          <cell r="A5814">
            <v>39827</v>
          </cell>
          <cell r="B5814">
            <v>37.43</v>
          </cell>
        </row>
        <row r="5815">
          <cell r="A5815">
            <v>39828</v>
          </cell>
          <cell r="B5815">
            <v>35.409999999999997</v>
          </cell>
        </row>
        <row r="5816">
          <cell r="A5816">
            <v>39829</v>
          </cell>
          <cell r="B5816">
            <v>35.380000000000003</v>
          </cell>
        </row>
        <row r="5817">
          <cell r="A5817">
            <v>39833</v>
          </cell>
          <cell r="B5817">
            <v>38.57</v>
          </cell>
        </row>
        <row r="5818">
          <cell r="A5818">
            <v>39834</v>
          </cell>
          <cell r="B5818">
            <v>42.56</v>
          </cell>
        </row>
        <row r="5819">
          <cell r="A5819">
            <v>39835</v>
          </cell>
          <cell r="B5819">
            <v>42.33</v>
          </cell>
        </row>
        <row r="5820">
          <cell r="A5820">
            <v>39836</v>
          </cell>
          <cell r="B5820">
            <v>45.12</v>
          </cell>
        </row>
        <row r="5821">
          <cell r="A5821">
            <v>39839</v>
          </cell>
          <cell r="B5821">
            <v>46.5</v>
          </cell>
        </row>
        <row r="5822">
          <cell r="A5822">
            <v>39840</v>
          </cell>
          <cell r="B5822">
            <v>41.67</v>
          </cell>
        </row>
        <row r="5823">
          <cell r="A5823">
            <v>39841</v>
          </cell>
          <cell r="B5823">
            <v>42.04</v>
          </cell>
        </row>
        <row r="5824">
          <cell r="A5824">
            <v>39842</v>
          </cell>
          <cell r="B5824">
            <v>41.58</v>
          </cell>
        </row>
        <row r="5825">
          <cell r="A5825">
            <v>39843</v>
          </cell>
          <cell r="B5825">
            <v>41.73</v>
          </cell>
        </row>
        <row r="5826">
          <cell r="A5826">
            <v>39846</v>
          </cell>
          <cell r="B5826">
            <v>41.35</v>
          </cell>
        </row>
        <row r="5827">
          <cell r="A5827">
            <v>39847</v>
          </cell>
          <cell r="B5827">
            <v>40.869999999999997</v>
          </cell>
        </row>
        <row r="5828">
          <cell r="A5828">
            <v>39848</v>
          </cell>
          <cell r="B5828">
            <v>40.270000000000003</v>
          </cell>
        </row>
        <row r="5829">
          <cell r="A5829">
            <v>39849</v>
          </cell>
          <cell r="B5829">
            <v>41.15</v>
          </cell>
        </row>
        <row r="5830">
          <cell r="A5830">
            <v>39850</v>
          </cell>
          <cell r="B5830">
            <v>40.24</v>
          </cell>
        </row>
        <row r="5831">
          <cell r="A5831">
            <v>39853</v>
          </cell>
          <cell r="B5831">
            <v>39.58</v>
          </cell>
        </row>
        <row r="5832">
          <cell r="A5832">
            <v>39854</v>
          </cell>
          <cell r="B5832">
            <v>37.54</v>
          </cell>
        </row>
        <row r="5833">
          <cell r="A5833">
            <v>39855</v>
          </cell>
          <cell r="B5833">
            <v>35.93</v>
          </cell>
        </row>
        <row r="5834">
          <cell r="A5834">
            <v>39856</v>
          </cell>
          <cell r="B5834">
            <v>34.03</v>
          </cell>
        </row>
        <row r="5835">
          <cell r="A5835">
            <v>39857</v>
          </cell>
          <cell r="B5835">
            <v>37.630000000000003</v>
          </cell>
        </row>
        <row r="5836">
          <cell r="A5836">
            <v>39861</v>
          </cell>
          <cell r="B5836">
            <v>34.96</v>
          </cell>
        </row>
        <row r="5837">
          <cell r="A5837">
            <v>39862</v>
          </cell>
          <cell r="B5837">
            <v>34.67</v>
          </cell>
        </row>
        <row r="5838">
          <cell r="A5838">
            <v>39863</v>
          </cell>
          <cell r="B5838">
            <v>39.6</v>
          </cell>
        </row>
        <row r="5839">
          <cell r="A5839">
            <v>39864</v>
          </cell>
          <cell r="B5839">
            <v>39.35</v>
          </cell>
        </row>
        <row r="5840">
          <cell r="A5840">
            <v>39867</v>
          </cell>
          <cell r="B5840">
            <v>37.659999999999997</v>
          </cell>
        </row>
        <row r="5841">
          <cell r="A5841">
            <v>39868</v>
          </cell>
          <cell r="B5841">
            <v>38.86</v>
          </cell>
        </row>
        <row r="5842">
          <cell r="A5842">
            <v>39869</v>
          </cell>
          <cell r="B5842">
            <v>41.64</v>
          </cell>
        </row>
        <row r="5843">
          <cell r="A5843">
            <v>39870</v>
          </cell>
          <cell r="B5843">
            <v>43.18</v>
          </cell>
        </row>
        <row r="5844">
          <cell r="A5844">
            <v>39871</v>
          </cell>
          <cell r="B5844">
            <v>44.15</v>
          </cell>
        </row>
        <row r="5845">
          <cell r="A5845">
            <v>39874</v>
          </cell>
          <cell r="B5845">
            <v>40.07</v>
          </cell>
        </row>
        <row r="5846">
          <cell r="A5846">
            <v>39875</v>
          </cell>
          <cell r="B5846">
            <v>41.57</v>
          </cell>
        </row>
        <row r="5847">
          <cell r="A5847">
            <v>39876</v>
          </cell>
          <cell r="B5847">
            <v>45.28</v>
          </cell>
        </row>
        <row r="5848">
          <cell r="A5848">
            <v>39877</v>
          </cell>
          <cell r="B5848">
            <v>43.54</v>
          </cell>
        </row>
        <row r="5849">
          <cell r="A5849">
            <v>39878</v>
          </cell>
          <cell r="B5849">
            <v>45.43</v>
          </cell>
        </row>
        <row r="5850">
          <cell r="A5850">
            <v>39881</v>
          </cell>
          <cell r="B5850">
            <v>47.01</v>
          </cell>
        </row>
        <row r="5851">
          <cell r="A5851">
            <v>39882</v>
          </cell>
          <cell r="B5851">
            <v>45.68</v>
          </cell>
        </row>
        <row r="5852">
          <cell r="A5852">
            <v>39883</v>
          </cell>
          <cell r="B5852">
            <v>42.46</v>
          </cell>
        </row>
        <row r="5853">
          <cell r="A5853">
            <v>39884</v>
          </cell>
          <cell r="B5853">
            <v>46.91</v>
          </cell>
        </row>
        <row r="5854">
          <cell r="A5854">
            <v>39885</v>
          </cell>
          <cell r="B5854">
            <v>46.22</v>
          </cell>
        </row>
        <row r="5855">
          <cell r="A5855">
            <v>39888</v>
          </cell>
          <cell r="B5855">
            <v>47.33</v>
          </cell>
        </row>
        <row r="5856">
          <cell r="A5856">
            <v>39889</v>
          </cell>
          <cell r="B5856">
            <v>48.97</v>
          </cell>
        </row>
        <row r="5857">
          <cell r="A5857">
            <v>39890</v>
          </cell>
          <cell r="B5857">
            <v>48.12</v>
          </cell>
        </row>
        <row r="5858">
          <cell r="A5858">
            <v>39891</v>
          </cell>
          <cell r="B5858">
            <v>51.46</v>
          </cell>
        </row>
        <row r="5859">
          <cell r="A5859">
            <v>39892</v>
          </cell>
          <cell r="B5859">
            <v>51.55</v>
          </cell>
        </row>
        <row r="5860">
          <cell r="A5860">
            <v>39895</v>
          </cell>
          <cell r="B5860">
            <v>53.05</v>
          </cell>
        </row>
        <row r="5861">
          <cell r="A5861">
            <v>39896</v>
          </cell>
          <cell r="B5861">
            <v>53.36</v>
          </cell>
        </row>
        <row r="5862">
          <cell r="A5862">
            <v>39897</v>
          </cell>
          <cell r="B5862">
            <v>52.24</v>
          </cell>
        </row>
        <row r="5863">
          <cell r="A5863">
            <v>39898</v>
          </cell>
          <cell r="B5863">
            <v>53.87</v>
          </cell>
        </row>
        <row r="5864">
          <cell r="A5864">
            <v>39899</v>
          </cell>
          <cell r="B5864">
            <v>52.41</v>
          </cell>
        </row>
        <row r="5865">
          <cell r="A5865">
            <v>39902</v>
          </cell>
          <cell r="B5865">
            <v>48.49</v>
          </cell>
        </row>
        <row r="5866">
          <cell r="A5866">
            <v>39903</v>
          </cell>
          <cell r="B5866">
            <v>49.64</v>
          </cell>
        </row>
        <row r="5867">
          <cell r="A5867">
            <v>39904</v>
          </cell>
          <cell r="B5867">
            <v>48.46</v>
          </cell>
        </row>
        <row r="5868">
          <cell r="A5868">
            <v>39905</v>
          </cell>
          <cell r="B5868">
            <v>52.61</v>
          </cell>
        </row>
        <row r="5869">
          <cell r="A5869">
            <v>39906</v>
          </cell>
          <cell r="B5869">
            <v>52.52</v>
          </cell>
        </row>
        <row r="5870">
          <cell r="A5870">
            <v>39909</v>
          </cell>
          <cell r="B5870">
            <v>51.1</v>
          </cell>
        </row>
        <row r="5871">
          <cell r="A5871">
            <v>39910</v>
          </cell>
          <cell r="B5871">
            <v>49.13</v>
          </cell>
        </row>
        <row r="5872">
          <cell r="A5872">
            <v>39911</v>
          </cell>
          <cell r="B5872">
            <v>49.37</v>
          </cell>
        </row>
        <row r="5873">
          <cell r="A5873">
            <v>39912</v>
          </cell>
          <cell r="B5873">
            <v>52.24</v>
          </cell>
        </row>
        <row r="5874">
          <cell r="A5874">
            <v>39916</v>
          </cell>
          <cell r="B5874">
            <v>50.22</v>
          </cell>
        </row>
        <row r="5875">
          <cell r="A5875">
            <v>39917</v>
          </cell>
          <cell r="B5875">
            <v>49.51</v>
          </cell>
        </row>
        <row r="5876">
          <cell r="A5876">
            <v>39918</v>
          </cell>
          <cell r="B5876">
            <v>49.26</v>
          </cell>
        </row>
        <row r="5877">
          <cell r="A5877">
            <v>39919</v>
          </cell>
          <cell r="B5877">
            <v>49.97</v>
          </cell>
        </row>
        <row r="5878">
          <cell r="A5878">
            <v>39920</v>
          </cell>
          <cell r="B5878">
            <v>50.36</v>
          </cell>
        </row>
        <row r="5879">
          <cell r="A5879">
            <v>39923</v>
          </cell>
          <cell r="B5879">
            <v>45.82</v>
          </cell>
        </row>
        <row r="5880">
          <cell r="A5880">
            <v>39924</v>
          </cell>
          <cell r="B5880">
            <v>46.65</v>
          </cell>
        </row>
        <row r="5881">
          <cell r="A5881">
            <v>39925</v>
          </cell>
          <cell r="B5881">
            <v>47.41</v>
          </cell>
        </row>
        <row r="5882">
          <cell r="A5882">
            <v>39926</v>
          </cell>
          <cell r="B5882">
            <v>48.46</v>
          </cell>
        </row>
        <row r="5883">
          <cell r="A5883">
            <v>39927</v>
          </cell>
          <cell r="B5883">
            <v>50.65</v>
          </cell>
        </row>
        <row r="5884">
          <cell r="A5884">
            <v>39930</v>
          </cell>
          <cell r="B5884">
            <v>49.29</v>
          </cell>
        </row>
        <row r="5885">
          <cell r="A5885">
            <v>39931</v>
          </cell>
          <cell r="B5885">
            <v>49.01</v>
          </cell>
        </row>
        <row r="5886">
          <cell r="A5886">
            <v>39932</v>
          </cell>
          <cell r="B5886">
            <v>50.19</v>
          </cell>
        </row>
        <row r="5887">
          <cell r="A5887">
            <v>39933</v>
          </cell>
          <cell r="B5887">
            <v>50.35</v>
          </cell>
        </row>
        <row r="5888">
          <cell r="A5888">
            <v>39934</v>
          </cell>
          <cell r="B5888">
            <v>52.18</v>
          </cell>
        </row>
        <row r="5889">
          <cell r="A5889">
            <v>39937</v>
          </cell>
          <cell r="B5889">
            <v>54.45</v>
          </cell>
        </row>
        <row r="5890">
          <cell r="A5890">
            <v>39938</v>
          </cell>
          <cell r="B5890">
            <v>53.81</v>
          </cell>
        </row>
        <row r="5891">
          <cell r="A5891">
            <v>39939</v>
          </cell>
          <cell r="B5891">
            <v>56.29</v>
          </cell>
        </row>
        <row r="5892">
          <cell r="A5892">
            <v>39940</v>
          </cell>
          <cell r="B5892">
            <v>56.67</v>
          </cell>
        </row>
        <row r="5893">
          <cell r="A5893">
            <v>39941</v>
          </cell>
          <cell r="B5893">
            <v>58.58</v>
          </cell>
        </row>
        <row r="5894">
          <cell r="A5894">
            <v>39944</v>
          </cell>
          <cell r="B5894">
            <v>57.79</v>
          </cell>
        </row>
        <row r="5895">
          <cell r="A5895">
            <v>39945</v>
          </cell>
          <cell r="B5895">
            <v>58.81</v>
          </cell>
        </row>
        <row r="5896">
          <cell r="A5896">
            <v>39946</v>
          </cell>
          <cell r="B5896">
            <v>58</v>
          </cell>
        </row>
        <row r="5897">
          <cell r="A5897">
            <v>39947</v>
          </cell>
          <cell r="B5897">
            <v>58.58</v>
          </cell>
        </row>
        <row r="5898">
          <cell r="A5898">
            <v>39948</v>
          </cell>
          <cell r="B5898">
            <v>56.52</v>
          </cell>
        </row>
        <row r="5899">
          <cell r="A5899">
            <v>39951</v>
          </cell>
          <cell r="B5899">
            <v>58.99</v>
          </cell>
        </row>
        <row r="5900">
          <cell r="A5900">
            <v>39952</v>
          </cell>
          <cell r="B5900">
            <v>59.52</v>
          </cell>
        </row>
        <row r="5901">
          <cell r="A5901">
            <v>39953</v>
          </cell>
          <cell r="B5901">
            <v>61.45</v>
          </cell>
        </row>
        <row r="5902">
          <cell r="A5902">
            <v>39954</v>
          </cell>
          <cell r="B5902">
            <v>60.49</v>
          </cell>
        </row>
        <row r="5903">
          <cell r="A5903">
            <v>39955</v>
          </cell>
          <cell r="B5903">
            <v>61.15</v>
          </cell>
        </row>
        <row r="5904">
          <cell r="A5904">
            <v>39959</v>
          </cell>
          <cell r="B5904">
            <v>62.48</v>
          </cell>
        </row>
        <row r="5905">
          <cell r="A5905">
            <v>39960</v>
          </cell>
          <cell r="B5905">
            <v>63.41</v>
          </cell>
        </row>
        <row r="5906">
          <cell r="A5906">
            <v>39961</v>
          </cell>
          <cell r="B5906">
            <v>65.09</v>
          </cell>
        </row>
        <row r="5907">
          <cell r="A5907">
            <v>39962</v>
          </cell>
          <cell r="B5907">
            <v>66.31</v>
          </cell>
        </row>
        <row r="5908">
          <cell r="A5908">
            <v>39965</v>
          </cell>
          <cell r="B5908">
            <v>68.59</v>
          </cell>
        </row>
        <row r="5909">
          <cell r="A5909">
            <v>39966</v>
          </cell>
          <cell r="B5909">
            <v>68.58</v>
          </cell>
        </row>
        <row r="5910">
          <cell r="A5910">
            <v>39967</v>
          </cell>
          <cell r="B5910">
            <v>66.14</v>
          </cell>
        </row>
        <row r="5911">
          <cell r="A5911">
            <v>39968</v>
          </cell>
          <cell r="B5911">
            <v>68.8</v>
          </cell>
        </row>
        <row r="5912">
          <cell r="A5912">
            <v>39969</v>
          </cell>
          <cell r="B5912">
            <v>68.430000000000007</v>
          </cell>
        </row>
        <row r="5913">
          <cell r="A5913">
            <v>39972</v>
          </cell>
          <cell r="B5913">
            <v>68.05</v>
          </cell>
        </row>
        <row r="5914">
          <cell r="A5914">
            <v>39973</v>
          </cell>
          <cell r="B5914">
            <v>70.02</v>
          </cell>
        </row>
        <row r="5915">
          <cell r="A5915">
            <v>39974</v>
          </cell>
          <cell r="B5915">
            <v>71.38</v>
          </cell>
        </row>
        <row r="5916">
          <cell r="A5916">
            <v>39975</v>
          </cell>
          <cell r="B5916">
            <v>72.69</v>
          </cell>
        </row>
        <row r="5917">
          <cell r="A5917">
            <v>39976</v>
          </cell>
          <cell r="B5917">
            <v>72.13</v>
          </cell>
        </row>
        <row r="5918">
          <cell r="A5918">
            <v>39979</v>
          </cell>
          <cell r="B5918">
            <v>70.540000000000006</v>
          </cell>
        </row>
        <row r="5919">
          <cell r="A5919">
            <v>39980</v>
          </cell>
          <cell r="B5919">
            <v>70.47</v>
          </cell>
        </row>
        <row r="5920">
          <cell r="A5920">
            <v>39981</v>
          </cell>
          <cell r="B5920">
            <v>71.069999999999993</v>
          </cell>
        </row>
        <row r="5921">
          <cell r="A5921">
            <v>39982</v>
          </cell>
          <cell r="B5921">
            <v>71.42</v>
          </cell>
        </row>
        <row r="5922">
          <cell r="A5922">
            <v>39983</v>
          </cell>
          <cell r="B5922">
            <v>69.599999999999994</v>
          </cell>
        </row>
        <row r="5923">
          <cell r="A5923">
            <v>39986</v>
          </cell>
          <cell r="B5923">
            <v>67.09</v>
          </cell>
        </row>
        <row r="5924">
          <cell r="A5924">
            <v>39987</v>
          </cell>
          <cell r="B5924">
            <v>68.81</v>
          </cell>
        </row>
        <row r="5925">
          <cell r="A5925">
            <v>39988</v>
          </cell>
          <cell r="B5925">
            <v>68.14</v>
          </cell>
        </row>
        <row r="5926">
          <cell r="A5926">
            <v>39989</v>
          </cell>
          <cell r="B5926">
            <v>69.7</v>
          </cell>
        </row>
        <row r="5927">
          <cell r="A5927">
            <v>39990</v>
          </cell>
          <cell r="B5927">
            <v>69.16</v>
          </cell>
        </row>
        <row r="5928">
          <cell r="A5928">
            <v>39993</v>
          </cell>
          <cell r="B5928">
            <v>71.47</v>
          </cell>
        </row>
        <row r="5929">
          <cell r="A5929">
            <v>39994</v>
          </cell>
          <cell r="B5929">
            <v>69.819999999999993</v>
          </cell>
        </row>
        <row r="5930">
          <cell r="A5930">
            <v>39995</v>
          </cell>
          <cell r="B5930">
            <v>69.319999999999993</v>
          </cell>
        </row>
        <row r="5931">
          <cell r="A5931">
            <v>39996</v>
          </cell>
          <cell r="B5931">
            <v>66.680000000000007</v>
          </cell>
        </row>
        <row r="5932">
          <cell r="A5932">
            <v>40000</v>
          </cell>
          <cell r="B5932">
            <v>64.06</v>
          </cell>
        </row>
        <row r="5933">
          <cell r="A5933">
            <v>40001</v>
          </cell>
          <cell r="B5933">
            <v>62.88</v>
          </cell>
        </row>
        <row r="5934">
          <cell r="A5934">
            <v>40002</v>
          </cell>
          <cell r="B5934">
            <v>60.15</v>
          </cell>
        </row>
        <row r="5935">
          <cell r="A5935">
            <v>40003</v>
          </cell>
          <cell r="B5935">
            <v>60.36</v>
          </cell>
        </row>
        <row r="5936">
          <cell r="A5936">
            <v>40004</v>
          </cell>
          <cell r="B5936">
            <v>59.93</v>
          </cell>
        </row>
        <row r="5937">
          <cell r="A5937">
            <v>40007</v>
          </cell>
          <cell r="B5937">
            <v>59.69</v>
          </cell>
        </row>
        <row r="5938">
          <cell r="A5938">
            <v>40008</v>
          </cell>
          <cell r="B5938">
            <v>59.62</v>
          </cell>
        </row>
        <row r="5939">
          <cell r="A5939">
            <v>40009</v>
          </cell>
          <cell r="B5939">
            <v>61.49</v>
          </cell>
        </row>
        <row r="5940">
          <cell r="A5940">
            <v>40010</v>
          </cell>
          <cell r="B5940">
            <v>62.07</v>
          </cell>
        </row>
        <row r="5941">
          <cell r="A5941">
            <v>40011</v>
          </cell>
          <cell r="B5941">
            <v>63.56</v>
          </cell>
        </row>
        <row r="5942">
          <cell r="A5942">
            <v>40014</v>
          </cell>
          <cell r="B5942">
            <v>63.93</v>
          </cell>
        </row>
        <row r="5943">
          <cell r="A5943">
            <v>40015</v>
          </cell>
          <cell r="B5943">
            <v>64.81</v>
          </cell>
        </row>
        <row r="5944">
          <cell r="A5944">
            <v>40016</v>
          </cell>
          <cell r="B5944">
            <v>64.58</v>
          </cell>
        </row>
        <row r="5945">
          <cell r="A5945">
            <v>40017</v>
          </cell>
          <cell r="B5945">
            <v>66.099999999999994</v>
          </cell>
        </row>
        <row r="5946">
          <cell r="A5946">
            <v>40018</v>
          </cell>
          <cell r="B5946">
            <v>66.959999999999994</v>
          </cell>
        </row>
        <row r="5947">
          <cell r="A5947">
            <v>40021</v>
          </cell>
          <cell r="B5947">
            <v>68.34</v>
          </cell>
        </row>
        <row r="5948">
          <cell r="A5948">
            <v>40022</v>
          </cell>
          <cell r="B5948">
            <v>67.239999999999995</v>
          </cell>
        </row>
        <row r="5949">
          <cell r="A5949">
            <v>40023</v>
          </cell>
          <cell r="B5949">
            <v>63.42</v>
          </cell>
        </row>
        <row r="5950">
          <cell r="A5950">
            <v>40024</v>
          </cell>
          <cell r="B5950">
            <v>66.900000000000006</v>
          </cell>
        </row>
        <row r="5951">
          <cell r="A5951">
            <v>40025</v>
          </cell>
          <cell r="B5951">
            <v>69.260000000000005</v>
          </cell>
        </row>
        <row r="5952">
          <cell r="A5952">
            <v>40028</v>
          </cell>
          <cell r="B5952">
            <v>71.59</v>
          </cell>
        </row>
        <row r="5953">
          <cell r="A5953">
            <v>40029</v>
          </cell>
          <cell r="B5953">
            <v>71.400000000000006</v>
          </cell>
        </row>
        <row r="5954">
          <cell r="A5954">
            <v>40030</v>
          </cell>
          <cell r="B5954">
            <v>71.97</v>
          </cell>
        </row>
        <row r="5955">
          <cell r="A5955">
            <v>40031</v>
          </cell>
          <cell r="B5955">
            <v>71.959999999999994</v>
          </cell>
        </row>
        <row r="5956">
          <cell r="A5956">
            <v>40032</v>
          </cell>
          <cell r="B5956">
            <v>70.97</v>
          </cell>
        </row>
        <row r="5957">
          <cell r="A5957">
            <v>40035</v>
          </cell>
          <cell r="B5957">
            <v>70.59</v>
          </cell>
        </row>
        <row r="5958">
          <cell r="A5958">
            <v>40036</v>
          </cell>
          <cell r="B5958">
            <v>69.459999999999994</v>
          </cell>
        </row>
        <row r="5959">
          <cell r="A5959">
            <v>40037</v>
          </cell>
          <cell r="B5959">
            <v>70.08</v>
          </cell>
        </row>
        <row r="5960">
          <cell r="A5960">
            <v>40038</v>
          </cell>
          <cell r="B5960">
            <v>70.569999999999993</v>
          </cell>
        </row>
        <row r="5961">
          <cell r="A5961">
            <v>40039</v>
          </cell>
          <cell r="B5961">
            <v>67.510000000000005</v>
          </cell>
        </row>
        <row r="5962">
          <cell r="A5962">
            <v>40042</v>
          </cell>
          <cell r="B5962">
            <v>66.72</v>
          </cell>
        </row>
        <row r="5963">
          <cell r="A5963">
            <v>40043</v>
          </cell>
          <cell r="B5963">
            <v>69.22</v>
          </cell>
        </row>
        <row r="5964">
          <cell r="A5964">
            <v>40044</v>
          </cell>
          <cell r="B5964">
            <v>72.540000000000006</v>
          </cell>
        </row>
        <row r="5965">
          <cell r="A5965">
            <v>40045</v>
          </cell>
          <cell r="B5965">
            <v>72.400000000000006</v>
          </cell>
        </row>
        <row r="5966">
          <cell r="A5966">
            <v>40046</v>
          </cell>
          <cell r="B5966">
            <v>73.12</v>
          </cell>
        </row>
        <row r="5967">
          <cell r="A5967">
            <v>40049</v>
          </cell>
          <cell r="B5967">
            <v>73.680000000000007</v>
          </cell>
        </row>
        <row r="5968">
          <cell r="A5968">
            <v>40050</v>
          </cell>
          <cell r="B5968">
            <v>71.599999999999994</v>
          </cell>
        </row>
        <row r="5969">
          <cell r="A5969">
            <v>40051</v>
          </cell>
          <cell r="B5969">
            <v>71.38</v>
          </cell>
        </row>
        <row r="5970">
          <cell r="A5970">
            <v>40052</v>
          </cell>
          <cell r="B5970">
            <v>72.489999999999995</v>
          </cell>
        </row>
        <row r="5971">
          <cell r="A5971">
            <v>40053</v>
          </cell>
          <cell r="B5971">
            <v>72.72</v>
          </cell>
        </row>
        <row r="5972">
          <cell r="A5972">
            <v>40056</v>
          </cell>
          <cell r="B5972">
            <v>69.97</v>
          </cell>
        </row>
        <row r="5973">
          <cell r="A5973">
            <v>40057</v>
          </cell>
          <cell r="B5973">
            <v>68.11</v>
          </cell>
        </row>
        <row r="5974">
          <cell r="A5974">
            <v>40058</v>
          </cell>
          <cell r="B5974">
            <v>68.03</v>
          </cell>
        </row>
        <row r="5975">
          <cell r="A5975">
            <v>40059</v>
          </cell>
          <cell r="B5975">
            <v>67.900000000000006</v>
          </cell>
        </row>
        <row r="5976">
          <cell r="A5976">
            <v>40060</v>
          </cell>
          <cell r="B5976">
            <v>67.95</v>
          </cell>
        </row>
        <row r="5977">
          <cell r="A5977">
            <v>40064</v>
          </cell>
          <cell r="B5977">
            <v>71.08</v>
          </cell>
        </row>
        <row r="5978">
          <cell r="A5978">
            <v>40065</v>
          </cell>
          <cell r="B5978">
            <v>71.27</v>
          </cell>
        </row>
        <row r="5979">
          <cell r="A5979">
            <v>40066</v>
          </cell>
          <cell r="B5979">
            <v>71.95</v>
          </cell>
        </row>
        <row r="5980">
          <cell r="A5980">
            <v>40067</v>
          </cell>
          <cell r="B5980">
            <v>69.34</v>
          </cell>
        </row>
        <row r="5981">
          <cell r="A5981">
            <v>40070</v>
          </cell>
          <cell r="B5981">
            <v>68.86</v>
          </cell>
        </row>
        <row r="5982">
          <cell r="A5982">
            <v>40071</v>
          </cell>
          <cell r="B5982">
            <v>70.81</v>
          </cell>
        </row>
        <row r="5983">
          <cell r="A5983">
            <v>40072</v>
          </cell>
          <cell r="B5983">
            <v>72.5</v>
          </cell>
        </row>
        <row r="5984">
          <cell r="A5984">
            <v>40073</v>
          </cell>
          <cell r="B5984">
            <v>72.48</v>
          </cell>
        </row>
        <row r="5985">
          <cell r="A5985">
            <v>40074</v>
          </cell>
          <cell r="B5985">
            <v>71.95</v>
          </cell>
        </row>
        <row r="5986">
          <cell r="A5986">
            <v>40077</v>
          </cell>
          <cell r="B5986">
            <v>69.739999999999995</v>
          </cell>
        </row>
        <row r="5987">
          <cell r="A5987">
            <v>40078</v>
          </cell>
          <cell r="B5987">
            <v>71.5</v>
          </cell>
        </row>
        <row r="5988">
          <cell r="A5988">
            <v>40079</v>
          </cell>
          <cell r="B5988">
            <v>68.739999999999995</v>
          </cell>
        </row>
        <row r="5989">
          <cell r="A5989">
            <v>40080</v>
          </cell>
          <cell r="B5989">
            <v>65.739999999999995</v>
          </cell>
        </row>
        <row r="5990">
          <cell r="A5990">
            <v>40081</v>
          </cell>
          <cell r="B5990">
            <v>65.91</v>
          </cell>
        </row>
        <row r="5991">
          <cell r="A5991">
            <v>40084</v>
          </cell>
          <cell r="B5991">
            <v>66.69</v>
          </cell>
        </row>
        <row r="5992">
          <cell r="A5992">
            <v>40085</v>
          </cell>
          <cell r="B5992">
            <v>66.56</v>
          </cell>
        </row>
        <row r="5993">
          <cell r="A5993">
            <v>40086</v>
          </cell>
          <cell r="B5993">
            <v>70.459999999999994</v>
          </cell>
        </row>
        <row r="5994">
          <cell r="A5994">
            <v>40087</v>
          </cell>
          <cell r="B5994">
            <v>70.67</v>
          </cell>
        </row>
        <row r="5995">
          <cell r="A5995">
            <v>40088</v>
          </cell>
          <cell r="B5995">
            <v>69.8</v>
          </cell>
        </row>
        <row r="5996">
          <cell r="A5996">
            <v>40091</v>
          </cell>
          <cell r="B5996">
            <v>70.260000000000005</v>
          </cell>
        </row>
        <row r="5997">
          <cell r="A5997">
            <v>40092</v>
          </cell>
          <cell r="B5997">
            <v>70.709999999999994</v>
          </cell>
        </row>
        <row r="5998">
          <cell r="A5998">
            <v>40093</v>
          </cell>
          <cell r="B5998">
            <v>69.599999999999994</v>
          </cell>
        </row>
        <row r="5999">
          <cell r="A5999">
            <v>40094</v>
          </cell>
          <cell r="B5999">
            <v>71.69</v>
          </cell>
        </row>
        <row r="6000">
          <cell r="A6000">
            <v>40095</v>
          </cell>
          <cell r="B6000">
            <v>71.75</v>
          </cell>
        </row>
        <row r="6001">
          <cell r="A6001">
            <v>40098</v>
          </cell>
          <cell r="B6001">
            <v>73.239999999999995</v>
          </cell>
        </row>
        <row r="6002">
          <cell r="A6002">
            <v>40099</v>
          </cell>
          <cell r="B6002">
            <v>74.099999999999994</v>
          </cell>
        </row>
        <row r="6003">
          <cell r="A6003">
            <v>40100</v>
          </cell>
          <cell r="B6003">
            <v>75.2</v>
          </cell>
        </row>
        <row r="6004">
          <cell r="A6004">
            <v>40101</v>
          </cell>
          <cell r="B6004">
            <v>77.55</v>
          </cell>
        </row>
        <row r="6005">
          <cell r="A6005">
            <v>40102</v>
          </cell>
          <cell r="B6005">
            <v>78.540000000000006</v>
          </cell>
        </row>
        <row r="6006">
          <cell r="A6006">
            <v>40105</v>
          </cell>
          <cell r="B6006">
            <v>79.47</v>
          </cell>
        </row>
        <row r="6007">
          <cell r="A6007">
            <v>40106</v>
          </cell>
          <cell r="B6007">
            <v>78.87</v>
          </cell>
        </row>
        <row r="6008">
          <cell r="A6008">
            <v>40107</v>
          </cell>
          <cell r="B6008">
            <v>81.03</v>
          </cell>
        </row>
        <row r="6009">
          <cell r="A6009">
            <v>40108</v>
          </cell>
          <cell r="B6009">
            <v>80.819999999999993</v>
          </cell>
        </row>
        <row r="6010">
          <cell r="A6010">
            <v>40109</v>
          </cell>
          <cell r="B6010">
            <v>80.11</v>
          </cell>
        </row>
        <row r="6011">
          <cell r="A6011">
            <v>40112</v>
          </cell>
          <cell r="B6011">
            <v>78.61</v>
          </cell>
        </row>
        <row r="6012">
          <cell r="A6012">
            <v>40113</v>
          </cell>
          <cell r="B6012">
            <v>79.45</v>
          </cell>
        </row>
        <row r="6013">
          <cell r="A6013">
            <v>40114</v>
          </cell>
          <cell r="B6013">
            <v>77.39</v>
          </cell>
        </row>
        <row r="6014">
          <cell r="A6014">
            <v>40115</v>
          </cell>
          <cell r="B6014">
            <v>79.84</v>
          </cell>
        </row>
        <row r="6015">
          <cell r="A6015">
            <v>40116</v>
          </cell>
          <cell r="B6015">
            <v>77.040000000000006</v>
          </cell>
        </row>
        <row r="6016">
          <cell r="A6016">
            <v>40119</v>
          </cell>
          <cell r="B6016">
            <v>78.08</v>
          </cell>
        </row>
        <row r="6017">
          <cell r="A6017">
            <v>40120</v>
          </cell>
          <cell r="B6017">
            <v>79.58</v>
          </cell>
        </row>
        <row r="6018">
          <cell r="A6018">
            <v>40121</v>
          </cell>
          <cell r="B6018">
            <v>80.3</v>
          </cell>
        </row>
        <row r="6019">
          <cell r="A6019">
            <v>40122</v>
          </cell>
          <cell r="B6019">
            <v>79.64</v>
          </cell>
        </row>
        <row r="6020">
          <cell r="A6020">
            <v>40123</v>
          </cell>
          <cell r="B6020">
            <v>77.400000000000006</v>
          </cell>
        </row>
        <row r="6021">
          <cell r="A6021">
            <v>40126</v>
          </cell>
          <cell r="B6021">
            <v>79.44</v>
          </cell>
        </row>
        <row r="6022">
          <cell r="A6022">
            <v>40127</v>
          </cell>
          <cell r="B6022">
            <v>79.010000000000005</v>
          </cell>
        </row>
        <row r="6023">
          <cell r="A6023">
            <v>40128</v>
          </cell>
          <cell r="B6023">
            <v>79.16</v>
          </cell>
        </row>
        <row r="6024">
          <cell r="A6024">
            <v>40129</v>
          </cell>
          <cell r="B6024">
            <v>77.25</v>
          </cell>
        </row>
        <row r="6025">
          <cell r="A6025">
            <v>40130</v>
          </cell>
          <cell r="B6025">
            <v>76.34</v>
          </cell>
        </row>
        <row r="6026">
          <cell r="A6026">
            <v>40133</v>
          </cell>
          <cell r="B6026">
            <v>78.91</v>
          </cell>
        </row>
        <row r="6027">
          <cell r="A6027">
            <v>40134</v>
          </cell>
          <cell r="B6027">
            <v>79.08</v>
          </cell>
        </row>
        <row r="6028">
          <cell r="A6028">
            <v>40135</v>
          </cell>
          <cell r="B6028">
            <v>79.55</v>
          </cell>
        </row>
        <row r="6029">
          <cell r="A6029">
            <v>40136</v>
          </cell>
          <cell r="B6029">
            <v>77.47</v>
          </cell>
        </row>
        <row r="6030">
          <cell r="A6030">
            <v>40137</v>
          </cell>
          <cell r="B6030">
            <v>76.83</v>
          </cell>
        </row>
        <row r="6031">
          <cell r="A6031">
            <v>40140</v>
          </cell>
          <cell r="B6031">
            <v>76.489999999999995</v>
          </cell>
        </row>
        <row r="6032">
          <cell r="A6032">
            <v>40141</v>
          </cell>
          <cell r="B6032">
            <v>74.88</v>
          </cell>
        </row>
        <row r="6033">
          <cell r="A6033">
            <v>40142</v>
          </cell>
          <cell r="B6033">
            <v>77.25</v>
          </cell>
        </row>
        <row r="6034">
          <cell r="A6034">
            <v>40144</v>
          </cell>
          <cell r="B6034">
            <v>75.95</v>
          </cell>
        </row>
        <row r="6035">
          <cell r="A6035">
            <v>40147</v>
          </cell>
          <cell r="B6035">
            <v>77.19</v>
          </cell>
        </row>
        <row r="6036">
          <cell r="A6036">
            <v>40148</v>
          </cell>
          <cell r="B6036">
            <v>78.39</v>
          </cell>
        </row>
        <row r="6037">
          <cell r="A6037">
            <v>40149</v>
          </cell>
          <cell r="B6037">
            <v>76.62</v>
          </cell>
        </row>
        <row r="6038">
          <cell r="A6038">
            <v>40150</v>
          </cell>
          <cell r="B6038">
            <v>76.42</v>
          </cell>
        </row>
        <row r="6039">
          <cell r="A6039">
            <v>40151</v>
          </cell>
          <cell r="B6039">
            <v>75.41</v>
          </cell>
        </row>
        <row r="6040">
          <cell r="A6040">
            <v>40154</v>
          </cell>
          <cell r="B6040">
            <v>73.89</v>
          </cell>
        </row>
        <row r="6041">
          <cell r="A6041">
            <v>40155</v>
          </cell>
          <cell r="B6041">
            <v>72.59</v>
          </cell>
        </row>
        <row r="6042">
          <cell r="A6042">
            <v>40156</v>
          </cell>
          <cell r="B6042">
            <v>70.67</v>
          </cell>
        </row>
        <row r="6043">
          <cell r="A6043">
            <v>40157</v>
          </cell>
          <cell r="B6043">
            <v>70.540000000000006</v>
          </cell>
        </row>
        <row r="6044">
          <cell r="A6044">
            <v>40158</v>
          </cell>
          <cell r="B6044">
            <v>69.86</v>
          </cell>
        </row>
        <row r="6045">
          <cell r="A6045">
            <v>40161</v>
          </cell>
          <cell r="B6045">
            <v>69.48</v>
          </cell>
        </row>
        <row r="6046">
          <cell r="A6046">
            <v>40162</v>
          </cell>
          <cell r="B6046">
            <v>70.62</v>
          </cell>
        </row>
        <row r="6047">
          <cell r="A6047">
            <v>40163</v>
          </cell>
          <cell r="B6047">
            <v>72.64</v>
          </cell>
        </row>
        <row r="6048">
          <cell r="A6048">
            <v>40164</v>
          </cell>
          <cell r="B6048">
            <v>72.58</v>
          </cell>
        </row>
        <row r="6049">
          <cell r="A6049">
            <v>40165</v>
          </cell>
          <cell r="B6049">
            <v>73.3</v>
          </cell>
        </row>
        <row r="6050">
          <cell r="A6050">
            <v>40168</v>
          </cell>
          <cell r="B6050">
            <v>72.709999999999994</v>
          </cell>
        </row>
        <row r="6051">
          <cell r="A6051">
            <v>40169</v>
          </cell>
          <cell r="B6051">
            <v>73.48</v>
          </cell>
        </row>
        <row r="6052">
          <cell r="A6052">
            <v>40170</v>
          </cell>
          <cell r="B6052">
            <v>76.03</v>
          </cell>
        </row>
        <row r="6053">
          <cell r="A6053">
            <v>40171</v>
          </cell>
          <cell r="B6053">
            <v>76.83</v>
          </cell>
        </row>
        <row r="6054">
          <cell r="A6054">
            <v>40175</v>
          </cell>
          <cell r="B6054">
            <v>78.67</v>
          </cell>
        </row>
        <row r="6055">
          <cell r="A6055">
            <v>40176</v>
          </cell>
          <cell r="B6055">
            <v>78.87</v>
          </cell>
        </row>
        <row r="6056">
          <cell r="A6056">
            <v>40177</v>
          </cell>
          <cell r="B6056">
            <v>79.349999999999994</v>
          </cell>
        </row>
        <row r="6057">
          <cell r="A6057">
            <v>40178</v>
          </cell>
          <cell r="B6057">
            <v>79.39</v>
          </cell>
        </row>
        <row r="6058">
          <cell r="A6058">
            <v>40182</v>
          </cell>
          <cell r="B6058">
            <v>81.52</v>
          </cell>
        </row>
        <row r="6059">
          <cell r="A6059">
            <v>40183</v>
          </cell>
          <cell r="B6059">
            <v>81.739999999999995</v>
          </cell>
        </row>
        <row r="6060">
          <cell r="A6060">
            <v>40184</v>
          </cell>
          <cell r="B6060">
            <v>83.12</v>
          </cell>
        </row>
        <row r="6061">
          <cell r="A6061">
            <v>40185</v>
          </cell>
          <cell r="B6061">
            <v>82.6</v>
          </cell>
        </row>
        <row r="6062">
          <cell r="A6062">
            <v>40186</v>
          </cell>
          <cell r="B6062">
            <v>82.74</v>
          </cell>
        </row>
        <row r="6063">
          <cell r="A6063">
            <v>40189</v>
          </cell>
          <cell r="B6063">
            <v>82.54</v>
          </cell>
        </row>
        <row r="6064">
          <cell r="A6064">
            <v>40190</v>
          </cell>
          <cell r="B6064">
            <v>80.790000000000006</v>
          </cell>
        </row>
        <row r="6065">
          <cell r="A6065">
            <v>40191</v>
          </cell>
          <cell r="B6065">
            <v>79.66</v>
          </cell>
        </row>
        <row r="6066">
          <cell r="A6066">
            <v>40192</v>
          </cell>
          <cell r="B6066">
            <v>79.349999999999994</v>
          </cell>
        </row>
        <row r="6067">
          <cell r="A6067">
            <v>40193</v>
          </cell>
          <cell r="B6067">
            <v>77.959999999999994</v>
          </cell>
        </row>
        <row r="6068">
          <cell r="A6068">
            <v>40197</v>
          </cell>
          <cell r="B6068">
            <v>78.98</v>
          </cell>
        </row>
        <row r="6069">
          <cell r="A6069">
            <v>40198</v>
          </cell>
          <cell r="B6069">
            <v>77.42</v>
          </cell>
        </row>
        <row r="6070">
          <cell r="A6070">
            <v>40199</v>
          </cell>
          <cell r="B6070">
            <v>75.84</v>
          </cell>
        </row>
        <row r="6071">
          <cell r="A6071">
            <v>40200</v>
          </cell>
          <cell r="B6071">
            <v>74.25</v>
          </cell>
        </row>
        <row r="6072">
          <cell r="A6072">
            <v>40203</v>
          </cell>
          <cell r="B6072">
            <v>74.900000000000006</v>
          </cell>
        </row>
        <row r="6073">
          <cell r="A6073">
            <v>40204</v>
          </cell>
          <cell r="B6073">
            <v>74.67</v>
          </cell>
        </row>
        <row r="6074">
          <cell r="A6074">
            <v>40205</v>
          </cell>
          <cell r="B6074">
            <v>73.64</v>
          </cell>
        </row>
        <row r="6075">
          <cell r="A6075">
            <v>40206</v>
          </cell>
          <cell r="B6075">
            <v>73.62</v>
          </cell>
        </row>
        <row r="6076">
          <cell r="A6076">
            <v>40207</v>
          </cell>
          <cell r="B6076">
            <v>72.849999999999994</v>
          </cell>
        </row>
        <row r="6077">
          <cell r="A6077">
            <v>40210</v>
          </cell>
          <cell r="B6077">
            <v>74.41</v>
          </cell>
        </row>
        <row r="6078">
          <cell r="A6078">
            <v>40211</v>
          </cell>
          <cell r="B6078">
            <v>77.209999999999994</v>
          </cell>
        </row>
        <row r="6079">
          <cell r="A6079">
            <v>40212</v>
          </cell>
          <cell r="B6079">
            <v>76.959999999999994</v>
          </cell>
        </row>
        <row r="6080">
          <cell r="A6080">
            <v>40213</v>
          </cell>
          <cell r="B6080">
            <v>73.13</v>
          </cell>
        </row>
        <row r="6081">
          <cell r="A6081">
            <v>40214</v>
          </cell>
          <cell r="B6081">
            <v>71.150000000000006</v>
          </cell>
        </row>
        <row r="6082">
          <cell r="A6082">
            <v>40217</v>
          </cell>
          <cell r="B6082">
            <v>71.87</v>
          </cell>
        </row>
        <row r="6083">
          <cell r="A6083">
            <v>40218</v>
          </cell>
          <cell r="B6083">
            <v>73.709999999999994</v>
          </cell>
        </row>
        <row r="6084">
          <cell r="A6084">
            <v>40219</v>
          </cell>
          <cell r="B6084">
            <v>74.48</v>
          </cell>
        </row>
        <row r="6085">
          <cell r="A6085">
            <v>40220</v>
          </cell>
          <cell r="B6085">
            <v>75.23</v>
          </cell>
        </row>
        <row r="6086">
          <cell r="A6086">
            <v>40221</v>
          </cell>
          <cell r="B6086">
            <v>74.11</v>
          </cell>
        </row>
        <row r="6087">
          <cell r="A6087">
            <v>40225</v>
          </cell>
          <cell r="B6087">
            <v>76.98</v>
          </cell>
        </row>
        <row r="6088">
          <cell r="A6088">
            <v>40226</v>
          </cell>
          <cell r="B6088">
            <v>77.27</v>
          </cell>
        </row>
        <row r="6089">
          <cell r="A6089">
            <v>40227</v>
          </cell>
          <cell r="B6089">
            <v>78.97</v>
          </cell>
        </row>
        <row r="6090">
          <cell r="A6090">
            <v>40228</v>
          </cell>
          <cell r="B6090">
            <v>79.77</v>
          </cell>
        </row>
        <row r="6091">
          <cell r="A6091">
            <v>40231</v>
          </cell>
          <cell r="B6091">
            <v>80.040000000000006</v>
          </cell>
        </row>
        <row r="6092">
          <cell r="A6092">
            <v>40232</v>
          </cell>
          <cell r="B6092">
            <v>78.61</v>
          </cell>
        </row>
        <row r="6093">
          <cell r="A6093">
            <v>40233</v>
          </cell>
          <cell r="B6093">
            <v>79.75</v>
          </cell>
        </row>
        <row r="6094">
          <cell r="A6094">
            <v>40234</v>
          </cell>
          <cell r="B6094">
            <v>77.989999999999995</v>
          </cell>
        </row>
        <row r="6095">
          <cell r="A6095">
            <v>40235</v>
          </cell>
          <cell r="B6095">
            <v>79.72</v>
          </cell>
        </row>
        <row r="6096">
          <cell r="A6096">
            <v>40238</v>
          </cell>
          <cell r="B6096">
            <v>78.709999999999994</v>
          </cell>
        </row>
        <row r="6097">
          <cell r="A6097">
            <v>40239</v>
          </cell>
          <cell r="B6097">
            <v>79.62</v>
          </cell>
        </row>
        <row r="6098">
          <cell r="A6098">
            <v>40240</v>
          </cell>
          <cell r="B6098">
            <v>80.91</v>
          </cell>
        </row>
        <row r="6099">
          <cell r="A6099">
            <v>40241</v>
          </cell>
          <cell r="B6099">
            <v>80.209999999999994</v>
          </cell>
        </row>
        <row r="6100">
          <cell r="A6100">
            <v>40242</v>
          </cell>
          <cell r="B6100">
            <v>81.5</v>
          </cell>
        </row>
        <row r="6101">
          <cell r="A6101">
            <v>40245</v>
          </cell>
          <cell r="B6101">
            <v>81.849999999999994</v>
          </cell>
        </row>
        <row r="6102">
          <cell r="A6102">
            <v>40246</v>
          </cell>
          <cell r="B6102">
            <v>81.5</v>
          </cell>
        </row>
        <row r="6103">
          <cell r="A6103">
            <v>40247</v>
          </cell>
          <cell r="B6103">
            <v>82.07</v>
          </cell>
        </row>
        <row r="6104">
          <cell r="A6104">
            <v>40248</v>
          </cell>
          <cell r="B6104">
            <v>82.1</v>
          </cell>
        </row>
        <row r="6105">
          <cell r="A6105">
            <v>40249</v>
          </cell>
          <cell r="B6105">
            <v>81.260000000000005</v>
          </cell>
        </row>
        <row r="6106">
          <cell r="A6106">
            <v>40252</v>
          </cell>
          <cell r="B6106">
            <v>79.790000000000006</v>
          </cell>
        </row>
        <row r="6107">
          <cell r="A6107">
            <v>40253</v>
          </cell>
          <cell r="B6107">
            <v>81.75</v>
          </cell>
        </row>
        <row r="6108">
          <cell r="A6108">
            <v>40254</v>
          </cell>
          <cell r="B6108">
            <v>82.93</v>
          </cell>
        </row>
        <row r="6109">
          <cell r="A6109">
            <v>40255</v>
          </cell>
          <cell r="B6109">
            <v>82.16</v>
          </cell>
        </row>
        <row r="6110">
          <cell r="A6110">
            <v>40256</v>
          </cell>
          <cell r="B6110">
            <v>80.58</v>
          </cell>
        </row>
        <row r="6111">
          <cell r="A6111">
            <v>40259</v>
          </cell>
          <cell r="B6111">
            <v>81.260000000000005</v>
          </cell>
        </row>
        <row r="6112">
          <cell r="A6112">
            <v>40260</v>
          </cell>
          <cell r="B6112">
            <v>81.680000000000007</v>
          </cell>
        </row>
        <row r="6113">
          <cell r="A6113">
            <v>40261</v>
          </cell>
          <cell r="B6113">
            <v>80.290000000000006</v>
          </cell>
        </row>
        <row r="6114">
          <cell r="A6114">
            <v>40262</v>
          </cell>
          <cell r="B6114">
            <v>80.25</v>
          </cell>
        </row>
        <row r="6115">
          <cell r="A6115">
            <v>40263</v>
          </cell>
          <cell r="B6115">
            <v>79.75</v>
          </cell>
        </row>
        <row r="6116">
          <cell r="A6116">
            <v>40266</v>
          </cell>
          <cell r="B6116">
            <v>81.92</v>
          </cell>
        </row>
        <row r="6117">
          <cell r="A6117">
            <v>40267</v>
          </cell>
          <cell r="B6117">
            <v>82.14</v>
          </cell>
        </row>
        <row r="6118">
          <cell r="A6118">
            <v>40268</v>
          </cell>
          <cell r="B6118">
            <v>83.45</v>
          </cell>
        </row>
        <row r="6119">
          <cell r="A6119">
            <v>40269</v>
          </cell>
          <cell r="B6119">
            <v>84.53</v>
          </cell>
        </row>
        <row r="6120">
          <cell r="A6120">
            <v>40273</v>
          </cell>
          <cell r="B6120">
            <v>86.36</v>
          </cell>
        </row>
        <row r="6121">
          <cell r="A6121">
            <v>40274</v>
          </cell>
          <cell r="B6121">
            <v>86.54</v>
          </cell>
        </row>
        <row r="6122">
          <cell r="A6122">
            <v>40275</v>
          </cell>
          <cell r="B6122">
            <v>85.64</v>
          </cell>
        </row>
        <row r="6123">
          <cell r="A6123">
            <v>40276</v>
          </cell>
          <cell r="B6123">
            <v>85.17</v>
          </cell>
        </row>
        <row r="6124">
          <cell r="A6124">
            <v>40277</v>
          </cell>
          <cell r="B6124">
            <v>84.6</v>
          </cell>
        </row>
        <row r="6125">
          <cell r="A6125">
            <v>40280</v>
          </cell>
          <cell r="B6125">
            <v>84.07</v>
          </cell>
        </row>
        <row r="6126">
          <cell r="A6126">
            <v>40281</v>
          </cell>
          <cell r="B6126">
            <v>83.8</v>
          </cell>
        </row>
        <row r="6127">
          <cell r="A6127">
            <v>40282</v>
          </cell>
          <cell r="B6127">
            <v>85.62</v>
          </cell>
        </row>
        <row r="6128">
          <cell r="A6128">
            <v>40283</v>
          </cell>
          <cell r="B6128">
            <v>85.25</v>
          </cell>
        </row>
        <row r="6129">
          <cell r="A6129">
            <v>40284</v>
          </cell>
          <cell r="B6129">
            <v>82.97</v>
          </cell>
        </row>
        <row r="6130">
          <cell r="A6130">
            <v>40287</v>
          </cell>
          <cell r="B6130">
            <v>81.52</v>
          </cell>
        </row>
        <row r="6131">
          <cell r="A6131">
            <v>40288</v>
          </cell>
          <cell r="B6131">
            <v>82.98</v>
          </cell>
        </row>
        <row r="6132">
          <cell r="A6132">
            <v>40289</v>
          </cell>
          <cell r="B6132">
            <v>82.78</v>
          </cell>
        </row>
        <row r="6133">
          <cell r="A6133">
            <v>40290</v>
          </cell>
          <cell r="B6133">
            <v>82.89</v>
          </cell>
        </row>
        <row r="6134">
          <cell r="A6134">
            <v>40291</v>
          </cell>
          <cell r="B6134">
            <v>84.34</v>
          </cell>
        </row>
        <row r="6135">
          <cell r="A6135">
            <v>40294</v>
          </cell>
          <cell r="B6135">
            <v>84.2</v>
          </cell>
        </row>
        <row r="6136">
          <cell r="A6136">
            <v>40295</v>
          </cell>
          <cell r="B6136">
            <v>82.43</v>
          </cell>
        </row>
        <row r="6137">
          <cell r="A6137">
            <v>40296</v>
          </cell>
          <cell r="B6137">
            <v>83.22</v>
          </cell>
        </row>
        <row r="6138">
          <cell r="A6138">
            <v>40297</v>
          </cell>
          <cell r="B6138">
            <v>85.17</v>
          </cell>
        </row>
        <row r="6139">
          <cell r="A6139">
            <v>40298</v>
          </cell>
          <cell r="B6139">
            <v>86.07</v>
          </cell>
        </row>
        <row r="6140">
          <cell r="A6140">
            <v>40301</v>
          </cell>
          <cell r="B6140">
            <v>86.19</v>
          </cell>
        </row>
        <row r="6141">
          <cell r="A6141">
            <v>40302</v>
          </cell>
          <cell r="B6141">
            <v>82.73</v>
          </cell>
        </row>
        <row r="6142">
          <cell r="A6142">
            <v>40303</v>
          </cell>
          <cell r="B6142">
            <v>80</v>
          </cell>
        </row>
        <row r="6143">
          <cell r="A6143">
            <v>40304</v>
          </cell>
          <cell r="B6143">
            <v>77.180000000000007</v>
          </cell>
        </row>
        <row r="6144">
          <cell r="A6144">
            <v>40305</v>
          </cell>
          <cell r="B6144">
            <v>75.099999999999994</v>
          </cell>
        </row>
        <row r="6145">
          <cell r="A6145">
            <v>40308</v>
          </cell>
          <cell r="B6145">
            <v>76.89</v>
          </cell>
        </row>
        <row r="6146">
          <cell r="A6146">
            <v>40309</v>
          </cell>
          <cell r="B6146">
            <v>76.37</v>
          </cell>
        </row>
        <row r="6147">
          <cell r="A6147">
            <v>40310</v>
          </cell>
          <cell r="B6147">
            <v>75.650000000000006</v>
          </cell>
        </row>
        <row r="6148">
          <cell r="A6148">
            <v>40311</v>
          </cell>
          <cell r="B6148">
            <v>74.38</v>
          </cell>
        </row>
        <row r="6149">
          <cell r="A6149">
            <v>40312</v>
          </cell>
          <cell r="B6149">
            <v>71.61</v>
          </cell>
        </row>
        <row r="6150">
          <cell r="A6150">
            <v>40315</v>
          </cell>
          <cell r="B6150">
            <v>70.08</v>
          </cell>
        </row>
        <row r="6151">
          <cell r="A6151">
            <v>40316</v>
          </cell>
          <cell r="B6151">
            <v>69.38</v>
          </cell>
        </row>
        <row r="6152">
          <cell r="A6152">
            <v>40317</v>
          </cell>
          <cell r="B6152">
            <v>69.91</v>
          </cell>
        </row>
        <row r="6153">
          <cell r="A6153">
            <v>40318</v>
          </cell>
          <cell r="B6153">
            <v>68.28</v>
          </cell>
        </row>
        <row r="6154">
          <cell r="A6154">
            <v>40319</v>
          </cell>
          <cell r="B6154">
            <v>68.03</v>
          </cell>
        </row>
        <row r="6155">
          <cell r="A6155">
            <v>40322</v>
          </cell>
          <cell r="B6155">
            <v>68.23</v>
          </cell>
        </row>
        <row r="6156">
          <cell r="A6156">
            <v>40323</v>
          </cell>
          <cell r="B6156">
            <v>64.78</v>
          </cell>
        </row>
        <row r="6157">
          <cell r="A6157">
            <v>40324</v>
          </cell>
          <cell r="B6157">
            <v>71.52</v>
          </cell>
        </row>
        <row r="6158">
          <cell r="A6158">
            <v>40325</v>
          </cell>
          <cell r="B6158">
            <v>74.56</v>
          </cell>
        </row>
        <row r="6159">
          <cell r="A6159">
            <v>40326</v>
          </cell>
          <cell r="B6159">
            <v>74</v>
          </cell>
        </row>
        <row r="6160">
          <cell r="A6160">
            <v>40330</v>
          </cell>
          <cell r="B6160">
            <v>72.7</v>
          </cell>
        </row>
        <row r="6161">
          <cell r="A6161">
            <v>40331</v>
          </cell>
          <cell r="B6161">
            <v>72.88</v>
          </cell>
        </row>
        <row r="6162">
          <cell r="A6162">
            <v>40332</v>
          </cell>
          <cell r="B6162">
            <v>74.62</v>
          </cell>
        </row>
        <row r="6163">
          <cell r="A6163">
            <v>40333</v>
          </cell>
          <cell r="B6163">
            <v>71.430000000000007</v>
          </cell>
        </row>
        <row r="6164">
          <cell r="A6164">
            <v>40336</v>
          </cell>
          <cell r="B6164">
            <v>71.55</v>
          </cell>
        </row>
        <row r="6165">
          <cell r="A6165">
            <v>40337</v>
          </cell>
          <cell r="B6165">
            <v>71.88</v>
          </cell>
        </row>
        <row r="6166">
          <cell r="A6166">
            <v>40338</v>
          </cell>
          <cell r="B6166">
            <v>74.38</v>
          </cell>
        </row>
        <row r="6167">
          <cell r="A6167">
            <v>40339</v>
          </cell>
          <cell r="B6167">
            <v>75.48</v>
          </cell>
        </row>
        <row r="6168">
          <cell r="A6168">
            <v>40340</v>
          </cell>
          <cell r="B6168">
            <v>73.89</v>
          </cell>
        </row>
        <row r="6169">
          <cell r="A6169">
            <v>40343</v>
          </cell>
          <cell r="B6169">
            <v>74.989999999999995</v>
          </cell>
        </row>
        <row r="6170">
          <cell r="A6170">
            <v>40344</v>
          </cell>
          <cell r="B6170">
            <v>76.84</v>
          </cell>
        </row>
        <row r="6171">
          <cell r="A6171">
            <v>40345</v>
          </cell>
          <cell r="B6171">
            <v>77.67</v>
          </cell>
        </row>
        <row r="6172">
          <cell r="A6172">
            <v>40346</v>
          </cell>
          <cell r="B6172">
            <v>76.819999999999993</v>
          </cell>
        </row>
        <row r="6173">
          <cell r="A6173">
            <v>40347</v>
          </cell>
          <cell r="B6173">
            <v>77.180000000000007</v>
          </cell>
        </row>
        <row r="6174">
          <cell r="A6174">
            <v>40350</v>
          </cell>
          <cell r="B6174">
            <v>77.84</v>
          </cell>
        </row>
        <row r="6175">
          <cell r="A6175">
            <v>40351</v>
          </cell>
          <cell r="B6175">
            <v>77.150000000000006</v>
          </cell>
        </row>
        <row r="6176">
          <cell r="A6176">
            <v>40352</v>
          </cell>
          <cell r="B6176">
            <v>75.900000000000006</v>
          </cell>
        </row>
        <row r="6177">
          <cell r="A6177">
            <v>40353</v>
          </cell>
          <cell r="B6177">
            <v>75.959999999999994</v>
          </cell>
        </row>
        <row r="6178">
          <cell r="A6178">
            <v>40354</v>
          </cell>
          <cell r="B6178">
            <v>78.45</v>
          </cell>
        </row>
        <row r="6179">
          <cell r="A6179">
            <v>40357</v>
          </cell>
          <cell r="B6179">
            <v>78.260000000000005</v>
          </cell>
        </row>
        <row r="6180">
          <cell r="A6180">
            <v>40358</v>
          </cell>
          <cell r="B6180">
            <v>75.930000000000007</v>
          </cell>
        </row>
        <row r="6181">
          <cell r="A6181">
            <v>40359</v>
          </cell>
          <cell r="B6181">
            <v>75.59</v>
          </cell>
        </row>
        <row r="6182">
          <cell r="A6182">
            <v>40360</v>
          </cell>
          <cell r="B6182">
            <v>72.95</v>
          </cell>
        </row>
        <row r="6183">
          <cell r="A6183">
            <v>40361</v>
          </cell>
          <cell r="B6183">
            <v>72.06</v>
          </cell>
        </row>
        <row r="6184">
          <cell r="A6184">
            <v>40365</v>
          </cell>
          <cell r="B6184">
            <v>71.959999999999994</v>
          </cell>
        </row>
        <row r="6185">
          <cell r="A6185">
            <v>40366</v>
          </cell>
          <cell r="B6185">
            <v>74.05</v>
          </cell>
        </row>
        <row r="6186">
          <cell r="A6186">
            <v>40367</v>
          </cell>
          <cell r="B6186">
            <v>75.459999999999994</v>
          </cell>
        </row>
        <row r="6187">
          <cell r="A6187">
            <v>40368</v>
          </cell>
          <cell r="B6187">
            <v>76.08</v>
          </cell>
        </row>
        <row r="6188">
          <cell r="A6188">
            <v>40371</v>
          </cell>
          <cell r="B6188">
            <v>74.930000000000007</v>
          </cell>
        </row>
        <row r="6189">
          <cell r="A6189">
            <v>40372</v>
          </cell>
          <cell r="B6189">
            <v>77.16</v>
          </cell>
        </row>
        <row r="6190">
          <cell r="A6190">
            <v>40373</v>
          </cell>
          <cell r="B6190">
            <v>77.02</v>
          </cell>
        </row>
        <row r="6191">
          <cell r="A6191">
            <v>40374</v>
          </cell>
          <cell r="B6191">
            <v>76.67</v>
          </cell>
        </row>
        <row r="6192">
          <cell r="A6192">
            <v>40375</v>
          </cell>
          <cell r="B6192">
            <v>75.959999999999994</v>
          </cell>
        </row>
        <row r="6193">
          <cell r="A6193">
            <v>40378</v>
          </cell>
          <cell r="B6193">
            <v>76.53</v>
          </cell>
        </row>
        <row r="6194">
          <cell r="A6194">
            <v>40379</v>
          </cell>
          <cell r="B6194">
            <v>77.319999999999993</v>
          </cell>
        </row>
        <row r="6195">
          <cell r="A6195">
            <v>40380</v>
          </cell>
          <cell r="B6195">
            <v>76.27</v>
          </cell>
        </row>
        <row r="6196">
          <cell r="A6196">
            <v>40381</v>
          </cell>
          <cell r="B6196">
            <v>79.010000000000005</v>
          </cell>
        </row>
        <row r="6197">
          <cell r="A6197">
            <v>40382</v>
          </cell>
          <cell r="B6197">
            <v>78.680000000000007</v>
          </cell>
        </row>
        <row r="6198">
          <cell r="A6198">
            <v>40385</v>
          </cell>
          <cell r="B6198">
            <v>78.930000000000007</v>
          </cell>
        </row>
        <row r="6199">
          <cell r="A6199">
            <v>40386</v>
          </cell>
          <cell r="B6199">
            <v>77.459999999999994</v>
          </cell>
        </row>
        <row r="6200">
          <cell r="A6200">
            <v>40387</v>
          </cell>
          <cell r="B6200">
            <v>77.06</v>
          </cell>
        </row>
        <row r="6201">
          <cell r="A6201">
            <v>40388</v>
          </cell>
          <cell r="B6201">
            <v>78.3</v>
          </cell>
        </row>
        <row r="6202">
          <cell r="A6202">
            <v>40389</v>
          </cell>
          <cell r="B6202">
            <v>78.849999999999994</v>
          </cell>
        </row>
        <row r="6203">
          <cell r="A6203">
            <v>40392</v>
          </cell>
          <cell r="B6203">
            <v>81.25</v>
          </cell>
        </row>
        <row r="6204">
          <cell r="A6204">
            <v>40393</v>
          </cell>
          <cell r="B6204">
            <v>82.52</v>
          </cell>
        </row>
        <row r="6205">
          <cell r="A6205">
            <v>40394</v>
          </cell>
          <cell r="B6205">
            <v>82.49</v>
          </cell>
        </row>
        <row r="6206">
          <cell r="A6206">
            <v>40395</v>
          </cell>
          <cell r="B6206">
            <v>82</v>
          </cell>
        </row>
        <row r="6207">
          <cell r="A6207">
            <v>40396</v>
          </cell>
          <cell r="B6207">
            <v>80.67</v>
          </cell>
        </row>
        <row r="6208">
          <cell r="A6208">
            <v>40399</v>
          </cell>
          <cell r="B6208">
            <v>81.459999999999994</v>
          </cell>
        </row>
        <row r="6209">
          <cell r="A6209">
            <v>40400</v>
          </cell>
          <cell r="B6209">
            <v>80.239999999999995</v>
          </cell>
        </row>
        <row r="6210">
          <cell r="A6210">
            <v>40401</v>
          </cell>
          <cell r="B6210">
            <v>78.09</v>
          </cell>
        </row>
        <row r="6211">
          <cell r="A6211">
            <v>40402</v>
          </cell>
          <cell r="B6211">
            <v>75.680000000000007</v>
          </cell>
        </row>
        <row r="6212">
          <cell r="A6212">
            <v>40403</v>
          </cell>
          <cell r="B6212">
            <v>75.39</v>
          </cell>
        </row>
        <row r="6213">
          <cell r="A6213">
            <v>40406</v>
          </cell>
          <cell r="B6213">
            <v>75.17</v>
          </cell>
        </row>
        <row r="6214">
          <cell r="A6214">
            <v>40407</v>
          </cell>
          <cell r="B6214">
            <v>75.760000000000005</v>
          </cell>
        </row>
        <row r="6215">
          <cell r="A6215">
            <v>40408</v>
          </cell>
          <cell r="B6215">
            <v>75.39</v>
          </cell>
        </row>
        <row r="6216">
          <cell r="A6216">
            <v>40409</v>
          </cell>
          <cell r="B6216">
            <v>74.45</v>
          </cell>
        </row>
        <row r="6217">
          <cell r="A6217">
            <v>40410</v>
          </cell>
          <cell r="B6217">
            <v>73.45</v>
          </cell>
        </row>
        <row r="6218">
          <cell r="A6218">
            <v>40413</v>
          </cell>
          <cell r="B6218">
            <v>72.709999999999994</v>
          </cell>
        </row>
        <row r="6219">
          <cell r="A6219">
            <v>40414</v>
          </cell>
          <cell r="B6219">
            <v>71.239999999999995</v>
          </cell>
        </row>
        <row r="6220">
          <cell r="A6220">
            <v>40415</v>
          </cell>
          <cell r="B6220">
            <v>72.069999999999993</v>
          </cell>
        </row>
        <row r="6221">
          <cell r="A6221">
            <v>40416</v>
          </cell>
          <cell r="B6221">
            <v>73.36</v>
          </cell>
        </row>
        <row r="6222">
          <cell r="A6222">
            <v>40417</v>
          </cell>
          <cell r="B6222">
            <v>75.17</v>
          </cell>
        </row>
        <row r="6223">
          <cell r="A6223">
            <v>40420</v>
          </cell>
          <cell r="B6223">
            <v>74.69</v>
          </cell>
        </row>
        <row r="6224">
          <cell r="A6224">
            <v>40421</v>
          </cell>
          <cell r="B6224">
            <v>71.930000000000007</v>
          </cell>
        </row>
        <row r="6225">
          <cell r="A6225">
            <v>40422</v>
          </cell>
          <cell r="B6225">
            <v>73.97</v>
          </cell>
        </row>
        <row r="6226">
          <cell r="A6226">
            <v>40423</v>
          </cell>
          <cell r="B6226">
            <v>74.989999999999995</v>
          </cell>
        </row>
        <row r="6227">
          <cell r="A6227">
            <v>40424</v>
          </cell>
          <cell r="B6227">
            <v>74.52</v>
          </cell>
        </row>
        <row r="6228">
          <cell r="A6228">
            <v>40428</v>
          </cell>
          <cell r="B6228">
            <v>73.98</v>
          </cell>
        </row>
        <row r="6229">
          <cell r="A6229">
            <v>40429</v>
          </cell>
          <cell r="B6229">
            <v>74.650000000000006</v>
          </cell>
        </row>
        <row r="6230">
          <cell r="A6230">
            <v>40430</v>
          </cell>
          <cell r="B6230">
            <v>74.25</v>
          </cell>
        </row>
        <row r="6231">
          <cell r="A6231">
            <v>40431</v>
          </cell>
          <cell r="B6231">
            <v>76.400000000000006</v>
          </cell>
        </row>
        <row r="6232">
          <cell r="A6232">
            <v>40434</v>
          </cell>
          <cell r="B6232">
            <v>77.17</v>
          </cell>
        </row>
        <row r="6233">
          <cell r="A6233">
            <v>40435</v>
          </cell>
          <cell r="B6233">
            <v>76.78</v>
          </cell>
        </row>
        <row r="6234">
          <cell r="A6234">
            <v>40436</v>
          </cell>
          <cell r="B6234">
            <v>75.92</v>
          </cell>
        </row>
        <row r="6235">
          <cell r="A6235">
            <v>40437</v>
          </cell>
          <cell r="B6235">
            <v>74.58</v>
          </cell>
        </row>
        <row r="6236">
          <cell r="A6236">
            <v>40438</v>
          </cell>
          <cell r="B6236">
            <v>73.63</v>
          </cell>
        </row>
        <row r="6237">
          <cell r="A6237">
            <v>40441</v>
          </cell>
          <cell r="B6237">
            <v>74.81</v>
          </cell>
        </row>
        <row r="6238">
          <cell r="A6238">
            <v>40442</v>
          </cell>
          <cell r="B6238">
            <v>72.959999999999994</v>
          </cell>
        </row>
        <row r="6239">
          <cell r="A6239">
            <v>40443</v>
          </cell>
          <cell r="B6239">
            <v>72.98</v>
          </cell>
        </row>
        <row r="6240">
          <cell r="A6240">
            <v>40444</v>
          </cell>
          <cell r="B6240">
            <v>73.400000000000006</v>
          </cell>
        </row>
        <row r="6241">
          <cell r="A6241">
            <v>40445</v>
          </cell>
          <cell r="B6241">
            <v>74.63</v>
          </cell>
        </row>
        <row r="6242">
          <cell r="A6242">
            <v>40448</v>
          </cell>
          <cell r="B6242">
            <v>76.510000000000005</v>
          </cell>
        </row>
        <row r="6243">
          <cell r="A6243">
            <v>40449</v>
          </cell>
          <cell r="B6243">
            <v>76.150000000000006</v>
          </cell>
        </row>
        <row r="6244">
          <cell r="A6244">
            <v>40450</v>
          </cell>
          <cell r="B6244">
            <v>77.849999999999994</v>
          </cell>
        </row>
        <row r="6245">
          <cell r="A6245">
            <v>40451</v>
          </cell>
          <cell r="B6245">
            <v>79.95</v>
          </cell>
        </row>
        <row r="6246">
          <cell r="A6246">
            <v>40452</v>
          </cell>
          <cell r="B6246">
            <v>81.569999999999993</v>
          </cell>
        </row>
        <row r="6247">
          <cell r="A6247">
            <v>40455</v>
          </cell>
          <cell r="B6247">
            <v>81.430000000000007</v>
          </cell>
        </row>
        <row r="6248">
          <cell r="A6248">
            <v>40456</v>
          </cell>
          <cell r="B6248">
            <v>82.83</v>
          </cell>
        </row>
        <row r="6249">
          <cell r="A6249">
            <v>40457</v>
          </cell>
          <cell r="B6249">
            <v>83.21</v>
          </cell>
        </row>
        <row r="6250">
          <cell r="A6250">
            <v>40458</v>
          </cell>
          <cell r="B6250">
            <v>81.34</v>
          </cell>
        </row>
        <row r="6251">
          <cell r="A6251">
            <v>40459</v>
          </cell>
          <cell r="B6251">
            <v>82.66</v>
          </cell>
        </row>
        <row r="6252">
          <cell r="A6252">
            <v>40462</v>
          </cell>
          <cell r="B6252">
            <v>82.18</v>
          </cell>
        </row>
        <row r="6253">
          <cell r="A6253">
            <v>40463</v>
          </cell>
          <cell r="B6253">
            <v>81.67</v>
          </cell>
        </row>
        <row r="6254">
          <cell r="A6254">
            <v>40464</v>
          </cell>
          <cell r="B6254">
            <v>83.03</v>
          </cell>
        </row>
        <row r="6255">
          <cell r="A6255">
            <v>40465</v>
          </cell>
          <cell r="B6255">
            <v>82.71</v>
          </cell>
        </row>
        <row r="6256">
          <cell r="A6256">
            <v>40466</v>
          </cell>
          <cell r="B6256">
            <v>81.23</v>
          </cell>
        </row>
        <row r="6257">
          <cell r="A6257">
            <v>40469</v>
          </cell>
          <cell r="B6257">
            <v>83.06</v>
          </cell>
        </row>
        <row r="6258">
          <cell r="A6258">
            <v>40470</v>
          </cell>
          <cell r="B6258">
            <v>79.569999999999993</v>
          </cell>
        </row>
        <row r="6259">
          <cell r="A6259">
            <v>40471</v>
          </cell>
          <cell r="B6259">
            <v>81.93</v>
          </cell>
        </row>
        <row r="6260">
          <cell r="A6260">
            <v>40472</v>
          </cell>
          <cell r="B6260">
            <v>80.03</v>
          </cell>
        </row>
        <row r="6261">
          <cell r="A6261">
            <v>40473</v>
          </cell>
          <cell r="B6261">
            <v>81.150000000000006</v>
          </cell>
        </row>
        <row r="6262">
          <cell r="A6262">
            <v>40476</v>
          </cell>
          <cell r="B6262">
            <v>82</v>
          </cell>
        </row>
        <row r="6263">
          <cell r="A6263">
            <v>40477</v>
          </cell>
          <cell r="B6263">
            <v>82.6</v>
          </cell>
        </row>
        <row r="6264">
          <cell r="A6264">
            <v>40478</v>
          </cell>
          <cell r="B6264">
            <v>81.900000000000006</v>
          </cell>
        </row>
        <row r="6265">
          <cell r="A6265">
            <v>40479</v>
          </cell>
          <cell r="B6265">
            <v>82.2</v>
          </cell>
        </row>
        <row r="6266">
          <cell r="A6266">
            <v>40480</v>
          </cell>
          <cell r="B6266">
            <v>81.45</v>
          </cell>
        </row>
        <row r="6267">
          <cell r="A6267">
            <v>40483</v>
          </cell>
          <cell r="B6267">
            <v>82.94</v>
          </cell>
        </row>
        <row r="6268">
          <cell r="A6268">
            <v>40484</v>
          </cell>
          <cell r="B6268">
            <v>83.91</v>
          </cell>
        </row>
        <row r="6269">
          <cell r="A6269">
            <v>40485</v>
          </cell>
          <cell r="B6269">
            <v>84.45</v>
          </cell>
        </row>
        <row r="6270">
          <cell r="A6270">
            <v>40486</v>
          </cell>
          <cell r="B6270">
            <v>86.49</v>
          </cell>
        </row>
        <row r="6271">
          <cell r="A6271">
            <v>40487</v>
          </cell>
          <cell r="B6271">
            <v>86.85</v>
          </cell>
        </row>
        <row r="6272">
          <cell r="A6272">
            <v>40490</v>
          </cell>
          <cell r="B6272">
            <v>87.07</v>
          </cell>
        </row>
        <row r="6273">
          <cell r="A6273">
            <v>40491</v>
          </cell>
          <cell r="B6273">
            <v>87.04</v>
          </cell>
        </row>
        <row r="6274">
          <cell r="A6274">
            <v>40492</v>
          </cell>
          <cell r="B6274">
            <v>87.77</v>
          </cell>
        </row>
        <row r="6275">
          <cell r="A6275">
            <v>40493</v>
          </cell>
          <cell r="B6275">
            <v>87.77</v>
          </cell>
        </row>
        <row r="6276">
          <cell r="A6276">
            <v>40494</v>
          </cell>
          <cell r="B6276">
            <v>84.89</v>
          </cell>
        </row>
        <row r="6277">
          <cell r="A6277">
            <v>40497</v>
          </cell>
          <cell r="B6277">
            <v>84.88</v>
          </cell>
        </row>
        <row r="6278">
          <cell r="A6278">
            <v>40498</v>
          </cell>
          <cell r="B6278">
            <v>82.33</v>
          </cell>
        </row>
        <row r="6279">
          <cell r="A6279">
            <v>40499</v>
          </cell>
          <cell r="B6279">
            <v>80.430000000000007</v>
          </cell>
        </row>
        <row r="6280">
          <cell r="A6280">
            <v>40500</v>
          </cell>
          <cell r="B6280">
            <v>81.88</v>
          </cell>
        </row>
        <row r="6281">
          <cell r="A6281">
            <v>40501</v>
          </cell>
          <cell r="B6281">
            <v>81.650000000000006</v>
          </cell>
        </row>
        <row r="6282">
          <cell r="A6282">
            <v>40504</v>
          </cell>
          <cell r="B6282">
            <v>81.239999999999995</v>
          </cell>
        </row>
        <row r="6283">
          <cell r="A6283">
            <v>40505</v>
          </cell>
          <cell r="B6283">
            <v>80.790000000000006</v>
          </cell>
        </row>
        <row r="6284">
          <cell r="A6284">
            <v>40506</v>
          </cell>
          <cell r="B6284">
            <v>83.21</v>
          </cell>
        </row>
        <row r="6285">
          <cell r="A6285">
            <v>40508</v>
          </cell>
          <cell r="B6285">
            <v>83.87</v>
          </cell>
        </row>
        <row r="6286">
          <cell r="A6286">
            <v>40511</v>
          </cell>
          <cell r="B6286">
            <v>85.73</v>
          </cell>
        </row>
        <row r="6287">
          <cell r="A6287">
            <v>40512</v>
          </cell>
          <cell r="B6287">
            <v>84.12</v>
          </cell>
        </row>
        <row r="6288">
          <cell r="A6288">
            <v>40513</v>
          </cell>
          <cell r="B6288">
            <v>86.75</v>
          </cell>
        </row>
        <row r="6289">
          <cell r="A6289">
            <v>40514</v>
          </cell>
          <cell r="B6289">
            <v>87.98</v>
          </cell>
        </row>
        <row r="6290">
          <cell r="A6290">
            <v>40515</v>
          </cell>
          <cell r="B6290">
            <v>89.18</v>
          </cell>
        </row>
        <row r="6291">
          <cell r="A6291">
            <v>40518</v>
          </cell>
          <cell r="B6291">
            <v>89.33</v>
          </cell>
        </row>
        <row r="6292">
          <cell r="A6292">
            <v>40519</v>
          </cell>
          <cell r="B6292">
            <v>88.69</v>
          </cell>
        </row>
        <row r="6293">
          <cell r="A6293">
            <v>40520</v>
          </cell>
          <cell r="B6293">
            <v>88.3</v>
          </cell>
        </row>
        <row r="6294">
          <cell r="A6294">
            <v>40521</v>
          </cell>
          <cell r="B6294">
            <v>88.35</v>
          </cell>
        </row>
        <row r="6295">
          <cell r="A6295">
            <v>40522</v>
          </cell>
          <cell r="B6295">
            <v>87.81</v>
          </cell>
        </row>
        <row r="6296">
          <cell r="A6296">
            <v>40525</v>
          </cell>
          <cell r="B6296">
            <v>88.62</v>
          </cell>
        </row>
        <row r="6297">
          <cell r="A6297">
            <v>40526</v>
          </cell>
          <cell r="B6297">
            <v>88.33</v>
          </cell>
        </row>
        <row r="6298">
          <cell r="A6298">
            <v>40527</v>
          </cell>
          <cell r="B6298">
            <v>88.66</v>
          </cell>
        </row>
        <row r="6299">
          <cell r="A6299">
            <v>40528</v>
          </cell>
          <cell r="B6299">
            <v>87.71</v>
          </cell>
        </row>
        <row r="6300">
          <cell r="A6300">
            <v>40529</v>
          </cell>
          <cell r="B6300">
            <v>88.02</v>
          </cell>
        </row>
        <row r="6301">
          <cell r="A6301">
            <v>40532</v>
          </cell>
          <cell r="B6301">
            <v>88.68</v>
          </cell>
        </row>
        <row r="6302">
          <cell r="A6302">
            <v>40533</v>
          </cell>
          <cell r="B6302">
            <v>89.3</v>
          </cell>
        </row>
        <row r="6303">
          <cell r="A6303">
            <v>40534</v>
          </cell>
          <cell r="B6303">
            <v>89.83</v>
          </cell>
        </row>
        <row r="6304">
          <cell r="A6304">
            <v>40535</v>
          </cell>
          <cell r="B6304">
            <v>90.84</v>
          </cell>
        </row>
        <row r="6305">
          <cell r="A6305">
            <v>40539</v>
          </cell>
          <cell r="B6305">
            <v>90.99</v>
          </cell>
        </row>
        <row r="6306">
          <cell r="A6306">
            <v>40540</v>
          </cell>
          <cell r="B6306">
            <v>91.48</v>
          </cell>
        </row>
        <row r="6307">
          <cell r="A6307">
            <v>40541</v>
          </cell>
          <cell r="B6307">
            <v>91.13</v>
          </cell>
        </row>
        <row r="6308">
          <cell r="A6308">
            <v>40542</v>
          </cell>
          <cell r="B6308">
            <v>89.85</v>
          </cell>
        </row>
        <row r="6309">
          <cell r="A6309">
            <v>40543</v>
          </cell>
          <cell r="B6309">
            <v>91.38</v>
          </cell>
        </row>
        <row r="6310">
          <cell r="A6310">
            <v>40546</v>
          </cell>
          <cell r="B6310">
            <v>91.59</v>
          </cell>
        </row>
        <row r="6311">
          <cell r="A6311">
            <v>40547</v>
          </cell>
          <cell r="B6311">
            <v>89.39</v>
          </cell>
        </row>
        <row r="6312">
          <cell r="A6312">
            <v>40548</v>
          </cell>
          <cell r="B6312">
            <v>90.3</v>
          </cell>
        </row>
        <row r="6313">
          <cell r="A6313">
            <v>40549</v>
          </cell>
          <cell r="B6313">
            <v>88.37</v>
          </cell>
        </row>
        <row r="6314">
          <cell r="A6314">
            <v>40550</v>
          </cell>
          <cell r="B6314">
            <v>88.07</v>
          </cell>
        </row>
        <row r="6315">
          <cell r="A6315">
            <v>40553</v>
          </cell>
          <cell r="B6315">
            <v>89.24</v>
          </cell>
        </row>
        <row r="6316">
          <cell r="A6316">
            <v>40554</v>
          </cell>
          <cell r="B6316">
            <v>91.11</v>
          </cell>
        </row>
        <row r="6317">
          <cell r="A6317">
            <v>40555</v>
          </cell>
          <cell r="B6317">
            <v>91.85</v>
          </cell>
        </row>
        <row r="6318">
          <cell r="A6318">
            <v>40556</v>
          </cell>
          <cell r="B6318">
            <v>91.39</v>
          </cell>
        </row>
        <row r="6319">
          <cell r="A6319">
            <v>40557</v>
          </cell>
          <cell r="B6319">
            <v>91.53</v>
          </cell>
        </row>
        <row r="6320">
          <cell r="A6320">
            <v>40561</v>
          </cell>
          <cell r="B6320">
            <v>91.38</v>
          </cell>
        </row>
        <row r="6321">
          <cell r="A6321">
            <v>40562</v>
          </cell>
          <cell r="B6321">
            <v>90.85</v>
          </cell>
        </row>
        <row r="6322">
          <cell r="A6322">
            <v>40563</v>
          </cell>
          <cell r="B6322">
            <v>88.56</v>
          </cell>
        </row>
        <row r="6323">
          <cell r="A6323">
            <v>40564</v>
          </cell>
          <cell r="B6323">
            <v>88.22</v>
          </cell>
        </row>
        <row r="6324">
          <cell r="A6324">
            <v>40567</v>
          </cell>
          <cell r="B6324">
            <v>86.74</v>
          </cell>
        </row>
        <row r="6325">
          <cell r="A6325">
            <v>40568</v>
          </cell>
          <cell r="B6325">
            <v>85.08</v>
          </cell>
        </row>
        <row r="6326">
          <cell r="A6326">
            <v>40569</v>
          </cell>
          <cell r="B6326">
            <v>86.15</v>
          </cell>
        </row>
        <row r="6327">
          <cell r="A6327">
            <v>40570</v>
          </cell>
          <cell r="B6327">
            <v>84.45</v>
          </cell>
        </row>
        <row r="6328">
          <cell r="A6328">
            <v>40571</v>
          </cell>
          <cell r="B6328">
            <v>88.15</v>
          </cell>
        </row>
        <row r="6329">
          <cell r="A6329">
            <v>40574</v>
          </cell>
          <cell r="B6329">
            <v>90.99</v>
          </cell>
        </row>
        <row r="6330">
          <cell r="A6330">
            <v>40575</v>
          </cell>
          <cell r="B6330">
            <v>89.54</v>
          </cell>
        </row>
        <row r="6331">
          <cell r="A6331">
            <v>40576</v>
          </cell>
          <cell r="B6331">
            <v>89.78</v>
          </cell>
        </row>
        <row r="6332">
          <cell r="A6332">
            <v>40577</v>
          </cell>
          <cell r="B6332">
            <v>89.42</v>
          </cell>
        </row>
        <row r="6333">
          <cell r="A6333">
            <v>40578</v>
          </cell>
          <cell r="B6333">
            <v>87.87</v>
          </cell>
        </row>
        <row r="6334">
          <cell r="A6334">
            <v>40581</v>
          </cell>
          <cell r="B6334">
            <v>86.3</v>
          </cell>
        </row>
        <row r="6335">
          <cell r="A6335">
            <v>40582</v>
          </cell>
          <cell r="B6335">
            <v>85.85</v>
          </cell>
        </row>
        <row r="6336">
          <cell r="A6336">
            <v>40583</v>
          </cell>
          <cell r="B6336">
            <v>85.59</v>
          </cell>
        </row>
        <row r="6337">
          <cell r="A6337">
            <v>40584</v>
          </cell>
          <cell r="B6337">
            <v>85.44</v>
          </cell>
        </row>
        <row r="6338">
          <cell r="A6338">
            <v>40585</v>
          </cell>
          <cell r="B6338">
            <v>84.39</v>
          </cell>
        </row>
        <row r="6339">
          <cell r="A6339">
            <v>40588</v>
          </cell>
          <cell r="B6339">
            <v>83.66</v>
          </cell>
        </row>
        <row r="6340">
          <cell r="A6340">
            <v>40589</v>
          </cell>
          <cell r="B6340">
            <v>83.13</v>
          </cell>
        </row>
        <row r="6341">
          <cell r="A6341">
            <v>40590</v>
          </cell>
          <cell r="B6341">
            <v>83.8</v>
          </cell>
        </row>
        <row r="6342">
          <cell r="A6342">
            <v>40591</v>
          </cell>
          <cell r="B6342">
            <v>85.05</v>
          </cell>
        </row>
        <row r="6343">
          <cell r="A6343">
            <v>40592</v>
          </cell>
          <cell r="B6343">
            <v>85.03</v>
          </cell>
        </row>
        <row r="6344">
          <cell r="A6344">
            <v>40596</v>
          </cell>
          <cell r="B6344">
            <v>92.65</v>
          </cell>
        </row>
        <row r="6345">
          <cell r="A6345">
            <v>40597</v>
          </cell>
          <cell r="B6345">
            <v>96.04</v>
          </cell>
        </row>
        <row r="6346">
          <cell r="A6346">
            <v>40598</v>
          </cell>
          <cell r="B6346">
            <v>95.83</v>
          </cell>
        </row>
        <row r="6347">
          <cell r="A6347">
            <v>40599</v>
          </cell>
          <cell r="B6347">
            <v>96.52</v>
          </cell>
        </row>
        <row r="6348">
          <cell r="A6348">
            <v>40602</v>
          </cell>
          <cell r="B6348">
            <v>97.1</v>
          </cell>
        </row>
        <row r="6349">
          <cell r="A6349">
            <v>40603</v>
          </cell>
          <cell r="B6349">
            <v>99.63</v>
          </cell>
        </row>
        <row r="6350">
          <cell r="A6350">
            <v>40604</v>
          </cell>
          <cell r="B6350">
            <v>102.27</v>
          </cell>
        </row>
        <row r="6351">
          <cell r="A6351">
            <v>40605</v>
          </cell>
          <cell r="B6351">
            <v>101.92</v>
          </cell>
        </row>
        <row r="6352">
          <cell r="A6352">
            <v>40606</v>
          </cell>
          <cell r="B6352">
            <v>104.34</v>
          </cell>
        </row>
        <row r="6353">
          <cell r="A6353">
            <v>40609</v>
          </cell>
          <cell r="B6353">
            <v>105.37</v>
          </cell>
        </row>
        <row r="6354">
          <cell r="A6354">
            <v>40610</v>
          </cell>
          <cell r="B6354">
            <v>105.06</v>
          </cell>
        </row>
        <row r="6355">
          <cell r="A6355">
            <v>40611</v>
          </cell>
          <cell r="B6355">
            <v>104.39</v>
          </cell>
        </row>
        <row r="6356">
          <cell r="A6356">
            <v>40612</v>
          </cell>
          <cell r="B6356">
            <v>102.73</v>
          </cell>
        </row>
        <row r="6357">
          <cell r="A6357">
            <v>40613</v>
          </cell>
          <cell r="B6357">
            <v>101.14</v>
          </cell>
        </row>
        <row r="6358">
          <cell r="A6358">
            <v>40616</v>
          </cell>
          <cell r="B6358">
            <v>101.2</v>
          </cell>
        </row>
        <row r="6359">
          <cell r="A6359">
            <v>40617</v>
          </cell>
          <cell r="B6359">
            <v>97.23</v>
          </cell>
        </row>
        <row r="6360">
          <cell r="A6360">
            <v>40618</v>
          </cell>
          <cell r="B6360">
            <v>97.99</v>
          </cell>
        </row>
        <row r="6361">
          <cell r="A6361">
            <v>40619</v>
          </cell>
          <cell r="B6361">
            <v>101.47</v>
          </cell>
        </row>
        <row r="6362">
          <cell r="A6362">
            <v>40620</v>
          </cell>
          <cell r="B6362">
            <v>101.06</v>
          </cell>
        </row>
        <row r="6363">
          <cell r="A6363">
            <v>40623</v>
          </cell>
          <cell r="B6363">
            <v>102.36</v>
          </cell>
        </row>
        <row r="6364">
          <cell r="A6364">
            <v>40624</v>
          </cell>
          <cell r="B6364">
            <v>104.53</v>
          </cell>
        </row>
        <row r="6365">
          <cell r="A6365">
            <v>40625</v>
          </cell>
          <cell r="B6365">
            <v>105.21</v>
          </cell>
        </row>
        <row r="6366">
          <cell r="A6366">
            <v>40626</v>
          </cell>
          <cell r="B6366">
            <v>105.04</v>
          </cell>
        </row>
        <row r="6367">
          <cell r="A6367">
            <v>40627</v>
          </cell>
          <cell r="B6367">
            <v>104.89</v>
          </cell>
        </row>
        <row r="6368">
          <cell r="A6368">
            <v>40630</v>
          </cell>
          <cell r="B6368">
            <v>103.54</v>
          </cell>
        </row>
        <row r="6369">
          <cell r="A6369">
            <v>40631</v>
          </cell>
          <cell r="B6369">
            <v>104.34</v>
          </cell>
        </row>
        <row r="6370">
          <cell r="A6370">
            <v>40632</v>
          </cell>
          <cell r="B6370">
            <v>103.8</v>
          </cell>
        </row>
        <row r="6371">
          <cell r="A6371">
            <v>40633</v>
          </cell>
          <cell r="B6371">
            <v>106.19</v>
          </cell>
        </row>
        <row r="6372">
          <cell r="A6372">
            <v>40634</v>
          </cell>
          <cell r="B6372">
            <v>107.55</v>
          </cell>
        </row>
        <row r="6373">
          <cell r="A6373">
            <v>40637</v>
          </cell>
          <cell r="B6373">
            <v>108.14</v>
          </cell>
        </row>
        <row r="6374">
          <cell r="A6374">
            <v>40638</v>
          </cell>
          <cell r="B6374">
            <v>107.82</v>
          </cell>
        </row>
        <row r="6375">
          <cell r="A6375">
            <v>40639</v>
          </cell>
          <cell r="B6375">
            <v>108.38</v>
          </cell>
        </row>
        <row r="6376">
          <cell r="A6376">
            <v>40640</v>
          </cell>
          <cell r="B6376">
            <v>109.82</v>
          </cell>
        </row>
        <row r="6377">
          <cell r="A6377">
            <v>40641</v>
          </cell>
          <cell r="B6377">
            <v>112.27</v>
          </cell>
        </row>
        <row r="6378">
          <cell r="A6378">
            <v>40644</v>
          </cell>
          <cell r="B6378">
            <v>109.5</v>
          </cell>
        </row>
        <row r="6379">
          <cell r="A6379">
            <v>40645</v>
          </cell>
          <cell r="B6379">
            <v>105.75</v>
          </cell>
        </row>
        <row r="6380">
          <cell r="A6380">
            <v>40646</v>
          </cell>
          <cell r="B6380">
            <v>106.6</v>
          </cell>
        </row>
        <row r="6381">
          <cell r="A6381">
            <v>40647</v>
          </cell>
          <cell r="B6381">
            <v>107.73</v>
          </cell>
        </row>
        <row r="6382">
          <cell r="A6382">
            <v>40648</v>
          </cell>
          <cell r="B6382">
            <v>109.17</v>
          </cell>
        </row>
        <row r="6383">
          <cell r="A6383">
            <v>40651</v>
          </cell>
          <cell r="B6383">
            <v>106.7</v>
          </cell>
        </row>
        <row r="6384">
          <cell r="A6384">
            <v>40652</v>
          </cell>
          <cell r="B6384">
            <v>107.18</v>
          </cell>
        </row>
        <row r="6385">
          <cell r="A6385">
            <v>40653</v>
          </cell>
          <cell r="B6385">
            <v>110.84</v>
          </cell>
        </row>
        <row r="6386">
          <cell r="A6386">
            <v>40654</v>
          </cell>
          <cell r="B6386">
            <v>111.72</v>
          </cell>
        </row>
        <row r="6387">
          <cell r="A6387">
            <v>40658</v>
          </cell>
          <cell r="B6387">
            <v>111.68</v>
          </cell>
        </row>
        <row r="6388">
          <cell r="A6388">
            <v>40659</v>
          </cell>
          <cell r="B6388">
            <v>111.72</v>
          </cell>
        </row>
        <row r="6389">
          <cell r="A6389">
            <v>40660</v>
          </cell>
          <cell r="B6389">
            <v>112.31</v>
          </cell>
        </row>
        <row r="6390">
          <cell r="A6390">
            <v>40661</v>
          </cell>
          <cell r="B6390">
            <v>112.38</v>
          </cell>
        </row>
        <row r="6391">
          <cell r="A6391">
            <v>40662</v>
          </cell>
          <cell r="B6391">
            <v>113.39</v>
          </cell>
        </row>
        <row r="6392">
          <cell r="A6392">
            <v>40665</v>
          </cell>
          <cell r="B6392">
            <v>113.03</v>
          </cell>
        </row>
        <row r="6393">
          <cell r="A6393">
            <v>40666</v>
          </cell>
          <cell r="B6393">
            <v>110.6</v>
          </cell>
        </row>
        <row r="6394">
          <cell r="A6394">
            <v>40667</v>
          </cell>
          <cell r="B6394">
            <v>108.79</v>
          </cell>
        </row>
        <row r="6395">
          <cell r="A6395">
            <v>40668</v>
          </cell>
          <cell r="B6395">
            <v>99.89</v>
          </cell>
        </row>
        <row r="6396">
          <cell r="A6396">
            <v>40669</v>
          </cell>
          <cell r="B6396">
            <v>96.87</v>
          </cell>
        </row>
        <row r="6397">
          <cell r="A6397">
            <v>40672</v>
          </cell>
          <cell r="B6397">
            <v>100.32</v>
          </cell>
        </row>
        <row r="6398">
          <cell r="A6398">
            <v>40673</v>
          </cell>
          <cell r="B6398">
            <v>103.39</v>
          </cell>
        </row>
        <row r="6399">
          <cell r="A6399">
            <v>40674</v>
          </cell>
          <cell r="B6399">
            <v>97.88</v>
          </cell>
        </row>
        <row r="6400">
          <cell r="A6400">
            <v>40675</v>
          </cell>
          <cell r="B6400">
            <v>98.53</v>
          </cell>
        </row>
        <row r="6401">
          <cell r="A6401">
            <v>40676</v>
          </cell>
          <cell r="B6401">
            <v>99.21</v>
          </cell>
        </row>
        <row r="6402">
          <cell r="A6402">
            <v>40679</v>
          </cell>
          <cell r="B6402">
            <v>96.91</v>
          </cell>
        </row>
        <row r="6403">
          <cell r="A6403">
            <v>40680</v>
          </cell>
          <cell r="B6403">
            <v>96.4</v>
          </cell>
        </row>
        <row r="6404">
          <cell r="A6404">
            <v>40681</v>
          </cell>
          <cell r="B6404">
            <v>99.52</v>
          </cell>
        </row>
        <row r="6405">
          <cell r="A6405">
            <v>40682</v>
          </cell>
          <cell r="B6405">
            <v>97.99</v>
          </cell>
        </row>
        <row r="6406">
          <cell r="A6406">
            <v>40683</v>
          </cell>
          <cell r="B6406">
            <v>99.15</v>
          </cell>
        </row>
        <row r="6407">
          <cell r="A6407">
            <v>40686</v>
          </cell>
          <cell r="B6407">
            <v>97.06</v>
          </cell>
        </row>
        <row r="6408">
          <cell r="A6408">
            <v>40687</v>
          </cell>
          <cell r="B6408">
            <v>99.13</v>
          </cell>
        </row>
        <row r="6409">
          <cell r="A6409">
            <v>40688</v>
          </cell>
          <cell r="B6409">
            <v>100.78</v>
          </cell>
        </row>
        <row r="6410">
          <cell r="A6410">
            <v>40689</v>
          </cell>
          <cell r="B6410">
            <v>100.18</v>
          </cell>
        </row>
        <row r="6411">
          <cell r="A6411">
            <v>40690</v>
          </cell>
          <cell r="B6411">
            <v>100.58</v>
          </cell>
        </row>
        <row r="6412">
          <cell r="A6412">
            <v>40694</v>
          </cell>
          <cell r="B6412">
            <v>102.7</v>
          </cell>
        </row>
        <row r="6413">
          <cell r="A6413">
            <v>40695</v>
          </cell>
          <cell r="B6413">
            <v>100.3</v>
          </cell>
        </row>
        <row r="6414">
          <cell r="A6414">
            <v>40696</v>
          </cell>
          <cell r="B6414">
            <v>100.41</v>
          </cell>
        </row>
        <row r="6415">
          <cell r="A6415">
            <v>40697</v>
          </cell>
          <cell r="B6415">
            <v>100.28</v>
          </cell>
        </row>
        <row r="6416">
          <cell r="A6416">
            <v>40700</v>
          </cell>
          <cell r="B6416">
            <v>99.07</v>
          </cell>
        </row>
        <row r="6417">
          <cell r="A6417">
            <v>40701</v>
          </cell>
          <cell r="B6417">
            <v>99.18</v>
          </cell>
        </row>
        <row r="6418">
          <cell r="A6418">
            <v>40702</v>
          </cell>
          <cell r="B6418">
            <v>100.77</v>
          </cell>
        </row>
        <row r="6419">
          <cell r="A6419">
            <v>40703</v>
          </cell>
          <cell r="B6419">
            <v>101.95</v>
          </cell>
        </row>
        <row r="6420">
          <cell r="A6420">
            <v>40704</v>
          </cell>
          <cell r="B6420">
            <v>99.3</v>
          </cell>
        </row>
        <row r="6421">
          <cell r="A6421">
            <v>40707</v>
          </cell>
          <cell r="B6421">
            <v>97.2</v>
          </cell>
        </row>
        <row r="6422">
          <cell r="A6422">
            <v>40708</v>
          </cell>
          <cell r="B6422">
            <v>99.37</v>
          </cell>
        </row>
        <row r="6423">
          <cell r="A6423">
            <v>40709</v>
          </cell>
          <cell r="B6423">
            <v>94.83</v>
          </cell>
        </row>
        <row r="6424">
          <cell r="A6424">
            <v>40710</v>
          </cell>
          <cell r="B6424">
            <v>94.95</v>
          </cell>
        </row>
        <row r="6425">
          <cell r="A6425">
            <v>40711</v>
          </cell>
          <cell r="B6425">
            <v>93.02</v>
          </cell>
        </row>
        <row r="6426">
          <cell r="A6426">
            <v>40714</v>
          </cell>
          <cell r="B6426">
            <v>93.23</v>
          </cell>
        </row>
        <row r="6427">
          <cell r="A6427">
            <v>40715</v>
          </cell>
          <cell r="B6427">
            <v>93.7</v>
          </cell>
        </row>
        <row r="6428">
          <cell r="A6428">
            <v>40716</v>
          </cell>
          <cell r="B6428">
            <v>94.96</v>
          </cell>
        </row>
        <row r="6429">
          <cell r="A6429">
            <v>40717</v>
          </cell>
          <cell r="B6429">
            <v>90.7</v>
          </cell>
        </row>
        <row r="6430">
          <cell r="A6430">
            <v>40718</v>
          </cell>
          <cell r="B6430">
            <v>90.89</v>
          </cell>
        </row>
        <row r="6431">
          <cell r="A6431">
            <v>40721</v>
          </cell>
          <cell r="B6431">
            <v>90.65</v>
          </cell>
        </row>
        <row r="6432">
          <cell r="A6432">
            <v>40722</v>
          </cell>
          <cell r="B6432">
            <v>92.9</v>
          </cell>
        </row>
        <row r="6433">
          <cell r="A6433">
            <v>40723</v>
          </cell>
          <cell r="B6433">
            <v>94.85</v>
          </cell>
        </row>
        <row r="6434">
          <cell r="A6434">
            <v>40724</v>
          </cell>
          <cell r="B6434">
            <v>95.3</v>
          </cell>
        </row>
        <row r="6435">
          <cell r="A6435">
            <v>40725</v>
          </cell>
          <cell r="B6435">
            <v>94.81</v>
          </cell>
        </row>
        <row r="6436">
          <cell r="A6436">
            <v>40729</v>
          </cell>
          <cell r="B6436">
            <v>96.92</v>
          </cell>
        </row>
        <row r="6437">
          <cell r="A6437">
            <v>40730</v>
          </cell>
          <cell r="B6437">
            <v>96.67</v>
          </cell>
        </row>
        <row r="6438">
          <cell r="A6438">
            <v>40731</v>
          </cell>
          <cell r="B6438">
            <v>98.7</v>
          </cell>
        </row>
        <row r="6439">
          <cell r="A6439">
            <v>40732</v>
          </cell>
          <cell r="B6439">
            <v>96.2</v>
          </cell>
        </row>
        <row r="6440">
          <cell r="A6440">
            <v>40735</v>
          </cell>
          <cell r="B6440">
            <v>95.16</v>
          </cell>
        </row>
        <row r="6441">
          <cell r="A6441">
            <v>40736</v>
          </cell>
          <cell r="B6441">
            <v>97.41</v>
          </cell>
        </row>
        <row r="6442">
          <cell r="A6442">
            <v>40737</v>
          </cell>
          <cell r="B6442">
            <v>98.04</v>
          </cell>
        </row>
        <row r="6443">
          <cell r="A6443">
            <v>40738</v>
          </cell>
          <cell r="B6443">
            <v>95.75</v>
          </cell>
        </row>
        <row r="6444">
          <cell r="A6444">
            <v>40739</v>
          </cell>
          <cell r="B6444">
            <v>97.24</v>
          </cell>
        </row>
        <row r="6445">
          <cell r="A6445">
            <v>40742</v>
          </cell>
          <cell r="B6445">
            <v>95.94</v>
          </cell>
        </row>
        <row r="6446">
          <cell r="A6446">
            <v>40743</v>
          </cell>
          <cell r="B6446">
            <v>97.49</v>
          </cell>
        </row>
        <row r="6447">
          <cell r="A6447">
            <v>40744</v>
          </cell>
          <cell r="B6447">
            <v>98.11</v>
          </cell>
        </row>
        <row r="6448">
          <cell r="A6448">
            <v>40745</v>
          </cell>
          <cell r="B6448">
            <v>98.96</v>
          </cell>
        </row>
        <row r="6449">
          <cell r="A6449">
            <v>40746</v>
          </cell>
          <cell r="B6449">
            <v>99.53</v>
          </cell>
        </row>
        <row r="6450">
          <cell r="A6450">
            <v>40749</v>
          </cell>
          <cell r="B6450">
            <v>98.97</v>
          </cell>
        </row>
        <row r="6451">
          <cell r="A6451">
            <v>40750</v>
          </cell>
          <cell r="B6451">
            <v>99.61</v>
          </cell>
        </row>
        <row r="6452">
          <cell r="A6452">
            <v>40751</v>
          </cell>
          <cell r="B6452">
            <v>97.4</v>
          </cell>
        </row>
        <row r="6453">
          <cell r="A6453">
            <v>40752</v>
          </cell>
          <cell r="B6453">
            <v>97.48</v>
          </cell>
        </row>
        <row r="6454">
          <cell r="A6454">
            <v>40753</v>
          </cell>
          <cell r="B6454">
            <v>95.68</v>
          </cell>
        </row>
        <row r="6455">
          <cell r="A6455">
            <v>40756</v>
          </cell>
          <cell r="B6455">
            <v>94.98</v>
          </cell>
        </row>
        <row r="6456">
          <cell r="A6456">
            <v>40757</v>
          </cell>
          <cell r="B6456">
            <v>93.78</v>
          </cell>
        </row>
        <row r="6457">
          <cell r="A6457">
            <v>40758</v>
          </cell>
          <cell r="B6457">
            <v>91.87</v>
          </cell>
        </row>
        <row r="6458">
          <cell r="A6458">
            <v>40759</v>
          </cell>
          <cell r="B6458">
            <v>86.75</v>
          </cell>
        </row>
        <row r="6459">
          <cell r="A6459">
            <v>40760</v>
          </cell>
          <cell r="B6459">
            <v>86.89</v>
          </cell>
        </row>
        <row r="6460">
          <cell r="A6460">
            <v>40763</v>
          </cell>
          <cell r="B6460">
            <v>81.27</v>
          </cell>
        </row>
        <row r="6461">
          <cell r="A6461">
            <v>40764</v>
          </cell>
          <cell r="B6461">
            <v>79.319999999999993</v>
          </cell>
        </row>
        <row r="6462">
          <cell r="A6462">
            <v>40765</v>
          </cell>
          <cell r="B6462">
            <v>83.05</v>
          </cell>
        </row>
        <row r="6463">
          <cell r="A6463">
            <v>40766</v>
          </cell>
          <cell r="B6463">
            <v>85.48</v>
          </cell>
        </row>
        <row r="6464">
          <cell r="A6464">
            <v>40767</v>
          </cell>
          <cell r="B6464">
            <v>85.19</v>
          </cell>
        </row>
        <row r="6465">
          <cell r="A6465">
            <v>40770</v>
          </cell>
          <cell r="B6465">
            <v>87.88</v>
          </cell>
        </row>
        <row r="6466">
          <cell r="A6466">
            <v>40771</v>
          </cell>
          <cell r="B6466">
            <v>86.65</v>
          </cell>
        </row>
        <row r="6467">
          <cell r="A6467">
            <v>40772</v>
          </cell>
          <cell r="B6467">
            <v>87.58</v>
          </cell>
        </row>
        <row r="6468">
          <cell r="A6468">
            <v>40773</v>
          </cell>
          <cell r="B6468">
            <v>82.38</v>
          </cell>
        </row>
        <row r="6469">
          <cell r="A6469">
            <v>40774</v>
          </cell>
          <cell r="B6469">
            <v>82.33</v>
          </cell>
        </row>
        <row r="6470">
          <cell r="A6470">
            <v>40777</v>
          </cell>
          <cell r="B6470">
            <v>84.42</v>
          </cell>
        </row>
        <row r="6471">
          <cell r="A6471">
            <v>40778</v>
          </cell>
          <cell r="B6471">
            <v>85.35</v>
          </cell>
        </row>
        <row r="6472">
          <cell r="A6472">
            <v>40779</v>
          </cell>
          <cell r="B6472">
            <v>84.99</v>
          </cell>
        </row>
        <row r="6473">
          <cell r="A6473">
            <v>40780</v>
          </cell>
          <cell r="B6473">
            <v>85.15</v>
          </cell>
        </row>
        <row r="6474">
          <cell r="A6474">
            <v>40781</v>
          </cell>
          <cell r="B6474">
            <v>85.37</v>
          </cell>
        </row>
        <row r="6475">
          <cell r="A6475">
            <v>40784</v>
          </cell>
          <cell r="B6475">
            <v>87.27</v>
          </cell>
        </row>
        <row r="6476">
          <cell r="A6476">
            <v>40785</v>
          </cell>
          <cell r="B6476">
            <v>88.9</v>
          </cell>
        </row>
        <row r="6477">
          <cell r="A6477">
            <v>40786</v>
          </cell>
          <cell r="B6477">
            <v>88.81</v>
          </cell>
        </row>
        <row r="6478">
          <cell r="A6478">
            <v>40787</v>
          </cell>
          <cell r="B6478">
            <v>88.93</v>
          </cell>
        </row>
        <row r="6479">
          <cell r="A6479">
            <v>40788</v>
          </cell>
          <cell r="B6479">
            <v>86.45</v>
          </cell>
        </row>
        <row r="6480">
          <cell r="A6480">
            <v>40792</v>
          </cell>
          <cell r="B6480">
            <v>85.99</v>
          </cell>
        </row>
        <row r="6481">
          <cell r="A6481">
            <v>40793</v>
          </cell>
          <cell r="B6481">
            <v>89.34</v>
          </cell>
        </row>
        <row r="6482">
          <cell r="A6482">
            <v>40794</v>
          </cell>
          <cell r="B6482">
            <v>89.05</v>
          </cell>
        </row>
        <row r="6483">
          <cell r="A6483">
            <v>40795</v>
          </cell>
          <cell r="B6483">
            <v>87.24</v>
          </cell>
        </row>
        <row r="6484">
          <cell r="A6484">
            <v>40798</v>
          </cell>
          <cell r="B6484">
            <v>88.19</v>
          </cell>
        </row>
        <row r="6485">
          <cell r="A6485">
            <v>40799</v>
          </cell>
          <cell r="B6485">
            <v>90.21</v>
          </cell>
        </row>
        <row r="6486">
          <cell r="A6486">
            <v>40800</v>
          </cell>
          <cell r="B6486">
            <v>88.91</v>
          </cell>
        </row>
        <row r="6487">
          <cell r="A6487">
            <v>40801</v>
          </cell>
          <cell r="B6487">
            <v>89.4</v>
          </cell>
        </row>
        <row r="6488">
          <cell r="A6488">
            <v>40802</v>
          </cell>
          <cell r="B6488">
            <v>87.96</v>
          </cell>
        </row>
        <row r="6489">
          <cell r="A6489">
            <v>40805</v>
          </cell>
          <cell r="B6489">
            <v>85.7</v>
          </cell>
        </row>
        <row r="6490">
          <cell r="A6490">
            <v>40806</v>
          </cell>
          <cell r="B6490">
            <v>86.92</v>
          </cell>
        </row>
        <row r="6491">
          <cell r="A6491">
            <v>40807</v>
          </cell>
          <cell r="B6491">
            <v>85.77</v>
          </cell>
        </row>
        <row r="6492">
          <cell r="A6492">
            <v>40808</v>
          </cell>
          <cell r="B6492">
            <v>80.290000000000006</v>
          </cell>
        </row>
        <row r="6493">
          <cell r="A6493">
            <v>40809</v>
          </cell>
          <cell r="B6493">
            <v>79.58</v>
          </cell>
        </row>
        <row r="6494">
          <cell r="A6494">
            <v>40812</v>
          </cell>
          <cell r="B6494">
            <v>79.97</v>
          </cell>
        </row>
        <row r="6495">
          <cell r="A6495">
            <v>40813</v>
          </cell>
          <cell r="B6495">
            <v>84.18</v>
          </cell>
        </row>
        <row r="6496">
          <cell r="A6496">
            <v>40814</v>
          </cell>
          <cell r="B6496">
            <v>80.94</v>
          </cell>
        </row>
        <row r="6497">
          <cell r="A6497">
            <v>40815</v>
          </cell>
          <cell r="B6497">
            <v>81.87</v>
          </cell>
        </row>
        <row r="6498">
          <cell r="A6498">
            <v>40816</v>
          </cell>
          <cell r="B6498">
            <v>78.930000000000007</v>
          </cell>
        </row>
        <row r="6499">
          <cell r="A6499">
            <v>40819</v>
          </cell>
          <cell r="B6499">
            <v>77.34</v>
          </cell>
        </row>
        <row r="6500">
          <cell r="A6500">
            <v>40820</v>
          </cell>
          <cell r="B6500">
            <v>75.400000000000006</v>
          </cell>
        </row>
        <row r="6501">
          <cell r="A6501">
            <v>40821</v>
          </cell>
          <cell r="B6501">
            <v>79.41</v>
          </cell>
        </row>
        <row r="6502">
          <cell r="A6502">
            <v>40822</v>
          </cell>
          <cell r="B6502">
            <v>82.32</v>
          </cell>
        </row>
        <row r="6503">
          <cell r="A6503">
            <v>40823</v>
          </cell>
          <cell r="B6503">
            <v>82.7</v>
          </cell>
        </row>
        <row r="6504">
          <cell r="A6504">
            <v>40826</v>
          </cell>
          <cell r="B6504">
            <v>85.14</v>
          </cell>
        </row>
        <row r="6505">
          <cell r="A6505">
            <v>40827</v>
          </cell>
          <cell r="B6505">
            <v>85.54</v>
          </cell>
        </row>
        <row r="6506">
          <cell r="A6506">
            <v>40828</v>
          </cell>
          <cell r="B6506">
            <v>85.3</v>
          </cell>
        </row>
        <row r="6507">
          <cell r="A6507">
            <v>40829</v>
          </cell>
          <cell r="B6507">
            <v>83.96</v>
          </cell>
        </row>
        <row r="6508">
          <cell r="A6508">
            <v>40830</v>
          </cell>
          <cell r="B6508">
            <v>86.8</v>
          </cell>
        </row>
        <row r="6509">
          <cell r="A6509">
            <v>40833</v>
          </cell>
          <cell r="B6509">
            <v>86.38</v>
          </cell>
        </row>
        <row r="6510">
          <cell r="A6510">
            <v>40834</v>
          </cell>
          <cell r="B6510">
            <v>88.34</v>
          </cell>
        </row>
        <row r="6511">
          <cell r="A6511">
            <v>40835</v>
          </cell>
          <cell r="B6511">
            <v>86.11</v>
          </cell>
        </row>
        <row r="6512">
          <cell r="A6512">
            <v>40836</v>
          </cell>
          <cell r="B6512">
            <v>86.07</v>
          </cell>
        </row>
        <row r="6513">
          <cell r="A6513">
            <v>40837</v>
          </cell>
          <cell r="B6513">
            <v>87.19</v>
          </cell>
        </row>
        <row r="6514">
          <cell r="A6514">
            <v>40840</v>
          </cell>
          <cell r="B6514">
            <v>91.12</v>
          </cell>
        </row>
        <row r="6515">
          <cell r="A6515">
            <v>40841</v>
          </cell>
          <cell r="B6515">
            <v>92.98</v>
          </cell>
        </row>
        <row r="6516">
          <cell r="A6516">
            <v>40842</v>
          </cell>
          <cell r="B6516">
            <v>90.2</v>
          </cell>
        </row>
        <row r="6517">
          <cell r="A6517">
            <v>40843</v>
          </cell>
          <cell r="B6517">
            <v>93.96</v>
          </cell>
        </row>
        <row r="6518">
          <cell r="A6518">
            <v>40844</v>
          </cell>
          <cell r="B6518">
            <v>93.32</v>
          </cell>
        </row>
        <row r="6519">
          <cell r="A6519">
            <v>40847</v>
          </cell>
          <cell r="B6519">
            <v>93.19</v>
          </cell>
        </row>
        <row r="6520">
          <cell r="A6520">
            <v>40848</v>
          </cell>
          <cell r="B6520">
            <v>92.19</v>
          </cell>
        </row>
        <row r="6521">
          <cell r="A6521">
            <v>40849</v>
          </cell>
          <cell r="B6521">
            <v>92.51</v>
          </cell>
        </row>
        <row r="6522">
          <cell r="A6522">
            <v>40850</v>
          </cell>
          <cell r="B6522">
            <v>94.07</v>
          </cell>
        </row>
        <row r="6523">
          <cell r="A6523">
            <v>40851</v>
          </cell>
          <cell r="B6523">
            <v>94.26</v>
          </cell>
        </row>
        <row r="6524">
          <cell r="A6524">
            <v>40854</v>
          </cell>
          <cell r="B6524">
            <v>95.52</v>
          </cell>
        </row>
        <row r="6525">
          <cell r="A6525">
            <v>40855</v>
          </cell>
          <cell r="B6525">
            <v>96.8</v>
          </cell>
        </row>
        <row r="6526">
          <cell r="A6526">
            <v>40856</v>
          </cell>
          <cell r="B6526">
            <v>95.74</v>
          </cell>
        </row>
        <row r="6527">
          <cell r="A6527">
            <v>40857</v>
          </cell>
          <cell r="B6527">
            <v>97.78</v>
          </cell>
        </row>
        <row r="6528">
          <cell r="A6528">
            <v>40858</v>
          </cell>
          <cell r="B6528">
            <v>98.99</v>
          </cell>
        </row>
        <row r="6529">
          <cell r="A6529">
            <v>40861</v>
          </cell>
          <cell r="B6529">
            <v>98.14</v>
          </cell>
        </row>
        <row r="6530">
          <cell r="A6530">
            <v>40862</v>
          </cell>
          <cell r="B6530">
            <v>99.37</v>
          </cell>
        </row>
        <row r="6531">
          <cell r="A6531">
            <v>40863</v>
          </cell>
          <cell r="B6531">
            <v>102.59</v>
          </cell>
        </row>
        <row r="6532">
          <cell r="A6532">
            <v>40864</v>
          </cell>
          <cell r="B6532">
            <v>98.82</v>
          </cell>
        </row>
        <row r="6533">
          <cell r="A6533">
            <v>40865</v>
          </cell>
          <cell r="B6533">
            <v>97.67</v>
          </cell>
        </row>
        <row r="6534">
          <cell r="A6534">
            <v>40868</v>
          </cell>
          <cell r="B6534">
            <v>96.73</v>
          </cell>
        </row>
        <row r="6535">
          <cell r="A6535">
            <v>40869</v>
          </cell>
          <cell r="B6535">
            <v>97.76</v>
          </cell>
        </row>
        <row r="6536">
          <cell r="A6536">
            <v>40870</v>
          </cell>
          <cell r="B6536">
            <v>96.16</v>
          </cell>
        </row>
        <row r="6537">
          <cell r="A6537">
            <v>40872</v>
          </cell>
          <cell r="B6537">
            <v>96.91</v>
          </cell>
        </row>
        <row r="6538">
          <cell r="A6538">
            <v>40875</v>
          </cell>
          <cell r="B6538">
            <v>98.21</v>
          </cell>
        </row>
        <row r="6539">
          <cell r="A6539">
            <v>40876</v>
          </cell>
          <cell r="B6539">
            <v>99.79</v>
          </cell>
        </row>
        <row r="6540">
          <cell r="A6540">
            <v>40877</v>
          </cell>
          <cell r="B6540">
            <v>100.36</v>
          </cell>
        </row>
        <row r="6541">
          <cell r="A6541">
            <v>40878</v>
          </cell>
          <cell r="B6541">
            <v>100.2</v>
          </cell>
        </row>
        <row r="6542">
          <cell r="A6542">
            <v>40879</v>
          </cell>
          <cell r="B6542">
            <v>100.97</v>
          </cell>
        </row>
        <row r="6543">
          <cell r="A6543">
            <v>40882</v>
          </cell>
          <cell r="B6543">
            <v>100.94</v>
          </cell>
        </row>
        <row r="6544">
          <cell r="A6544">
            <v>40883</v>
          </cell>
          <cell r="B6544">
            <v>101.25</v>
          </cell>
        </row>
        <row r="6545">
          <cell r="A6545">
            <v>40884</v>
          </cell>
          <cell r="B6545">
            <v>100.45</v>
          </cell>
        </row>
        <row r="6546">
          <cell r="A6546">
            <v>40885</v>
          </cell>
          <cell r="B6546">
            <v>98.35</v>
          </cell>
        </row>
        <row r="6547">
          <cell r="A6547">
            <v>40886</v>
          </cell>
          <cell r="B6547">
            <v>99.4</v>
          </cell>
        </row>
        <row r="6548">
          <cell r="A6548">
            <v>40889</v>
          </cell>
          <cell r="B6548">
            <v>97.77</v>
          </cell>
        </row>
        <row r="6549">
          <cell r="A6549">
            <v>40890</v>
          </cell>
          <cell r="B6549">
            <v>100.24</v>
          </cell>
        </row>
        <row r="6550">
          <cell r="A6550">
            <v>40891</v>
          </cell>
          <cell r="B6550">
            <v>94.92</v>
          </cell>
        </row>
        <row r="6551">
          <cell r="A6551">
            <v>40892</v>
          </cell>
          <cell r="B6551">
            <v>93.84</v>
          </cell>
        </row>
        <row r="6552">
          <cell r="A6552">
            <v>40893</v>
          </cell>
          <cell r="B6552">
            <v>93.55</v>
          </cell>
        </row>
        <row r="6553">
          <cell r="A6553">
            <v>40896</v>
          </cell>
          <cell r="B6553">
            <v>93.86</v>
          </cell>
        </row>
        <row r="6554">
          <cell r="A6554">
            <v>40897</v>
          </cell>
          <cell r="B6554">
            <v>97.16</v>
          </cell>
        </row>
        <row r="6555">
          <cell r="A6555">
            <v>40898</v>
          </cell>
          <cell r="B6555">
            <v>98.54</v>
          </cell>
        </row>
        <row r="6556">
          <cell r="A6556">
            <v>40899</v>
          </cell>
          <cell r="B6556">
            <v>99.42</v>
          </cell>
        </row>
        <row r="6557">
          <cell r="A6557">
            <v>40900</v>
          </cell>
          <cell r="B6557">
            <v>99.72</v>
          </cell>
        </row>
        <row r="6558">
          <cell r="A6558">
            <v>40904</v>
          </cell>
          <cell r="B6558">
            <v>101.29</v>
          </cell>
        </row>
        <row r="6559">
          <cell r="A6559">
            <v>40905</v>
          </cell>
          <cell r="B6559">
            <v>99.44</v>
          </cell>
        </row>
        <row r="6560">
          <cell r="A6560">
            <v>40906</v>
          </cell>
          <cell r="B6560">
            <v>99.68</v>
          </cell>
        </row>
        <row r="6561">
          <cell r="A6561">
            <v>40907</v>
          </cell>
          <cell r="B6561">
            <v>98.83</v>
          </cell>
        </row>
        <row r="6562">
          <cell r="A6562">
            <v>40911</v>
          </cell>
          <cell r="B6562">
            <v>102.96</v>
          </cell>
        </row>
        <row r="6563">
          <cell r="A6563">
            <v>40912</v>
          </cell>
          <cell r="B6563">
            <v>103.22</v>
          </cell>
        </row>
        <row r="6564">
          <cell r="A6564">
            <v>40913</v>
          </cell>
          <cell r="B6564">
            <v>101.81</v>
          </cell>
        </row>
        <row r="6565">
          <cell r="A6565">
            <v>40914</v>
          </cell>
          <cell r="B6565">
            <v>101.56</v>
          </cell>
        </row>
        <row r="6566">
          <cell r="A6566">
            <v>40917</v>
          </cell>
          <cell r="B6566">
            <v>101.31</v>
          </cell>
        </row>
        <row r="6567">
          <cell r="A6567">
            <v>40918</v>
          </cell>
          <cell r="B6567">
            <v>102.24</v>
          </cell>
        </row>
        <row r="6568">
          <cell r="A6568">
            <v>40919</v>
          </cell>
          <cell r="B6568">
            <v>100.89</v>
          </cell>
        </row>
        <row r="6569">
          <cell r="A6569">
            <v>40920</v>
          </cell>
          <cell r="B6569">
            <v>99.03</v>
          </cell>
        </row>
        <row r="6570">
          <cell r="A6570">
            <v>40921</v>
          </cell>
          <cell r="B6570">
            <v>98.69</v>
          </cell>
        </row>
        <row r="6571">
          <cell r="A6571">
            <v>40925</v>
          </cell>
          <cell r="B6571">
            <v>100.7</v>
          </cell>
        </row>
        <row r="6572">
          <cell r="A6572">
            <v>40926</v>
          </cell>
          <cell r="B6572">
            <v>100.61</v>
          </cell>
        </row>
        <row r="6573">
          <cell r="A6573">
            <v>40927</v>
          </cell>
          <cell r="B6573">
            <v>100.32</v>
          </cell>
        </row>
        <row r="6574">
          <cell r="A6574">
            <v>40928</v>
          </cell>
          <cell r="B6574">
            <v>98.15</v>
          </cell>
        </row>
        <row r="6575">
          <cell r="A6575">
            <v>40931</v>
          </cell>
          <cell r="B6575">
            <v>99.47</v>
          </cell>
        </row>
        <row r="6576">
          <cell r="A6576">
            <v>40932</v>
          </cell>
          <cell r="B6576">
            <v>98.84</v>
          </cell>
        </row>
        <row r="6577">
          <cell r="A6577">
            <v>40933</v>
          </cell>
          <cell r="B6577">
            <v>99.23</v>
          </cell>
        </row>
        <row r="6578">
          <cell r="A6578">
            <v>40934</v>
          </cell>
          <cell r="B6578">
            <v>99.76</v>
          </cell>
        </row>
        <row r="6579">
          <cell r="A6579">
            <v>40935</v>
          </cell>
          <cell r="B6579">
            <v>99.47</v>
          </cell>
        </row>
        <row r="6580">
          <cell r="A6580">
            <v>40938</v>
          </cell>
          <cell r="B6580">
            <v>98.75</v>
          </cell>
        </row>
        <row r="6581">
          <cell r="A6581">
            <v>40939</v>
          </cell>
          <cell r="B6581">
            <v>98.46</v>
          </cell>
        </row>
        <row r="6582">
          <cell r="A6582">
            <v>40940</v>
          </cell>
          <cell r="B6582">
            <v>97.63</v>
          </cell>
        </row>
        <row r="6583">
          <cell r="A6583">
            <v>40941</v>
          </cell>
          <cell r="B6583">
            <v>96.36</v>
          </cell>
        </row>
        <row r="6584">
          <cell r="A6584">
            <v>40942</v>
          </cell>
          <cell r="B6584">
            <v>97.8</v>
          </cell>
        </row>
        <row r="6585">
          <cell r="A6585">
            <v>40945</v>
          </cell>
          <cell r="B6585">
            <v>96.89</v>
          </cell>
        </row>
        <row r="6586">
          <cell r="A6586">
            <v>40946</v>
          </cell>
          <cell r="B6586">
            <v>98.55</v>
          </cell>
        </row>
        <row r="6587">
          <cell r="A6587">
            <v>40947</v>
          </cell>
          <cell r="B6587">
            <v>98.8</v>
          </cell>
        </row>
        <row r="6588">
          <cell r="A6588">
            <v>40948</v>
          </cell>
          <cell r="B6588">
            <v>99.88</v>
          </cell>
        </row>
        <row r="6589">
          <cell r="A6589">
            <v>40949</v>
          </cell>
          <cell r="B6589">
            <v>98.68</v>
          </cell>
        </row>
        <row r="6590">
          <cell r="A6590">
            <v>40952</v>
          </cell>
          <cell r="B6590">
            <v>100.39</v>
          </cell>
        </row>
        <row r="6591">
          <cell r="A6591">
            <v>40953</v>
          </cell>
          <cell r="B6591">
            <v>100.82</v>
          </cell>
        </row>
        <row r="6592">
          <cell r="A6592">
            <v>40954</v>
          </cell>
          <cell r="B6592">
            <v>101.82</v>
          </cell>
        </row>
        <row r="6593">
          <cell r="A6593">
            <v>40955</v>
          </cell>
          <cell r="B6593">
            <v>102.33</v>
          </cell>
        </row>
        <row r="6594">
          <cell r="A6594">
            <v>40956</v>
          </cell>
          <cell r="B6594">
            <v>103.27</v>
          </cell>
        </row>
        <row r="6595">
          <cell r="A6595">
            <v>40960</v>
          </cell>
          <cell r="B6595">
            <v>105.88</v>
          </cell>
        </row>
        <row r="6596">
          <cell r="A6596">
            <v>40961</v>
          </cell>
          <cell r="B6596">
            <v>105.99</v>
          </cell>
        </row>
        <row r="6597">
          <cell r="A6597">
            <v>40962</v>
          </cell>
          <cell r="B6597">
            <v>107.44</v>
          </cell>
        </row>
        <row r="6598">
          <cell r="A6598">
            <v>40963</v>
          </cell>
          <cell r="B6598">
            <v>109.39</v>
          </cell>
        </row>
        <row r="6599">
          <cell r="A6599">
            <v>40966</v>
          </cell>
          <cell r="B6599">
            <v>108.49</v>
          </cell>
        </row>
        <row r="6600">
          <cell r="A6600">
            <v>40967</v>
          </cell>
          <cell r="B6600">
            <v>106.59</v>
          </cell>
        </row>
        <row r="6601">
          <cell r="A6601">
            <v>40968</v>
          </cell>
          <cell r="B6601">
            <v>107.08</v>
          </cell>
        </row>
        <row r="6602">
          <cell r="A6602">
            <v>40969</v>
          </cell>
          <cell r="B6602">
            <v>108.76</v>
          </cell>
        </row>
        <row r="6603">
          <cell r="A6603">
            <v>40970</v>
          </cell>
          <cell r="B6603">
            <v>106.68</v>
          </cell>
        </row>
        <row r="6604">
          <cell r="A6604">
            <v>40973</v>
          </cell>
          <cell r="B6604">
            <v>106.7</v>
          </cell>
        </row>
        <row r="6605">
          <cell r="A6605">
            <v>40974</v>
          </cell>
          <cell r="B6605">
            <v>104.71</v>
          </cell>
        </row>
        <row r="6606">
          <cell r="A6606">
            <v>40975</v>
          </cell>
          <cell r="B6606">
            <v>106.16</v>
          </cell>
        </row>
        <row r="6607">
          <cell r="A6607">
            <v>40976</v>
          </cell>
          <cell r="B6607">
            <v>106.65</v>
          </cell>
        </row>
        <row r="6608">
          <cell r="A6608">
            <v>40977</v>
          </cell>
          <cell r="B6608">
            <v>107.4</v>
          </cell>
        </row>
        <row r="6609">
          <cell r="A6609">
            <v>40980</v>
          </cell>
          <cell r="B6609">
            <v>106.34</v>
          </cell>
        </row>
        <row r="6610">
          <cell r="A6610">
            <v>40981</v>
          </cell>
          <cell r="B6610">
            <v>106.7</v>
          </cell>
        </row>
        <row r="6611">
          <cell r="A6611">
            <v>40982</v>
          </cell>
          <cell r="B6611">
            <v>105.49</v>
          </cell>
        </row>
        <row r="6612">
          <cell r="A6612">
            <v>40983</v>
          </cell>
          <cell r="B6612">
            <v>105.19</v>
          </cell>
        </row>
        <row r="6613">
          <cell r="A6613">
            <v>40984</v>
          </cell>
          <cell r="B6613">
            <v>107.03</v>
          </cell>
        </row>
        <row r="6614">
          <cell r="A6614">
            <v>40987</v>
          </cell>
          <cell r="B6614">
            <v>108.09</v>
          </cell>
        </row>
        <row r="6615">
          <cell r="A6615">
            <v>40988</v>
          </cell>
          <cell r="B6615">
            <v>105.68</v>
          </cell>
        </row>
        <row r="6616">
          <cell r="A6616">
            <v>40989</v>
          </cell>
          <cell r="B6616">
            <v>106.87</v>
          </cell>
        </row>
        <row r="6617">
          <cell r="A6617">
            <v>40990</v>
          </cell>
          <cell r="B6617">
            <v>104.98</v>
          </cell>
        </row>
        <row r="6618">
          <cell r="A6618">
            <v>40991</v>
          </cell>
          <cell r="B6618">
            <v>106.43</v>
          </cell>
        </row>
        <row r="6619">
          <cell r="A6619">
            <v>40994</v>
          </cell>
          <cell r="B6619">
            <v>107.07</v>
          </cell>
        </row>
        <row r="6620">
          <cell r="A6620">
            <v>40995</v>
          </cell>
          <cell r="B6620">
            <v>107.32</v>
          </cell>
        </row>
        <row r="6621">
          <cell r="A6621">
            <v>40996</v>
          </cell>
          <cell r="B6621">
            <v>105.4</v>
          </cell>
        </row>
        <row r="6622">
          <cell r="A6622">
            <v>40997</v>
          </cell>
          <cell r="B6622">
            <v>102.79</v>
          </cell>
        </row>
        <row r="6623">
          <cell r="A6623">
            <v>40998</v>
          </cell>
          <cell r="B6623">
            <v>103.03</v>
          </cell>
        </row>
        <row r="6624">
          <cell r="A6624">
            <v>41001</v>
          </cell>
          <cell r="B6624">
            <v>105.25</v>
          </cell>
        </row>
        <row r="6625">
          <cell r="A6625">
            <v>41002</v>
          </cell>
          <cell r="B6625">
            <v>104.02</v>
          </cell>
        </row>
        <row r="6626">
          <cell r="A6626">
            <v>41003</v>
          </cell>
          <cell r="B6626">
            <v>101.53</v>
          </cell>
        </row>
        <row r="6627">
          <cell r="A6627">
            <v>41004</v>
          </cell>
          <cell r="B6627">
            <v>103.29</v>
          </cell>
        </row>
        <row r="6628">
          <cell r="A6628">
            <v>41008</v>
          </cell>
          <cell r="B6628">
            <v>102.45</v>
          </cell>
        </row>
        <row r="6629">
          <cell r="A6629">
            <v>41009</v>
          </cell>
          <cell r="B6629">
            <v>101.12</v>
          </cell>
        </row>
        <row r="6630">
          <cell r="A6630">
            <v>41010</v>
          </cell>
          <cell r="B6630">
            <v>102.66</v>
          </cell>
        </row>
        <row r="6631">
          <cell r="A6631">
            <v>41011</v>
          </cell>
          <cell r="B6631">
            <v>103.69</v>
          </cell>
        </row>
        <row r="6632">
          <cell r="A6632">
            <v>41012</v>
          </cell>
          <cell r="B6632">
            <v>102.84</v>
          </cell>
        </row>
        <row r="6633">
          <cell r="A6633">
            <v>41015</v>
          </cell>
          <cell r="B6633">
            <v>102.92</v>
          </cell>
        </row>
        <row r="6634">
          <cell r="A6634">
            <v>41016</v>
          </cell>
          <cell r="B6634">
            <v>104.23</v>
          </cell>
        </row>
        <row r="6635">
          <cell r="A6635">
            <v>41017</v>
          </cell>
          <cell r="B6635">
            <v>102.65</v>
          </cell>
        </row>
        <row r="6636">
          <cell r="A6636">
            <v>41018</v>
          </cell>
          <cell r="B6636">
            <v>102.38</v>
          </cell>
        </row>
        <row r="6637">
          <cell r="A6637">
            <v>41019</v>
          </cell>
          <cell r="B6637">
            <v>103.58</v>
          </cell>
        </row>
        <row r="6638">
          <cell r="A6638">
            <v>41022</v>
          </cell>
          <cell r="B6638">
            <v>102.68</v>
          </cell>
        </row>
        <row r="6639">
          <cell r="A6639">
            <v>41023</v>
          </cell>
          <cell r="B6639">
            <v>103.1</v>
          </cell>
        </row>
        <row r="6640">
          <cell r="A6640">
            <v>41024</v>
          </cell>
          <cell r="B6640">
            <v>103.72</v>
          </cell>
        </row>
        <row r="6641">
          <cell r="A6641">
            <v>41025</v>
          </cell>
          <cell r="B6641">
            <v>104.56</v>
          </cell>
        </row>
        <row r="6642">
          <cell r="A6642">
            <v>41026</v>
          </cell>
          <cell r="B6642">
            <v>104.86</v>
          </cell>
        </row>
        <row r="6643">
          <cell r="A6643">
            <v>41029</v>
          </cell>
          <cell r="B6643">
            <v>104.89</v>
          </cell>
        </row>
        <row r="6644">
          <cell r="A6644">
            <v>41030</v>
          </cell>
          <cell r="B6644">
            <v>106.17</v>
          </cell>
        </row>
        <row r="6645">
          <cell r="A6645">
            <v>41031</v>
          </cell>
          <cell r="B6645">
            <v>105.25</v>
          </cell>
        </row>
        <row r="6646">
          <cell r="A6646">
            <v>41032</v>
          </cell>
          <cell r="B6646">
            <v>102.56</v>
          </cell>
        </row>
        <row r="6647">
          <cell r="A6647">
            <v>41033</v>
          </cell>
          <cell r="B6647">
            <v>98.49</v>
          </cell>
        </row>
        <row r="6648">
          <cell r="A6648">
            <v>41036</v>
          </cell>
          <cell r="B6648">
            <v>97.86</v>
          </cell>
        </row>
        <row r="6649">
          <cell r="A6649">
            <v>41037</v>
          </cell>
          <cell r="B6649">
            <v>97.13</v>
          </cell>
        </row>
        <row r="6650">
          <cell r="A6650">
            <v>41038</v>
          </cell>
          <cell r="B6650">
            <v>96.8</v>
          </cell>
        </row>
        <row r="6651">
          <cell r="A6651">
            <v>41039</v>
          </cell>
          <cell r="B6651">
            <v>97.1</v>
          </cell>
        </row>
        <row r="6652">
          <cell r="A6652">
            <v>41040</v>
          </cell>
          <cell r="B6652">
            <v>96.03</v>
          </cell>
        </row>
        <row r="6653">
          <cell r="A6653">
            <v>41043</v>
          </cell>
          <cell r="B6653">
            <v>94.75</v>
          </cell>
        </row>
        <row r="6654">
          <cell r="A6654">
            <v>41044</v>
          </cell>
          <cell r="B6654">
            <v>93.97</v>
          </cell>
        </row>
        <row r="6655">
          <cell r="A6655">
            <v>41045</v>
          </cell>
          <cell r="B6655">
            <v>92.78</v>
          </cell>
        </row>
        <row r="6656">
          <cell r="A6656">
            <v>41046</v>
          </cell>
          <cell r="B6656">
            <v>92.53</v>
          </cell>
        </row>
        <row r="6657">
          <cell r="A6657">
            <v>41047</v>
          </cell>
          <cell r="B6657">
            <v>91.51</v>
          </cell>
        </row>
        <row r="6658">
          <cell r="A6658">
            <v>41050</v>
          </cell>
          <cell r="B6658">
            <v>92.57</v>
          </cell>
        </row>
        <row r="6659">
          <cell r="A6659">
            <v>41051</v>
          </cell>
          <cell r="B6659">
            <v>91.44</v>
          </cell>
        </row>
        <row r="6660">
          <cell r="A6660">
            <v>41052</v>
          </cell>
          <cell r="B6660">
            <v>89.4</v>
          </cell>
        </row>
        <row r="6661">
          <cell r="A6661">
            <v>41053</v>
          </cell>
          <cell r="B6661">
            <v>90.36</v>
          </cell>
        </row>
        <row r="6662">
          <cell r="A6662">
            <v>41054</v>
          </cell>
          <cell r="B6662">
            <v>90.64</v>
          </cell>
        </row>
        <row r="6663">
          <cell r="A6663">
            <v>41058</v>
          </cell>
          <cell r="B6663">
            <v>90.75</v>
          </cell>
        </row>
        <row r="6664">
          <cell r="A6664">
            <v>41059</v>
          </cell>
          <cell r="B6664">
            <v>87.79</v>
          </cell>
        </row>
        <row r="6665">
          <cell r="A6665">
            <v>41060</v>
          </cell>
          <cell r="B6665">
            <v>86.52</v>
          </cell>
        </row>
        <row r="6666">
          <cell r="A6666">
            <v>41061</v>
          </cell>
          <cell r="B6666">
            <v>83.17</v>
          </cell>
        </row>
        <row r="6667">
          <cell r="A6667">
            <v>41064</v>
          </cell>
          <cell r="B6667">
            <v>83.95</v>
          </cell>
        </row>
        <row r="6668">
          <cell r="A6668">
            <v>41065</v>
          </cell>
          <cell r="B6668">
            <v>84.31</v>
          </cell>
        </row>
        <row r="6669">
          <cell r="A6669">
            <v>41066</v>
          </cell>
          <cell r="B6669">
            <v>85.05</v>
          </cell>
        </row>
        <row r="6670">
          <cell r="A6670">
            <v>41067</v>
          </cell>
          <cell r="B6670">
            <v>84.78</v>
          </cell>
        </row>
        <row r="6671">
          <cell r="A6671">
            <v>41068</v>
          </cell>
          <cell r="B6671">
            <v>84.08</v>
          </cell>
        </row>
        <row r="6672">
          <cell r="A6672">
            <v>41071</v>
          </cell>
          <cell r="B6672">
            <v>82.58</v>
          </cell>
        </row>
        <row r="6673">
          <cell r="A6673">
            <v>41072</v>
          </cell>
          <cell r="B6673">
            <v>83.35</v>
          </cell>
        </row>
        <row r="6674">
          <cell r="A6674">
            <v>41073</v>
          </cell>
          <cell r="B6674">
            <v>82.56</v>
          </cell>
        </row>
        <row r="6675">
          <cell r="A6675">
            <v>41074</v>
          </cell>
          <cell r="B6675">
            <v>83.83</v>
          </cell>
        </row>
        <row r="6676">
          <cell r="A6676">
            <v>41075</v>
          </cell>
          <cell r="B6676">
            <v>84.03</v>
          </cell>
        </row>
        <row r="6677">
          <cell r="A6677">
            <v>41078</v>
          </cell>
          <cell r="B6677">
            <v>83.26</v>
          </cell>
        </row>
        <row r="6678">
          <cell r="A6678">
            <v>41079</v>
          </cell>
          <cell r="B6678">
            <v>83.99</v>
          </cell>
        </row>
        <row r="6679">
          <cell r="A6679">
            <v>41080</v>
          </cell>
          <cell r="B6679">
            <v>81.06</v>
          </cell>
        </row>
        <row r="6680">
          <cell r="A6680">
            <v>41081</v>
          </cell>
          <cell r="B6680">
            <v>77.91</v>
          </cell>
        </row>
        <row r="6681">
          <cell r="A6681">
            <v>41082</v>
          </cell>
          <cell r="B6681">
            <v>79.33</v>
          </cell>
        </row>
        <row r="6682">
          <cell r="A6682">
            <v>41085</v>
          </cell>
          <cell r="B6682">
            <v>78.760000000000005</v>
          </cell>
        </row>
        <row r="6683">
          <cell r="A6683">
            <v>41086</v>
          </cell>
          <cell r="B6683">
            <v>79.34</v>
          </cell>
        </row>
        <row r="6684">
          <cell r="A6684">
            <v>41087</v>
          </cell>
          <cell r="B6684">
            <v>80.27</v>
          </cell>
        </row>
        <row r="6685">
          <cell r="A6685">
            <v>41088</v>
          </cell>
          <cell r="B6685">
            <v>77.72</v>
          </cell>
        </row>
        <row r="6686">
          <cell r="A6686">
            <v>41089</v>
          </cell>
          <cell r="B6686">
            <v>85.04</v>
          </cell>
        </row>
        <row r="6687">
          <cell r="A6687">
            <v>41092</v>
          </cell>
          <cell r="B6687">
            <v>83.72</v>
          </cell>
        </row>
        <row r="6688">
          <cell r="A6688">
            <v>41093</v>
          </cell>
          <cell r="B6688">
            <v>87.74</v>
          </cell>
        </row>
        <row r="6689">
          <cell r="A6689">
            <v>41095</v>
          </cell>
          <cell r="B6689">
            <v>87.11</v>
          </cell>
        </row>
        <row r="6690">
          <cell r="A6690">
            <v>41096</v>
          </cell>
          <cell r="B6690">
            <v>84.37</v>
          </cell>
        </row>
        <row r="6691">
          <cell r="A6691">
            <v>41099</v>
          </cell>
          <cell r="B6691">
            <v>85.93</v>
          </cell>
        </row>
        <row r="6692">
          <cell r="A6692">
            <v>41100</v>
          </cell>
          <cell r="B6692">
            <v>83.92</v>
          </cell>
        </row>
        <row r="6693">
          <cell r="A6693">
            <v>41101</v>
          </cell>
          <cell r="B6693">
            <v>85.88</v>
          </cell>
        </row>
        <row r="6694">
          <cell r="A6694">
            <v>41102</v>
          </cell>
          <cell r="B6694">
            <v>86.02</v>
          </cell>
        </row>
        <row r="6695">
          <cell r="A6695">
            <v>41103</v>
          </cell>
          <cell r="B6695">
            <v>87.15</v>
          </cell>
        </row>
        <row r="6696">
          <cell r="A6696">
            <v>41106</v>
          </cell>
          <cell r="B6696">
            <v>88.41</v>
          </cell>
        </row>
        <row r="6697">
          <cell r="A6697">
            <v>41107</v>
          </cell>
          <cell r="B6697">
            <v>89.07</v>
          </cell>
        </row>
        <row r="6698">
          <cell r="A6698">
            <v>41108</v>
          </cell>
          <cell r="B6698">
            <v>89.88</v>
          </cell>
        </row>
        <row r="6699">
          <cell r="A6699">
            <v>41109</v>
          </cell>
          <cell r="B6699">
            <v>92.78</v>
          </cell>
        </row>
        <row r="6700">
          <cell r="A6700">
            <v>41110</v>
          </cell>
          <cell r="B6700">
            <v>91.56</v>
          </cell>
        </row>
        <row r="6701">
          <cell r="A6701">
            <v>41113</v>
          </cell>
          <cell r="B6701">
            <v>87.77</v>
          </cell>
        </row>
        <row r="6702">
          <cell r="A6702">
            <v>41114</v>
          </cell>
          <cell r="B6702">
            <v>88.28</v>
          </cell>
        </row>
        <row r="6703">
          <cell r="A6703">
            <v>41115</v>
          </cell>
          <cell r="B6703">
            <v>88.8</v>
          </cell>
        </row>
        <row r="6704">
          <cell r="A6704">
            <v>41116</v>
          </cell>
          <cell r="B6704">
            <v>89.4</v>
          </cell>
        </row>
        <row r="6705">
          <cell r="A6705">
            <v>41117</v>
          </cell>
          <cell r="B6705">
            <v>90.13</v>
          </cell>
        </row>
        <row r="6706">
          <cell r="A6706">
            <v>41120</v>
          </cell>
          <cell r="B6706">
            <v>89.8</v>
          </cell>
        </row>
        <row r="6707">
          <cell r="A6707">
            <v>41121</v>
          </cell>
          <cell r="B6707">
            <v>88.08</v>
          </cell>
        </row>
        <row r="6708">
          <cell r="A6708">
            <v>41122</v>
          </cell>
          <cell r="B6708">
            <v>88.99</v>
          </cell>
        </row>
        <row r="6709">
          <cell r="A6709">
            <v>41123</v>
          </cell>
          <cell r="B6709">
            <v>87.22</v>
          </cell>
        </row>
        <row r="6710">
          <cell r="A6710">
            <v>41124</v>
          </cell>
          <cell r="B6710">
            <v>91.4</v>
          </cell>
        </row>
        <row r="6711">
          <cell r="A6711">
            <v>41127</v>
          </cell>
          <cell r="B6711">
            <v>92.3</v>
          </cell>
        </row>
        <row r="6712">
          <cell r="A6712">
            <v>41128</v>
          </cell>
          <cell r="B6712">
            <v>93.68</v>
          </cell>
        </row>
        <row r="6713">
          <cell r="A6713">
            <v>41129</v>
          </cell>
          <cell r="B6713">
            <v>93.39</v>
          </cell>
        </row>
        <row r="6714">
          <cell r="A6714">
            <v>41130</v>
          </cell>
          <cell r="B6714">
            <v>93.39</v>
          </cell>
        </row>
        <row r="6715">
          <cell r="A6715">
            <v>41131</v>
          </cell>
          <cell r="B6715">
            <v>92.94</v>
          </cell>
        </row>
        <row r="6716">
          <cell r="A6716">
            <v>41134</v>
          </cell>
          <cell r="B6716">
            <v>92.76</v>
          </cell>
        </row>
        <row r="6717">
          <cell r="A6717">
            <v>41135</v>
          </cell>
          <cell r="B6717">
            <v>93.4</v>
          </cell>
        </row>
        <row r="6718">
          <cell r="A6718">
            <v>41136</v>
          </cell>
          <cell r="B6718">
            <v>94.35</v>
          </cell>
        </row>
        <row r="6719">
          <cell r="A6719">
            <v>41137</v>
          </cell>
          <cell r="B6719">
            <v>95.66</v>
          </cell>
        </row>
        <row r="6720">
          <cell r="A6720">
            <v>41138</v>
          </cell>
          <cell r="B6720">
            <v>96</v>
          </cell>
        </row>
        <row r="6721">
          <cell r="A6721">
            <v>41141</v>
          </cell>
          <cell r="B6721">
            <v>96.03</v>
          </cell>
        </row>
        <row r="6722">
          <cell r="A6722">
            <v>41142</v>
          </cell>
          <cell r="B6722">
            <v>96.55</v>
          </cell>
        </row>
        <row r="6723">
          <cell r="A6723">
            <v>41143</v>
          </cell>
          <cell r="B6723">
            <v>96.89</v>
          </cell>
        </row>
        <row r="6724">
          <cell r="A6724">
            <v>41144</v>
          </cell>
          <cell r="B6724">
            <v>95.87</v>
          </cell>
        </row>
        <row r="6725">
          <cell r="A6725">
            <v>41145</v>
          </cell>
          <cell r="B6725">
            <v>95.78</v>
          </cell>
        </row>
        <row r="6726">
          <cell r="A6726">
            <v>41148</v>
          </cell>
          <cell r="B6726">
            <v>95.54</v>
          </cell>
        </row>
        <row r="6727">
          <cell r="A6727">
            <v>41149</v>
          </cell>
          <cell r="B6727">
            <v>96.3</v>
          </cell>
        </row>
        <row r="6728">
          <cell r="A6728">
            <v>41150</v>
          </cell>
          <cell r="B6728">
            <v>95.5</v>
          </cell>
        </row>
        <row r="6729">
          <cell r="A6729">
            <v>41151</v>
          </cell>
          <cell r="B6729">
            <v>94.61</v>
          </cell>
        </row>
        <row r="6730">
          <cell r="A6730">
            <v>41152</v>
          </cell>
          <cell r="B6730">
            <v>96.47</v>
          </cell>
        </row>
        <row r="6731">
          <cell r="A6731">
            <v>41156</v>
          </cell>
          <cell r="B6731">
            <v>95.34</v>
          </cell>
        </row>
        <row r="6732">
          <cell r="A6732">
            <v>41157</v>
          </cell>
          <cell r="B6732">
            <v>95.37</v>
          </cell>
        </row>
        <row r="6733">
          <cell r="A6733">
            <v>41158</v>
          </cell>
          <cell r="B6733">
            <v>95.58</v>
          </cell>
        </row>
        <row r="6734">
          <cell r="A6734">
            <v>41159</v>
          </cell>
          <cell r="B6734">
            <v>96.41</v>
          </cell>
        </row>
        <row r="6735">
          <cell r="A6735">
            <v>41162</v>
          </cell>
          <cell r="B6735">
            <v>96.52</v>
          </cell>
        </row>
        <row r="6736">
          <cell r="A6736">
            <v>41163</v>
          </cell>
          <cell r="B6736">
            <v>97.03</v>
          </cell>
        </row>
        <row r="6737">
          <cell r="A6737">
            <v>41164</v>
          </cell>
          <cell r="B6737">
            <v>97.02</v>
          </cell>
        </row>
        <row r="6738">
          <cell r="A6738">
            <v>41165</v>
          </cell>
          <cell r="B6738">
            <v>98.3</v>
          </cell>
        </row>
        <row r="6739">
          <cell r="A6739">
            <v>41166</v>
          </cell>
          <cell r="B6739">
            <v>98.94</v>
          </cell>
        </row>
        <row r="6740">
          <cell r="A6740">
            <v>41169</v>
          </cell>
          <cell r="B6740">
            <v>96.51</v>
          </cell>
        </row>
        <row r="6741">
          <cell r="A6741">
            <v>41170</v>
          </cell>
          <cell r="B6741">
            <v>95.25</v>
          </cell>
        </row>
        <row r="6742">
          <cell r="A6742">
            <v>41171</v>
          </cell>
          <cell r="B6742">
            <v>91.97</v>
          </cell>
        </row>
        <row r="6743">
          <cell r="A6743">
            <v>41172</v>
          </cell>
          <cell r="B6743">
            <v>92.14</v>
          </cell>
        </row>
        <row r="6744">
          <cell r="A6744">
            <v>41173</v>
          </cell>
          <cell r="B6744">
            <v>92.64</v>
          </cell>
        </row>
        <row r="6745">
          <cell r="A6745">
            <v>41176</v>
          </cell>
          <cell r="B6745">
            <v>91.68</v>
          </cell>
        </row>
        <row r="6746">
          <cell r="A6746">
            <v>41177</v>
          </cell>
          <cell r="B6746">
            <v>91.07</v>
          </cell>
        </row>
        <row r="6747">
          <cell r="A6747">
            <v>41178</v>
          </cell>
          <cell r="B6747">
            <v>89.92</v>
          </cell>
        </row>
        <row r="6748">
          <cell r="A6748">
            <v>41179</v>
          </cell>
          <cell r="B6748">
            <v>91.89</v>
          </cell>
        </row>
        <row r="6749">
          <cell r="A6749">
            <v>41180</v>
          </cell>
          <cell r="B6749">
            <v>92.18</v>
          </cell>
        </row>
        <row r="6750">
          <cell r="A6750">
            <v>41183</v>
          </cell>
          <cell r="B6750">
            <v>92.44</v>
          </cell>
        </row>
        <row r="6751">
          <cell r="A6751">
            <v>41184</v>
          </cell>
          <cell r="B6751">
            <v>91.88</v>
          </cell>
        </row>
        <row r="6752">
          <cell r="A6752">
            <v>41185</v>
          </cell>
          <cell r="B6752">
            <v>88.19</v>
          </cell>
        </row>
        <row r="6753">
          <cell r="A6753">
            <v>41186</v>
          </cell>
          <cell r="B6753">
            <v>91.69</v>
          </cell>
        </row>
        <row r="6754">
          <cell r="A6754">
            <v>41187</v>
          </cell>
          <cell r="B6754">
            <v>89.87</v>
          </cell>
        </row>
        <row r="6755">
          <cell r="A6755">
            <v>41190</v>
          </cell>
          <cell r="B6755">
            <v>89.43</v>
          </cell>
        </row>
        <row r="6756">
          <cell r="A6756">
            <v>41191</v>
          </cell>
          <cell r="B6756">
            <v>92.42</v>
          </cell>
        </row>
        <row r="6757">
          <cell r="A6757">
            <v>41192</v>
          </cell>
          <cell r="B6757">
            <v>91.24</v>
          </cell>
        </row>
        <row r="6758">
          <cell r="A6758">
            <v>41193</v>
          </cell>
          <cell r="B6758">
            <v>92.19</v>
          </cell>
        </row>
        <row r="6759">
          <cell r="A6759">
            <v>41194</v>
          </cell>
          <cell r="B6759">
            <v>91.83</v>
          </cell>
        </row>
        <row r="6760">
          <cell r="A6760">
            <v>41197</v>
          </cell>
          <cell r="B6760">
            <v>91.84</v>
          </cell>
        </row>
        <row r="6761">
          <cell r="A6761">
            <v>41198</v>
          </cell>
          <cell r="B6761">
            <v>92.07</v>
          </cell>
        </row>
        <row r="6762">
          <cell r="A6762">
            <v>41199</v>
          </cell>
          <cell r="B6762">
            <v>92.04</v>
          </cell>
        </row>
        <row r="6763">
          <cell r="A6763">
            <v>41200</v>
          </cell>
          <cell r="B6763">
            <v>92</v>
          </cell>
        </row>
        <row r="6764">
          <cell r="A6764">
            <v>41201</v>
          </cell>
          <cell r="B6764">
            <v>90</v>
          </cell>
        </row>
        <row r="6765">
          <cell r="A6765">
            <v>41204</v>
          </cell>
          <cell r="B6765">
            <v>88.3</v>
          </cell>
        </row>
        <row r="6766">
          <cell r="A6766">
            <v>41205</v>
          </cell>
          <cell r="B6766">
            <v>86.65</v>
          </cell>
        </row>
        <row r="6767">
          <cell r="A6767">
            <v>41206</v>
          </cell>
          <cell r="B6767">
            <v>85.39</v>
          </cell>
        </row>
        <row r="6768">
          <cell r="A6768">
            <v>41207</v>
          </cell>
          <cell r="B6768">
            <v>85.59</v>
          </cell>
        </row>
        <row r="6769">
          <cell r="A6769">
            <v>41208</v>
          </cell>
          <cell r="B6769">
            <v>85.84</v>
          </cell>
        </row>
        <row r="6770">
          <cell r="A6770">
            <v>41211</v>
          </cell>
          <cell r="B6770">
            <v>85.52</v>
          </cell>
        </row>
        <row r="6771">
          <cell r="A6771">
            <v>41212</v>
          </cell>
          <cell r="B6771">
            <v>85.65</v>
          </cell>
        </row>
        <row r="6772">
          <cell r="A6772">
            <v>41213</v>
          </cell>
          <cell r="B6772">
            <v>86.23</v>
          </cell>
        </row>
        <row r="6773">
          <cell r="A6773">
            <v>41214</v>
          </cell>
          <cell r="B6773">
            <v>87.05</v>
          </cell>
        </row>
        <row r="6774">
          <cell r="A6774">
            <v>41215</v>
          </cell>
          <cell r="B6774">
            <v>84.9</v>
          </cell>
        </row>
        <row r="6775">
          <cell r="A6775">
            <v>41218</v>
          </cell>
          <cell r="B6775">
            <v>85.64</v>
          </cell>
        </row>
        <row r="6776">
          <cell r="A6776">
            <v>41219</v>
          </cell>
          <cell r="B6776">
            <v>88.62</v>
          </cell>
        </row>
        <row r="6777">
          <cell r="A6777">
            <v>41220</v>
          </cell>
          <cell r="B6777">
            <v>84.5</v>
          </cell>
        </row>
        <row r="6778">
          <cell r="A6778">
            <v>41221</v>
          </cell>
          <cell r="B6778">
            <v>85.07</v>
          </cell>
        </row>
        <row r="6779">
          <cell r="A6779">
            <v>41222</v>
          </cell>
          <cell r="B6779">
            <v>86.08</v>
          </cell>
        </row>
        <row r="6780">
          <cell r="A6780">
            <v>41225</v>
          </cell>
          <cell r="B6780">
            <v>85.56</v>
          </cell>
        </row>
        <row r="6781">
          <cell r="A6781">
            <v>41226</v>
          </cell>
          <cell r="B6781">
            <v>85.38</v>
          </cell>
        </row>
        <row r="6782">
          <cell r="A6782">
            <v>41227</v>
          </cell>
          <cell r="B6782">
            <v>86.32</v>
          </cell>
        </row>
        <row r="6783">
          <cell r="A6783">
            <v>41228</v>
          </cell>
          <cell r="B6783">
            <v>85.45</v>
          </cell>
        </row>
        <row r="6784">
          <cell r="A6784">
            <v>41229</v>
          </cell>
          <cell r="B6784">
            <v>86.62</v>
          </cell>
        </row>
        <row r="6785">
          <cell r="A6785">
            <v>41232</v>
          </cell>
          <cell r="B6785">
            <v>89.05</v>
          </cell>
        </row>
        <row r="6786">
          <cell r="A6786">
            <v>41233</v>
          </cell>
          <cell r="B6786">
            <v>86.46</v>
          </cell>
        </row>
        <row r="6787">
          <cell r="A6787">
            <v>41234</v>
          </cell>
          <cell r="B6787">
            <v>87.08</v>
          </cell>
        </row>
        <row r="6788">
          <cell r="A6788">
            <v>41236</v>
          </cell>
          <cell r="B6788">
            <v>87.01</v>
          </cell>
        </row>
        <row r="6789">
          <cell r="A6789">
            <v>41239</v>
          </cell>
          <cell r="B6789">
            <v>87.28</v>
          </cell>
        </row>
        <row r="6790">
          <cell r="A6790">
            <v>41240</v>
          </cell>
          <cell r="B6790">
            <v>86.81</v>
          </cell>
        </row>
        <row r="6791">
          <cell r="A6791">
            <v>41241</v>
          </cell>
          <cell r="B6791">
            <v>86.1</v>
          </cell>
        </row>
        <row r="6792">
          <cell r="A6792">
            <v>41242</v>
          </cell>
          <cell r="B6792">
            <v>87.64</v>
          </cell>
        </row>
        <row r="6793">
          <cell r="A6793">
            <v>41243</v>
          </cell>
          <cell r="B6793">
            <v>88.54</v>
          </cell>
        </row>
        <row r="6794">
          <cell r="A6794">
            <v>41246</v>
          </cell>
          <cell r="B6794">
            <v>88.69</v>
          </cell>
        </row>
        <row r="6795">
          <cell r="A6795">
            <v>41247</v>
          </cell>
          <cell r="B6795">
            <v>88.04</v>
          </cell>
        </row>
        <row r="6796">
          <cell r="A6796">
            <v>41248</v>
          </cell>
          <cell r="B6796">
            <v>87.36</v>
          </cell>
        </row>
        <row r="6797">
          <cell r="A6797">
            <v>41249</v>
          </cell>
          <cell r="B6797">
            <v>85.47</v>
          </cell>
        </row>
        <row r="6798">
          <cell r="A6798">
            <v>41250</v>
          </cell>
          <cell r="B6798">
            <v>85.45</v>
          </cell>
        </row>
        <row r="6799">
          <cell r="A6799">
            <v>41253</v>
          </cell>
          <cell r="B6799">
            <v>85.14</v>
          </cell>
        </row>
        <row r="6800">
          <cell r="A6800">
            <v>41254</v>
          </cell>
          <cell r="B6800">
            <v>85.36</v>
          </cell>
        </row>
        <row r="6801">
          <cell r="A6801">
            <v>41255</v>
          </cell>
          <cell r="B6801">
            <v>86.35</v>
          </cell>
        </row>
        <row r="6802">
          <cell r="A6802">
            <v>41256</v>
          </cell>
          <cell r="B6802">
            <v>85.39</v>
          </cell>
        </row>
        <row r="6803">
          <cell r="A6803">
            <v>41257</v>
          </cell>
          <cell r="B6803">
            <v>86.32</v>
          </cell>
        </row>
        <row r="6804">
          <cell r="A6804">
            <v>41260</v>
          </cell>
          <cell r="B6804">
            <v>86.71</v>
          </cell>
        </row>
        <row r="6805">
          <cell r="A6805">
            <v>41261</v>
          </cell>
          <cell r="B6805">
            <v>87.46</v>
          </cell>
        </row>
        <row r="6806">
          <cell r="A6806">
            <v>41262</v>
          </cell>
          <cell r="B6806">
            <v>89.09</v>
          </cell>
        </row>
        <row r="6807">
          <cell r="A6807">
            <v>41263</v>
          </cell>
          <cell r="B6807">
            <v>89.76</v>
          </cell>
        </row>
        <row r="6808">
          <cell r="A6808">
            <v>41264</v>
          </cell>
          <cell r="B6808">
            <v>88.2</v>
          </cell>
        </row>
        <row r="6809">
          <cell r="A6809">
            <v>41267</v>
          </cell>
          <cell r="B6809">
            <v>88.29</v>
          </cell>
        </row>
        <row r="6810">
          <cell r="A6810">
            <v>41269</v>
          </cell>
          <cell r="B6810">
            <v>90.71</v>
          </cell>
        </row>
        <row r="6811">
          <cell r="A6811">
            <v>41270</v>
          </cell>
          <cell r="B6811">
            <v>90.91</v>
          </cell>
        </row>
        <row r="6812">
          <cell r="A6812">
            <v>41271</v>
          </cell>
          <cell r="B6812">
            <v>90.66</v>
          </cell>
        </row>
        <row r="6813">
          <cell r="A6813">
            <v>41274</v>
          </cell>
          <cell r="B6813">
            <v>91.83</v>
          </cell>
        </row>
        <row r="6814">
          <cell r="A6814">
            <v>41276</v>
          </cell>
          <cell r="B6814">
            <v>93.14</v>
          </cell>
        </row>
        <row r="6815">
          <cell r="A6815">
            <v>41277</v>
          </cell>
          <cell r="B6815">
            <v>92.97</v>
          </cell>
        </row>
        <row r="6816">
          <cell r="A6816">
            <v>41278</v>
          </cell>
          <cell r="B6816">
            <v>93.12</v>
          </cell>
        </row>
        <row r="6817">
          <cell r="A6817">
            <v>41281</v>
          </cell>
          <cell r="B6817">
            <v>93.2</v>
          </cell>
        </row>
        <row r="6818">
          <cell r="A6818">
            <v>41282</v>
          </cell>
          <cell r="B6818">
            <v>93.21</v>
          </cell>
        </row>
        <row r="6819">
          <cell r="A6819">
            <v>41283</v>
          </cell>
          <cell r="B6819">
            <v>93.08</v>
          </cell>
        </row>
        <row r="6820">
          <cell r="A6820">
            <v>41284</v>
          </cell>
          <cell r="B6820">
            <v>93.81</v>
          </cell>
        </row>
        <row r="6821">
          <cell r="A6821">
            <v>41285</v>
          </cell>
          <cell r="B6821">
            <v>93.6</v>
          </cell>
        </row>
        <row r="6822">
          <cell r="A6822">
            <v>41288</v>
          </cell>
          <cell r="B6822">
            <v>94.27</v>
          </cell>
        </row>
        <row r="6823">
          <cell r="A6823">
            <v>41289</v>
          </cell>
          <cell r="B6823">
            <v>93.26</v>
          </cell>
        </row>
        <row r="6824">
          <cell r="A6824">
            <v>41290</v>
          </cell>
          <cell r="B6824">
            <v>94.28</v>
          </cell>
        </row>
        <row r="6825">
          <cell r="A6825">
            <v>41291</v>
          </cell>
          <cell r="B6825">
            <v>95.49</v>
          </cell>
        </row>
        <row r="6826">
          <cell r="A6826">
            <v>41292</v>
          </cell>
          <cell r="B6826">
            <v>95.61</v>
          </cell>
        </row>
        <row r="6827">
          <cell r="A6827">
            <v>41296</v>
          </cell>
          <cell r="B6827">
            <v>96.09</v>
          </cell>
        </row>
        <row r="6828">
          <cell r="A6828">
            <v>41297</v>
          </cell>
          <cell r="B6828">
            <v>95.06</v>
          </cell>
        </row>
        <row r="6829">
          <cell r="A6829">
            <v>41298</v>
          </cell>
          <cell r="B6829">
            <v>95.35</v>
          </cell>
        </row>
        <row r="6830">
          <cell r="A6830">
            <v>41299</v>
          </cell>
          <cell r="B6830">
            <v>95.15</v>
          </cell>
        </row>
        <row r="6831">
          <cell r="A6831">
            <v>41302</v>
          </cell>
          <cell r="B6831">
            <v>95.95</v>
          </cell>
        </row>
        <row r="6832">
          <cell r="A6832">
            <v>41303</v>
          </cell>
          <cell r="B6832">
            <v>97.62</v>
          </cell>
        </row>
        <row r="6833">
          <cell r="A6833">
            <v>41304</v>
          </cell>
          <cell r="B6833">
            <v>97.98</v>
          </cell>
        </row>
        <row r="6834">
          <cell r="A6834">
            <v>41305</v>
          </cell>
          <cell r="B6834">
            <v>97.65</v>
          </cell>
        </row>
        <row r="6835">
          <cell r="A6835">
            <v>41306</v>
          </cell>
          <cell r="B6835">
            <v>97.46</v>
          </cell>
        </row>
        <row r="6836">
          <cell r="A6836">
            <v>41309</v>
          </cell>
          <cell r="B6836">
            <v>96.21</v>
          </cell>
        </row>
        <row r="6837">
          <cell r="A6837">
            <v>41310</v>
          </cell>
          <cell r="B6837">
            <v>96.68</v>
          </cell>
        </row>
        <row r="6838">
          <cell r="A6838">
            <v>41311</v>
          </cell>
          <cell r="B6838">
            <v>96.44</v>
          </cell>
        </row>
        <row r="6839">
          <cell r="A6839">
            <v>41312</v>
          </cell>
          <cell r="B6839">
            <v>95.84</v>
          </cell>
        </row>
        <row r="6840">
          <cell r="A6840">
            <v>41313</v>
          </cell>
          <cell r="B6840">
            <v>95.71</v>
          </cell>
        </row>
        <row r="6841">
          <cell r="A6841">
            <v>41316</v>
          </cell>
          <cell r="B6841">
            <v>97.01</v>
          </cell>
        </row>
        <row r="6842">
          <cell r="A6842">
            <v>41317</v>
          </cell>
          <cell r="B6842">
            <v>97.48</v>
          </cell>
        </row>
        <row r="6843">
          <cell r="A6843">
            <v>41318</v>
          </cell>
          <cell r="B6843">
            <v>97.03</v>
          </cell>
        </row>
        <row r="6844">
          <cell r="A6844">
            <v>41319</v>
          </cell>
          <cell r="B6844">
            <v>97.3</v>
          </cell>
        </row>
        <row r="6845">
          <cell r="A6845">
            <v>41320</v>
          </cell>
          <cell r="B6845">
            <v>95.95</v>
          </cell>
        </row>
        <row r="6846">
          <cell r="A6846">
            <v>41324</v>
          </cell>
          <cell r="B6846">
            <v>96.69</v>
          </cell>
        </row>
        <row r="6847">
          <cell r="A6847">
            <v>41325</v>
          </cell>
          <cell r="B6847">
            <v>94.92</v>
          </cell>
        </row>
        <row r="6848">
          <cell r="A6848">
            <v>41326</v>
          </cell>
          <cell r="B6848">
            <v>92.79</v>
          </cell>
        </row>
        <row r="6849">
          <cell r="A6849">
            <v>41327</v>
          </cell>
          <cell r="B6849">
            <v>93.12</v>
          </cell>
        </row>
        <row r="6850">
          <cell r="A6850">
            <v>41330</v>
          </cell>
          <cell r="B6850">
            <v>92.74</v>
          </cell>
        </row>
        <row r="6851">
          <cell r="A6851">
            <v>41331</v>
          </cell>
          <cell r="B6851">
            <v>92.63</v>
          </cell>
        </row>
        <row r="6852">
          <cell r="A6852">
            <v>41332</v>
          </cell>
          <cell r="B6852">
            <v>92.84</v>
          </cell>
        </row>
        <row r="6853">
          <cell r="A6853">
            <v>41333</v>
          </cell>
          <cell r="B6853">
            <v>92.03</v>
          </cell>
        </row>
        <row r="6854">
          <cell r="A6854">
            <v>41334</v>
          </cell>
          <cell r="B6854">
            <v>90.71</v>
          </cell>
        </row>
        <row r="6855">
          <cell r="A6855">
            <v>41337</v>
          </cell>
          <cell r="B6855">
            <v>90.13</v>
          </cell>
        </row>
        <row r="6856">
          <cell r="A6856">
            <v>41338</v>
          </cell>
          <cell r="B6856">
            <v>90.88</v>
          </cell>
        </row>
        <row r="6857">
          <cell r="A6857">
            <v>41339</v>
          </cell>
          <cell r="B6857">
            <v>90.47</v>
          </cell>
        </row>
        <row r="6858">
          <cell r="A6858">
            <v>41340</v>
          </cell>
          <cell r="B6858">
            <v>91.53</v>
          </cell>
        </row>
        <row r="6859">
          <cell r="A6859">
            <v>41341</v>
          </cell>
          <cell r="B6859">
            <v>92.01</v>
          </cell>
        </row>
        <row r="6860">
          <cell r="A6860">
            <v>41344</v>
          </cell>
          <cell r="B6860">
            <v>92.07</v>
          </cell>
        </row>
        <row r="6861">
          <cell r="A6861">
            <v>41345</v>
          </cell>
          <cell r="B6861">
            <v>92.44</v>
          </cell>
        </row>
        <row r="6862">
          <cell r="A6862">
            <v>41346</v>
          </cell>
          <cell r="B6862">
            <v>92.47</v>
          </cell>
        </row>
        <row r="6863">
          <cell r="A6863">
            <v>41347</v>
          </cell>
          <cell r="B6863">
            <v>93.03</v>
          </cell>
        </row>
        <row r="6864">
          <cell r="A6864">
            <v>41348</v>
          </cell>
          <cell r="B6864">
            <v>93.49</v>
          </cell>
        </row>
        <row r="6865">
          <cell r="A6865">
            <v>41351</v>
          </cell>
          <cell r="B6865">
            <v>93.71</v>
          </cell>
        </row>
        <row r="6866">
          <cell r="A6866">
            <v>41352</v>
          </cell>
          <cell r="B6866">
            <v>92.44</v>
          </cell>
        </row>
        <row r="6867">
          <cell r="A6867">
            <v>41353</v>
          </cell>
          <cell r="B6867">
            <v>93.21</v>
          </cell>
        </row>
        <row r="6868">
          <cell r="A6868">
            <v>41354</v>
          </cell>
          <cell r="B6868">
            <v>92.46</v>
          </cell>
        </row>
        <row r="6869">
          <cell r="A6869">
            <v>41355</v>
          </cell>
          <cell r="B6869">
            <v>93.41</v>
          </cell>
        </row>
        <row r="6870">
          <cell r="A6870">
            <v>41358</v>
          </cell>
          <cell r="B6870">
            <v>94.55</v>
          </cell>
        </row>
        <row r="6871">
          <cell r="A6871">
            <v>41359</v>
          </cell>
          <cell r="B6871">
            <v>95.99</v>
          </cell>
        </row>
        <row r="6872">
          <cell r="A6872">
            <v>41360</v>
          </cell>
          <cell r="B6872">
            <v>96.53</v>
          </cell>
        </row>
        <row r="6873">
          <cell r="A6873">
            <v>41361</v>
          </cell>
          <cell r="B6873">
            <v>97.24</v>
          </cell>
        </row>
        <row r="6874">
          <cell r="A6874">
            <v>41365</v>
          </cell>
          <cell r="B6874">
            <v>97.1</v>
          </cell>
        </row>
        <row r="6875">
          <cell r="A6875">
            <v>41366</v>
          </cell>
          <cell r="B6875">
            <v>97.23</v>
          </cell>
        </row>
        <row r="6876">
          <cell r="A6876">
            <v>41367</v>
          </cell>
          <cell r="B6876">
            <v>95.02</v>
          </cell>
        </row>
        <row r="6877">
          <cell r="A6877">
            <v>41368</v>
          </cell>
          <cell r="B6877">
            <v>93.26</v>
          </cell>
        </row>
        <row r="6878">
          <cell r="A6878">
            <v>41369</v>
          </cell>
          <cell r="B6878">
            <v>92.76</v>
          </cell>
        </row>
        <row r="6879">
          <cell r="A6879">
            <v>41372</v>
          </cell>
          <cell r="B6879">
            <v>93.36</v>
          </cell>
        </row>
        <row r="6880">
          <cell r="A6880">
            <v>41373</v>
          </cell>
          <cell r="B6880">
            <v>94.18</v>
          </cell>
        </row>
        <row r="6881">
          <cell r="A6881">
            <v>41374</v>
          </cell>
          <cell r="B6881">
            <v>94.59</v>
          </cell>
        </row>
        <row r="6882">
          <cell r="A6882">
            <v>41375</v>
          </cell>
          <cell r="B6882">
            <v>93.44</v>
          </cell>
        </row>
        <row r="6883">
          <cell r="A6883">
            <v>41376</v>
          </cell>
          <cell r="B6883">
            <v>91.23</v>
          </cell>
        </row>
        <row r="6884">
          <cell r="A6884">
            <v>41379</v>
          </cell>
          <cell r="B6884">
            <v>88.75</v>
          </cell>
        </row>
        <row r="6885">
          <cell r="A6885">
            <v>41380</v>
          </cell>
          <cell r="B6885">
            <v>88.73</v>
          </cell>
        </row>
        <row r="6886">
          <cell r="A6886">
            <v>41381</v>
          </cell>
          <cell r="B6886">
            <v>86.65</v>
          </cell>
        </row>
        <row r="6887">
          <cell r="A6887">
            <v>41382</v>
          </cell>
          <cell r="B6887">
            <v>87.83</v>
          </cell>
        </row>
        <row r="6888">
          <cell r="A6888">
            <v>41383</v>
          </cell>
          <cell r="B6888">
            <v>88.04</v>
          </cell>
        </row>
        <row r="6889">
          <cell r="A6889">
            <v>41386</v>
          </cell>
          <cell r="B6889">
            <v>88.81</v>
          </cell>
        </row>
        <row r="6890">
          <cell r="A6890">
            <v>41387</v>
          </cell>
          <cell r="B6890">
            <v>89.21</v>
          </cell>
        </row>
        <row r="6891">
          <cell r="A6891">
            <v>41388</v>
          </cell>
          <cell r="B6891">
            <v>91.07</v>
          </cell>
        </row>
        <row r="6892">
          <cell r="A6892">
            <v>41389</v>
          </cell>
          <cell r="B6892">
            <v>93.27</v>
          </cell>
        </row>
        <row r="6893">
          <cell r="A6893">
            <v>41390</v>
          </cell>
          <cell r="B6893">
            <v>92.63</v>
          </cell>
        </row>
        <row r="6894">
          <cell r="A6894">
            <v>41393</v>
          </cell>
          <cell r="B6894">
            <v>94.09</v>
          </cell>
        </row>
        <row r="6895">
          <cell r="A6895">
            <v>41394</v>
          </cell>
          <cell r="B6895">
            <v>93.22</v>
          </cell>
        </row>
        <row r="6896">
          <cell r="A6896">
            <v>41395</v>
          </cell>
          <cell r="B6896">
            <v>90.74</v>
          </cell>
        </row>
        <row r="6897">
          <cell r="A6897">
            <v>41396</v>
          </cell>
          <cell r="B6897">
            <v>93.7</v>
          </cell>
        </row>
        <row r="6898">
          <cell r="A6898">
            <v>41397</v>
          </cell>
          <cell r="B6898">
            <v>95.25</v>
          </cell>
        </row>
        <row r="6899">
          <cell r="A6899">
            <v>41400</v>
          </cell>
          <cell r="B6899">
            <v>95.8</v>
          </cell>
        </row>
        <row r="6900">
          <cell r="A6900">
            <v>41401</v>
          </cell>
          <cell r="B6900">
            <v>95.28</v>
          </cell>
        </row>
        <row r="6901">
          <cell r="A6901">
            <v>41402</v>
          </cell>
          <cell r="B6901">
            <v>96.24</v>
          </cell>
        </row>
        <row r="6902">
          <cell r="A6902">
            <v>41403</v>
          </cell>
          <cell r="B6902">
            <v>96.09</v>
          </cell>
        </row>
        <row r="6903">
          <cell r="A6903">
            <v>41404</v>
          </cell>
          <cell r="B6903">
            <v>95.81</v>
          </cell>
        </row>
        <row r="6904">
          <cell r="A6904">
            <v>41407</v>
          </cell>
          <cell r="B6904">
            <v>94.76</v>
          </cell>
        </row>
        <row r="6905">
          <cell r="A6905">
            <v>41408</v>
          </cell>
          <cell r="B6905">
            <v>93.96</v>
          </cell>
        </row>
        <row r="6906">
          <cell r="A6906">
            <v>41409</v>
          </cell>
          <cell r="B6906">
            <v>93.95</v>
          </cell>
        </row>
        <row r="6907">
          <cell r="A6907">
            <v>41410</v>
          </cell>
          <cell r="B6907">
            <v>94.85</v>
          </cell>
        </row>
        <row r="6908">
          <cell r="A6908">
            <v>41411</v>
          </cell>
          <cell r="B6908">
            <v>95.72</v>
          </cell>
        </row>
        <row r="6909">
          <cell r="A6909">
            <v>41414</v>
          </cell>
          <cell r="B6909">
            <v>96.29</v>
          </cell>
        </row>
        <row r="6910">
          <cell r="A6910">
            <v>41415</v>
          </cell>
          <cell r="B6910">
            <v>95.55</v>
          </cell>
        </row>
        <row r="6911">
          <cell r="A6911">
            <v>41416</v>
          </cell>
          <cell r="B6911">
            <v>93.98</v>
          </cell>
        </row>
        <row r="6912">
          <cell r="A6912">
            <v>41417</v>
          </cell>
          <cell r="B6912">
            <v>94.12</v>
          </cell>
        </row>
        <row r="6913">
          <cell r="A6913">
            <v>41418</v>
          </cell>
          <cell r="B6913">
            <v>93.84</v>
          </cell>
        </row>
        <row r="6914">
          <cell r="A6914">
            <v>41422</v>
          </cell>
          <cell r="B6914">
            <v>94.65</v>
          </cell>
        </row>
        <row r="6915">
          <cell r="A6915">
            <v>41423</v>
          </cell>
          <cell r="B6915">
            <v>93.13</v>
          </cell>
        </row>
        <row r="6916">
          <cell r="A6916">
            <v>41424</v>
          </cell>
          <cell r="B6916">
            <v>93.57</v>
          </cell>
        </row>
        <row r="6917">
          <cell r="A6917">
            <v>41425</v>
          </cell>
          <cell r="B6917">
            <v>91.93</v>
          </cell>
        </row>
        <row r="6918">
          <cell r="A6918">
            <v>41428</v>
          </cell>
          <cell r="B6918">
            <v>93.41</v>
          </cell>
        </row>
        <row r="6919">
          <cell r="A6919">
            <v>41429</v>
          </cell>
          <cell r="B6919">
            <v>93.36</v>
          </cell>
        </row>
        <row r="6920">
          <cell r="A6920">
            <v>41430</v>
          </cell>
          <cell r="B6920">
            <v>93.66</v>
          </cell>
        </row>
        <row r="6921">
          <cell r="A6921">
            <v>41431</v>
          </cell>
          <cell r="B6921">
            <v>94.71</v>
          </cell>
        </row>
        <row r="6922">
          <cell r="A6922">
            <v>41432</v>
          </cell>
          <cell r="B6922">
            <v>96.11</v>
          </cell>
        </row>
        <row r="6923">
          <cell r="A6923">
            <v>41435</v>
          </cell>
          <cell r="B6923">
            <v>95.82</v>
          </cell>
        </row>
        <row r="6924">
          <cell r="A6924">
            <v>41436</v>
          </cell>
          <cell r="B6924">
            <v>95.5</v>
          </cell>
        </row>
        <row r="6925">
          <cell r="A6925">
            <v>41437</v>
          </cell>
          <cell r="B6925">
            <v>95.98</v>
          </cell>
        </row>
        <row r="6926">
          <cell r="A6926">
            <v>41438</v>
          </cell>
          <cell r="B6926">
            <v>96.66</v>
          </cell>
        </row>
        <row r="6927">
          <cell r="A6927">
            <v>41439</v>
          </cell>
          <cell r="B6927">
            <v>97.83</v>
          </cell>
        </row>
        <row r="6928">
          <cell r="A6928">
            <v>41442</v>
          </cell>
          <cell r="B6928">
            <v>97.86</v>
          </cell>
        </row>
        <row r="6929">
          <cell r="A6929">
            <v>41443</v>
          </cell>
          <cell r="B6929">
            <v>98.46</v>
          </cell>
        </row>
        <row r="6930">
          <cell r="A6930">
            <v>41444</v>
          </cell>
          <cell r="B6930">
            <v>98.24</v>
          </cell>
        </row>
        <row r="6931">
          <cell r="A6931">
            <v>41445</v>
          </cell>
          <cell r="B6931">
            <v>94.89</v>
          </cell>
        </row>
        <row r="6932">
          <cell r="A6932">
            <v>41446</v>
          </cell>
          <cell r="B6932">
            <v>93.81</v>
          </cell>
        </row>
        <row r="6933">
          <cell r="A6933">
            <v>41449</v>
          </cell>
          <cell r="B6933">
            <v>95.07</v>
          </cell>
        </row>
        <row r="6934">
          <cell r="A6934">
            <v>41450</v>
          </cell>
          <cell r="B6934">
            <v>95.25</v>
          </cell>
        </row>
        <row r="6935">
          <cell r="A6935">
            <v>41451</v>
          </cell>
          <cell r="B6935">
            <v>95.47</v>
          </cell>
        </row>
        <row r="6936">
          <cell r="A6936">
            <v>41452</v>
          </cell>
          <cell r="B6936">
            <v>97</v>
          </cell>
        </row>
        <row r="6937">
          <cell r="A6937">
            <v>41453</v>
          </cell>
          <cell r="B6937">
            <v>96.36</v>
          </cell>
        </row>
        <row r="6938">
          <cell r="A6938">
            <v>41456</v>
          </cell>
          <cell r="B6938">
            <v>97.94</v>
          </cell>
        </row>
        <row r="6939">
          <cell r="A6939">
            <v>41457</v>
          </cell>
          <cell r="B6939">
            <v>99.65</v>
          </cell>
        </row>
        <row r="6940">
          <cell r="A6940">
            <v>41458</v>
          </cell>
          <cell r="B6940">
            <v>101.92</v>
          </cell>
        </row>
        <row r="6941">
          <cell r="A6941">
            <v>41460</v>
          </cell>
          <cell r="B6941">
            <v>103.09</v>
          </cell>
        </row>
        <row r="6942">
          <cell r="A6942">
            <v>41463</v>
          </cell>
          <cell r="B6942">
            <v>103.03</v>
          </cell>
        </row>
        <row r="6943">
          <cell r="A6943">
            <v>41464</v>
          </cell>
          <cell r="B6943">
            <v>103.46</v>
          </cell>
        </row>
        <row r="6944">
          <cell r="A6944">
            <v>41465</v>
          </cell>
          <cell r="B6944">
            <v>106.41</v>
          </cell>
        </row>
        <row r="6945">
          <cell r="A6945">
            <v>41466</v>
          </cell>
          <cell r="B6945">
            <v>104.77</v>
          </cell>
        </row>
        <row r="6946">
          <cell r="A6946">
            <v>41467</v>
          </cell>
          <cell r="B6946">
            <v>105.85</v>
          </cell>
        </row>
        <row r="6947">
          <cell r="A6947">
            <v>41470</v>
          </cell>
          <cell r="B6947">
            <v>106.2</v>
          </cell>
        </row>
        <row r="6948">
          <cell r="A6948">
            <v>41471</v>
          </cell>
          <cell r="B6948">
            <v>105.88</v>
          </cell>
        </row>
        <row r="6949">
          <cell r="A6949">
            <v>41472</v>
          </cell>
          <cell r="B6949">
            <v>106.39</v>
          </cell>
        </row>
        <row r="6950">
          <cell r="A6950">
            <v>41473</v>
          </cell>
          <cell r="B6950">
            <v>107.94</v>
          </cell>
        </row>
        <row r="6951">
          <cell r="A6951">
            <v>41474</v>
          </cell>
          <cell r="B6951">
            <v>108</v>
          </cell>
        </row>
        <row r="6952">
          <cell r="A6952">
            <v>41477</v>
          </cell>
          <cell r="B6952">
            <v>106.61</v>
          </cell>
        </row>
        <row r="6953">
          <cell r="A6953">
            <v>41478</v>
          </cell>
          <cell r="B6953">
            <v>107.13</v>
          </cell>
        </row>
        <row r="6954">
          <cell r="A6954">
            <v>41479</v>
          </cell>
          <cell r="B6954">
            <v>105.41</v>
          </cell>
        </row>
        <row r="6955">
          <cell r="A6955">
            <v>41480</v>
          </cell>
          <cell r="B6955">
            <v>105.47</v>
          </cell>
        </row>
        <row r="6956">
          <cell r="A6956">
            <v>41481</v>
          </cell>
          <cell r="B6956">
            <v>104.76</v>
          </cell>
        </row>
        <row r="6957">
          <cell r="A6957">
            <v>41484</v>
          </cell>
          <cell r="B6957">
            <v>104.61</v>
          </cell>
        </row>
        <row r="6958">
          <cell r="A6958">
            <v>41485</v>
          </cell>
          <cell r="B6958">
            <v>103.14</v>
          </cell>
        </row>
        <row r="6959">
          <cell r="A6959">
            <v>41486</v>
          </cell>
          <cell r="B6959">
            <v>105.1</v>
          </cell>
        </row>
        <row r="6960">
          <cell r="A6960">
            <v>41487</v>
          </cell>
          <cell r="B6960">
            <v>107.93</v>
          </cell>
        </row>
        <row r="6961">
          <cell r="A6961">
            <v>41488</v>
          </cell>
          <cell r="B6961">
            <v>106.94</v>
          </cell>
        </row>
        <row r="6962">
          <cell r="A6962">
            <v>41491</v>
          </cell>
          <cell r="B6962">
            <v>106.61</v>
          </cell>
        </row>
        <row r="6963">
          <cell r="A6963">
            <v>41492</v>
          </cell>
          <cell r="B6963">
            <v>105.32</v>
          </cell>
        </row>
        <row r="6964">
          <cell r="A6964">
            <v>41493</v>
          </cell>
          <cell r="B6964">
            <v>104.41</v>
          </cell>
        </row>
        <row r="6965">
          <cell r="A6965">
            <v>41494</v>
          </cell>
          <cell r="B6965">
            <v>103.45</v>
          </cell>
        </row>
        <row r="6966">
          <cell r="A6966">
            <v>41495</v>
          </cell>
          <cell r="B6966">
            <v>106.04</v>
          </cell>
        </row>
        <row r="6967">
          <cell r="A6967">
            <v>41498</v>
          </cell>
          <cell r="B6967">
            <v>106.19</v>
          </cell>
        </row>
        <row r="6968">
          <cell r="A6968">
            <v>41499</v>
          </cell>
          <cell r="B6968">
            <v>106.78</v>
          </cell>
        </row>
        <row r="6969">
          <cell r="A6969">
            <v>41500</v>
          </cell>
          <cell r="B6969">
            <v>106.89</v>
          </cell>
        </row>
        <row r="6970">
          <cell r="A6970">
            <v>41501</v>
          </cell>
          <cell r="B6970">
            <v>107.43</v>
          </cell>
        </row>
        <row r="6971">
          <cell r="A6971">
            <v>41502</v>
          </cell>
          <cell r="B6971">
            <v>107.58</v>
          </cell>
        </row>
        <row r="6972">
          <cell r="A6972">
            <v>41505</v>
          </cell>
          <cell r="B6972">
            <v>107.14</v>
          </cell>
        </row>
        <row r="6973">
          <cell r="A6973">
            <v>41506</v>
          </cell>
          <cell r="B6973">
            <v>104.9</v>
          </cell>
        </row>
        <row r="6974">
          <cell r="A6974">
            <v>41507</v>
          </cell>
          <cell r="B6974">
            <v>103.93</v>
          </cell>
        </row>
        <row r="6975">
          <cell r="A6975">
            <v>41508</v>
          </cell>
          <cell r="B6975">
            <v>104.93</v>
          </cell>
        </row>
        <row r="6976">
          <cell r="A6976">
            <v>41509</v>
          </cell>
          <cell r="B6976">
            <v>106.48</v>
          </cell>
        </row>
        <row r="6977">
          <cell r="A6977">
            <v>41512</v>
          </cell>
          <cell r="B6977">
            <v>105.88</v>
          </cell>
        </row>
        <row r="6978">
          <cell r="A6978">
            <v>41513</v>
          </cell>
          <cell r="B6978">
            <v>109.11</v>
          </cell>
        </row>
        <row r="6979">
          <cell r="A6979">
            <v>41514</v>
          </cell>
          <cell r="B6979">
            <v>110.17</v>
          </cell>
        </row>
        <row r="6980">
          <cell r="A6980">
            <v>41515</v>
          </cell>
          <cell r="B6980">
            <v>108.51</v>
          </cell>
        </row>
        <row r="6981">
          <cell r="A6981">
            <v>41516</v>
          </cell>
          <cell r="B6981">
            <v>107.98</v>
          </cell>
        </row>
        <row r="6982">
          <cell r="A6982">
            <v>41520</v>
          </cell>
          <cell r="B6982">
            <v>108.67</v>
          </cell>
        </row>
        <row r="6983">
          <cell r="A6983">
            <v>41521</v>
          </cell>
          <cell r="B6983">
            <v>107.29</v>
          </cell>
        </row>
        <row r="6984">
          <cell r="A6984">
            <v>41522</v>
          </cell>
          <cell r="B6984">
            <v>108.5</v>
          </cell>
        </row>
        <row r="6985">
          <cell r="A6985">
            <v>41523</v>
          </cell>
          <cell r="B6985">
            <v>110.62</v>
          </cell>
        </row>
        <row r="6986">
          <cell r="A6986">
            <v>41526</v>
          </cell>
          <cell r="B6986">
            <v>109.62</v>
          </cell>
        </row>
        <row r="6987">
          <cell r="A6987">
            <v>41527</v>
          </cell>
          <cell r="B6987">
            <v>107.48</v>
          </cell>
        </row>
        <row r="6988">
          <cell r="A6988">
            <v>41528</v>
          </cell>
          <cell r="B6988">
            <v>107.65</v>
          </cell>
        </row>
        <row r="6989">
          <cell r="A6989">
            <v>41529</v>
          </cell>
          <cell r="B6989">
            <v>108.72</v>
          </cell>
        </row>
        <row r="6990">
          <cell r="A6990">
            <v>41530</v>
          </cell>
          <cell r="B6990">
            <v>108.31</v>
          </cell>
        </row>
        <row r="6991">
          <cell r="A6991">
            <v>41533</v>
          </cell>
          <cell r="B6991">
            <v>106.54</v>
          </cell>
        </row>
        <row r="6992">
          <cell r="A6992">
            <v>41534</v>
          </cell>
          <cell r="B6992">
            <v>105.36</v>
          </cell>
        </row>
        <row r="6993">
          <cell r="A6993">
            <v>41535</v>
          </cell>
          <cell r="B6993">
            <v>108.23</v>
          </cell>
        </row>
        <row r="6994">
          <cell r="A6994">
            <v>41536</v>
          </cell>
          <cell r="B6994">
            <v>106.26</v>
          </cell>
        </row>
        <row r="6995">
          <cell r="A6995">
            <v>41537</v>
          </cell>
          <cell r="B6995">
            <v>104.7</v>
          </cell>
        </row>
        <row r="6996">
          <cell r="A6996">
            <v>41540</v>
          </cell>
          <cell r="B6996">
            <v>103.62</v>
          </cell>
        </row>
        <row r="6997">
          <cell r="A6997">
            <v>41541</v>
          </cell>
          <cell r="B6997">
            <v>103.22</v>
          </cell>
        </row>
        <row r="6998">
          <cell r="A6998">
            <v>41542</v>
          </cell>
          <cell r="B6998">
            <v>102.68</v>
          </cell>
        </row>
        <row r="6999">
          <cell r="A6999">
            <v>41543</v>
          </cell>
          <cell r="B6999">
            <v>103.1</v>
          </cell>
        </row>
        <row r="7000">
          <cell r="A7000">
            <v>41544</v>
          </cell>
          <cell r="B7000">
            <v>102.86</v>
          </cell>
        </row>
        <row r="7001">
          <cell r="A7001">
            <v>41547</v>
          </cell>
          <cell r="B7001">
            <v>102.36</v>
          </cell>
        </row>
        <row r="7002">
          <cell r="A7002">
            <v>41548</v>
          </cell>
          <cell r="B7002">
            <v>102.09</v>
          </cell>
        </row>
        <row r="7003">
          <cell r="A7003">
            <v>41549</v>
          </cell>
          <cell r="B7003">
            <v>104.15</v>
          </cell>
        </row>
        <row r="7004">
          <cell r="A7004">
            <v>41550</v>
          </cell>
          <cell r="B7004">
            <v>103.29</v>
          </cell>
        </row>
        <row r="7005">
          <cell r="A7005">
            <v>41551</v>
          </cell>
          <cell r="B7005">
            <v>103.83</v>
          </cell>
        </row>
        <row r="7006">
          <cell r="A7006">
            <v>41554</v>
          </cell>
          <cell r="B7006">
            <v>103.07</v>
          </cell>
        </row>
        <row r="7007">
          <cell r="A7007">
            <v>41555</v>
          </cell>
          <cell r="B7007">
            <v>103.54</v>
          </cell>
        </row>
        <row r="7008">
          <cell r="A7008">
            <v>41556</v>
          </cell>
          <cell r="B7008">
            <v>101.63</v>
          </cell>
        </row>
        <row r="7009">
          <cell r="A7009">
            <v>41557</v>
          </cell>
          <cell r="B7009">
            <v>103.08</v>
          </cell>
        </row>
        <row r="7010">
          <cell r="A7010">
            <v>41558</v>
          </cell>
          <cell r="B7010">
            <v>102.17</v>
          </cell>
        </row>
        <row r="7011">
          <cell r="A7011">
            <v>41561</v>
          </cell>
          <cell r="B7011">
            <v>102.46</v>
          </cell>
        </row>
        <row r="7012">
          <cell r="A7012">
            <v>41562</v>
          </cell>
          <cell r="B7012">
            <v>101.15</v>
          </cell>
        </row>
        <row r="7013">
          <cell r="A7013">
            <v>41563</v>
          </cell>
          <cell r="B7013">
            <v>102.34</v>
          </cell>
        </row>
        <row r="7014">
          <cell r="A7014">
            <v>41564</v>
          </cell>
          <cell r="B7014">
            <v>100.72</v>
          </cell>
        </row>
        <row r="7015">
          <cell r="A7015">
            <v>41565</v>
          </cell>
          <cell r="B7015">
            <v>100.87</v>
          </cell>
        </row>
        <row r="7016">
          <cell r="A7016">
            <v>41568</v>
          </cell>
          <cell r="B7016">
            <v>99.28</v>
          </cell>
        </row>
        <row r="7017">
          <cell r="A7017">
            <v>41569</v>
          </cell>
          <cell r="B7017">
            <v>97.63</v>
          </cell>
        </row>
        <row r="7018">
          <cell r="A7018">
            <v>41570</v>
          </cell>
          <cell r="B7018">
            <v>96.9</v>
          </cell>
        </row>
        <row r="7019">
          <cell r="A7019">
            <v>41571</v>
          </cell>
          <cell r="B7019">
            <v>96.65</v>
          </cell>
        </row>
        <row r="7020">
          <cell r="A7020">
            <v>41572</v>
          </cell>
          <cell r="B7020">
            <v>97.4</v>
          </cell>
        </row>
        <row r="7021">
          <cell r="A7021">
            <v>41575</v>
          </cell>
          <cell r="B7021">
            <v>98.74</v>
          </cell>
        </row>
        <row r="7022">
          <cell r="A7022">
            <v>41576</v>
          </cell>
          <cell r="B7022">
            <v>98.29</v>
          </cell>
        </row>
        <row r="7023">
          <cell r="A7023">
            <v>41577</v>
          </cell>
          <cell r="B7023">
            <v>96.81</v>
          </cell>
        </row>
        <row r="7024">
          <cell r="A7024">
            <v>41578</v>
          </cell>
          <cell r="B7024">
            <v>96.29</v>
          </cell>
        </row>
        <row r="7025">
          <cell r="A7025">
            <v>41579</v>
          </cell>
          <cell r="B7025">
            <v>94.56</v>
          </cell>
        </row>
        <row r="7026">
          <cell r="A7026">
            <v>41582</v>
          </cell>
          <cell r="B7026">
            <v>94.58</v>
          </cell>
        </row>
        <row r="7027">
          <cell r="A7027">
            <v>41583</v>
          </cell>
          <cell r="B7027">
            <v>93.4</v>
          </cell>
        </row>
        <row r="7028">
          <cell r="A7028">
            <v>41584</v>
          </cell>
          <cell r="B7028">
            <v>94.74</v>
          </cell>
        </row>
        <row r="7029">
          <cell r="A7029">
            <v>41585</v>
          </cell>
          <cell r="B7029">
            <v>94.25</v>
          </cell>
        </row>
        <row r="7030">
          <cell r="A7030">
            <v>41586</v>
          </cell>
          <cell r="B7030">
            <v>94.56</v>
          </cell>
        </row>
        <row r="7031">
          <cell r="A7031">
            <v>41589</v>
          </cell>
          <cell r="B7031">
            <v>95.13</v>
          </cell>
        </row>
        <row r="7032">
          <cell r="A7032">
            <v>41590</v>
          </cell>
          <cell r="B7032">
            <v>93.12</v>
          </cell>
        </row>
        <row r="7033">
          <cell r="A7033">
            <v>41591</v>
          </cell>
          <cell r="B7033">
            <v>93.91</v>
          </cell>
        </row>
        <row r="7034">
          <cell r="A7034">
            <v>41592</v>
          </cell>
          <cell r="B7034">
            <v>93.76</v>
          </cell>
        </row>
        <row r="7035">
          <cell r="A7035">
            <v>41593</v>
          </cell>
          <cell r="B7035">
            <v>93.8</v>
          </cell>
        </row>
        <row r="7036">
          <cell r="A7036">
            <v>41596</v>
          </cell>
          <cell r="B7036">
            <v>93.03</v>
          </cell>
        </row>
        <row r="7037">
          <cell r="A7037">
            <v>41597</v>
          </cell>
          <cell r="B7037">
            <v>93.35</v>
          </cell>
        </row>
        <row r="7038">
          <cell r="A7038">
            <v>41598</v>
          </cell>
          <cell r="B7038">
            <v>93.34</v>
          </cell>
        </row>
        <row r="7039">
          <cell r="A7039">
            <v>41599</v>
          </cell>
          <cell r="B7039">
            <v>95.35</v>
          </cell>
        </row>
        <row r="7040">
          <cell r="A7040">
            <v>41600</v>
          </cell>
          <cell r="B7040">
            <v>94.53</v>
          </cell>
        </row>
        <row r="7041">
          <cell r="A7041">
            <v>41603</v>
          </cell>
          <cell r="B7041">
            <v>93.86</v>
          </cell>
        </row>
        <row r="7042">
          <cell r="A7042">
            <v>41604</v>
          </cell>
          <cell r="B7042">
            <v>93.41</v>
          </cell>
        </row>
        <row r="7043">
          <cell r="A7043">
            <v>41605</v>
          </cell>
          <cell r="B7043">
            <v>92.05</v>
          </cell>
        </row>
        <row r="7044">
          <cell r="A7044">
            <v>41607</v>
          </cell>
          <cell r="B7044">
            <v>92.55</v>
          </cell>
        </row>
        <row r="7045">
          <cell r="A7045">
            <v>41610</v>
          </cell>
          <cell r="B7045">
            <v>93.61</v>
          </cell>
        </row>
        <row r="7046">
          <cell r="A7046">
            <v>41611</v>
          </cell>
          <cell r="B7046">
            <v>95.83</v>
          </cell>
        </row>
        <row r="7047">
          <cell r="A7047">
            <v>41612</v>
          </cell>
          <cell r="B7047">
            <v>96.97</v>
          </cell>
        </row>
        <row r="7048">
          <cell r="A7048">
            <v>41613</v>
          </cell>
          <cell r="B7048">
            <v>97.14</v>
          </cell>
        </row>
        <row r="7049">
          <cell r="A7049">
            <v>41614</v>
          </cell>
          <cell r="B7049">
            <v>97.48</v>
          </cell>
        </row>
        <row r="7050">
          <cell r="A7050">
            <v>41617</v>
          </cell>
          <cell r="B7050">
            <v>97.1</v>
          </cell>
        </row>
        <row r="7051">
          <cell r="A7051">
            <v>41618</v>
          </cell>
          <cell r="B7051">
            <v>98.32</v>
          </cell>
        </row>
        <row r="7052">
          <cell r="A7052">
            <v>41619</v>
          </cell>
          <cell r="B7052">
            <v>97.25</v>
          </cell>
        </row>
        <row r="7053">
          <cell r="A7053">
            <v>41620</v>
          </cell>
          <cell r="B7053">
            <v>97.21</v>
          </cell>
        </row>
        <row r="7054">
          <cell r="A7054">
            <v>41621</v>
          </cell>
          <cell r="B7054">
            <v>96.27</v>
          </cell>
        </row>
        <row r="7055">
          <cell r="A7055">
            <v>41624</v>
          </cell>
          <cell r="B7055">
            <v>97.18</v>
          </cell>
        </row>
        <row r="7056">
          <cell r="A7056">
            <v>41625</v>
          </cell>
          <cell r="B7056">
            <v>96.99</v>
          </cell>
        </row>
        <row r="7057">
          <cell r="A7057">
            <v>41626</v>
          </cell>
          <cell r="B7057">
            <v>97.59</v>
          </cell>
        </row>
        <row r="7058">
          <cell r="A7058">
            <v>41627</v>
          </cell>
          <cell r="B7058">
            <v>98.4</v>
          </cell>
        </row>
        <row r="7059">
          <cell r="A7059">
            <v>41628</v>
          </cell>
          <cell r="B7059">
            <v>99.11</v>
          </cell>
        </row>
        <row r="7060">
          <cell r="A7060">
            <v>41631</v>
          </cell>
          <cell r="B7060">
            <v>98.62</v>
          </cell>
        </row>
        <row r="7061">
          <cell r="A7061">
            <v>41632</v>
          </cell>
          <cell r="B7061">
            <v>98.87</v>
          </cell>
        </row>
        <row r="7062">
          <cell r="A7062">
            <v>41634</v>
          </cell>
          <cell r="B7062">
            <v>99.18</v>
          </cell>
        </row>
        <row r="7063">
          <cell r="A7063">
            <v>41635</v>
          </cell>
          <cell r="B7063">
            <v>99.94</v>
          </cell>
        </row>
        <row r="7064">
          <cell r="A7064">
            <v>41638</v>
          </cell>
          <cell r="B7064">
            <v>98.9</v>
          </cell>
        </row>
        <row r="7065">
          <cell r="A7065">
            <v>41639</v>
          </cell>
          <cell r="B7065">
            <v>98.17</v>
          </cell>
        </row>
        <row r="7066">
          <cell r="A7066">
            <v>41641</v>
          </cell>
          <cell r="B7066">
            <v>95.14</v>
          </cell>
        </row>
        <row r="7067">
          <cell r="A7067">
            <v>41642</v>
          </cell>
          <cell r="B7067">
            <v>93.66</v>
          </cell>
        </row>
        <row r="7068">
          <cell r="A7068">
            <v>41645</v>
          </cell>
          <cell r="B7068">
            <v>93.12</v>
          </cell>
        </row>
        <row r="7069">
          <cell r="A7069">
            <v>41646</v>
          </cell>
          <cell r="B7069">
            <v>93.31</v>
          </cell>
        </row>
        <row r="7070">
          <cell r="A7070">
            <v>41647</v>
          </cell>
          <cell r="B7070">
            <v>91.9</v>
          </cell>
        </row>
        <row r="7071">
          <cell r="A7071">
            <v>41648</v>
          </cell>
          <cell r="B7071">
            <v>91.36</v>
          </cell>
        </row>
        <row r="7072">
          <cell r="A7072">
            <v>41649</v>
          </cell>
          <cell r="B7072">
            <v>92.39</v>
          </cell>
        </row>
        <row r="7073">
          <cell r="A7073">
            <v>41652</v>
          </cell>
          <cell r="B7073">
            <v>91.45</v>
          </cell>
        </row>
        <row r="7074">
          <cell r="A7074">
            <v>41653</v>
          </cell>
          <cell r="B7074">
            <v>92.15</v>
          </cell>
        </row>
        <row r="7075">
          <cell r="A7075">
            <v>41654</v>
          </cell>
          <cell r="B7075">
            <v>93.78</v>
          </cell>
        </row>
        <row r="7076">
          <cell r="A7076">
            <v>41655</v>
          </cell>
          <cell r="B7076">
            <v>93.54</v>
          </cell>
        </row>
        <row r="7077">
          <cell r="A7077">
            <v>41656</v>
          </cell>
          <cell r="B7077">
            <v>93.96</v>
          </cell>
        </row>
        <row r="7078">
          <cell r="A7078">
            <v>41660</v>
          </cell>
          <cell r="B7078">
            <v>94.51</v>
          </cell>
        </row>
        <row r="7079">
          <cell r="A7079">
            <v>41661</v>
          </cell>
          <cell r="B7079">
            <v>96.35</v>
          </cell>
        </row>
        <row r="7080">
          <cell r="A7080">
            <v>41662</v>
          </cell>
          <cell r="B7080">
            <v>97.23</v>
          </cell>
        </row>
        <row r="7081">
          <cell r="A7081">
            <v>41663</v>
          </cell>
          <cell r="B7081">
            <v>96.66</v>
          </cell>
        </row>
        <row r="7082">
          <cell r="A7082">
            <v>41666</v>
          </cell>
          <cell r="B7082">
            <v>95.82</v>
          </cell>
        </row>
        <row r="7083">
          <cell r="A7083">
            <v>41667</v>
          </cell>
          <cell r="B7083">
            <v>97.49</v>
          </cell>
        </row>
        <row r="7084">
          <cell r="A7084">
            <v>41668</v>
          </cell>
          <cell r="B7084">
            <v>97.34</v>
          </cell>
        </row>
        <row r="7085">
          <cell r="A7085">
            <v>41669</v>
          </cell>
          <cell r="B7085">
            <v>98.25</v>
          </cell>
        </row>
        <row r="7086">
          <cell r="A7086">
            <v>41670</v>
          </cell>
          <cell r="B7086">
            <v>97.55</v>
          </cell>
        </row>
        <row r="7087">
          <cell r="A7087">
            <v>41673</v>
          </cell>
          <cell r="B7087">
            <v>96.44</v>
          </cell>
        </row>
        <row r="7088">
          <cell r="A7088">
            <v>41674</v>
          </cell>
          <cell r="B7088">
            <v>97.24</v>
          </cell>
        </row>
        <row r="7089">
          <cell r="A7089">
            <v>41675</v>
          </cell>
          <cell r="B7089">
            <v>97.4</v>
          </cell>
        </row>
        <row r="7090">
          <cell r="A7090">
            <v>41676</v>
          </cell>
          <cell r="B7090">
            <v>97.84</v>
          </cell>
        </row>
        <row r="7091">
          <cell r="A7091">
            <v>41677</v>
          </cell>
          <cell r="B7091">
            <v>99.98</v>
          </cell>
        </row>
        <row r="7092">
          <cell r="A7092">
            <v>41680</v>
          </cell>
          <cell r="B7092">
            <v>100.12</v>
          </cell>
        </row>
        <row r="7093">
          <cell r="A7093">
            <v>41681</v>
          </cell>
          <cell r="B7093">
            <v>99.96</v>
          </cell>
        </row>
        <row r="7094">
          <cell r="A7094">
            <v>41682</v>
          </cell>
          <cell r="B7094">
            <v>100.38</v>
          </cell>
        </row>
        <row r="7095">
          <cell r="A7095">
            <v>41683</v>
          </cell>
          <cell r="B7095">
            <v>100.27</v>
          </cell>
        </row>
        <row r="7096">
          <cell r="A7096">
            <v>41684</v>
          </cell>
          <cell r="B7096">
            <v>100.31</v>
          </cell>
        </row>
        <row r="7097">
          <cell r="A7097">
            <v>41688</v>
          </cell>
          <cell r="B7097">
            <v>102.54</v>
          </cell>
        </row>
        <row r="7098">
          <cell r="A7098">
            <v>41689</v>
          </cell>
          <cell r="B7098">
            <v>103.46</v>
          </cell>
        </row>
        <row r="7099">
          <cell r="A7099">
            <v>41690</v>
          </cell>
          <cell r="B7099">
            <v>103.2</v>
          </cell>
        </row>
        <row r="7100">
          <cell r="A7100">
            <v>41691</v>
          </cell>
          <cell r="B7100">
            <v>102.53</v>
          </cell>
        </row>
        <row r="7101">
          <cell r="A7101">
            <v>41694</v>
          </cell>
          <cell r="B7101">
            <v>103.17</v>
          </cell>
        </row>
        <row r="7102">
          <cell r="A7102">
            <v>41695</v>
          </cell>
          <cell r="B7102">
            <v>102.2</v>
          </cell>
        </row>
        <row r="7103">
          <cell r="A7103">
            <v>41696</v>
          </cell>
          <cell r="B7103">
            <v>102.93</v>
          </cell>
        </row>
        <row r="7104">
          <cell r="A7104">
            <v>41697</v>
          </cell>
          <cell r="B7104">
            <v>102.68</v>
          </cell>
        </row>
        <row r="7105">
          <cell r="A7105">
            <v>41698</v>
          </cell>
          <cell r="B7105">
            <v>102.88</v>
          </cell>
        </row>
        <row r="7106">
          <cell r="A7106">
            <v>41701</v>
          </cell>
          <cell r="B7106">
            <v>105.34</v>
          </cell>
        </row>
        <row r="7107">
          <cell r="A7107">
            <v>41702</v>
          </cell>
          <cell r="B7107">
            <v>103.64</v>
          </cell>
        </row>
        <row r="7108">
          <cell r="A7108">
            <v>41703</v>
          </cell>
          <cell r="B7108">
            <v>101.75</v>
          </cell>
        </row>
        <row r="7109">
          <cell r="A7109">
            <v>41704</v>
          </cell>
          <cell r="B7109">
            <v>101.82</v>
          </cell>
        </row>
        <row r="7110">
          <cell r="A7110">
            <v>41705</v>
          </cell>
          <cell r="B7110">
            <v>102.82</v>
          </cell>
        </row>
        <row r="7111">
          <cell r="A7111">
            <v>41708</v>
          </cell>
          <cell r="B7111">
            <v>101.39</v>
          </cell>
        </row>
        <row r="7112">
          <cell r="A7112">
            <v>41709</v>
          </cell>
          <cell r="B7112">
            <v>100.29</v>
          </cell>
        </row>
        <row r="7113">
          <cell r="A7113">
            <v>41710</v>
          </cell>
          <cell r="B7113">
            <v>98.29</v>
          </cell>
        </row>
        <row r="7114">
          <cell r="A7114">
            <v>41711</v>
          </cell>
          <cell r="B7114">
            <v>98.57</v>
          </cell>
        </row>
        <row r="7115">
          <cell r="A7115">
            <v>41712</v>
          </cell>
          <cell r="B7115">
            <v>99.23</v>
          </cell>
        </row>
        <row r="7116">
          <cell r="A7116">
            <v>41715</v>
          </cell>
          <cell r="B7116">
            <v>98.43</v>
          </cell>
        </row>
        <row r="7117">
          <cell r="A7117">
            <v>41716</v>
          </cell>
          <cell r="B7117">
            <v>100.08</v>
          </cell>
        </row>
        <row r="7118">
          <cell r="A7118">
            <v>41717</v>
          </cell>
          <cell r="B7118">
            <v>100.71</v>
          </cell>
        </row>
        <row r="7119">
          <cell r="A7119">
            <v>41718</v>
          </cell>
          <cell r="B7119">
            <v>99.68</v>
          </cell>
        </row>
        <row r="7120">
          <cell r="A7120">
            <v>41719</v>
          </cell>
          <cell r="B7120">
            <v>99.97</v>
          </cell>
        </row>
        <row r="7121">
          <cell r="A7121">
            <v>41722</v>
          </cell>
          <cell r="B7121">
            <v>100.05</v>
          </cell>
        </row>
        <row r="7122">
          <cell r="A7122">
            <v>41723</v>
          </cell>
          <cell r="B7122">
            <v>99.66</v>
          </cell>
        </row>
        <row r="7123">
          <cell r="A7123">
            <v>41724</v>
          </cell>
          <cell r="B7123">
            <v>100.61</v>
          </cell>
        </row>
        <row r="7124">
          <cell r="A7124">
            <v>41725</v>
          </cell>
          <cell r="B7124">
            <v>101.25</v>
          </cell>
        </row>
        <row r="7125">
          <cell r="A7125">
            <v>41726</v>
          </cell>
          <cell r="B7125">
            <v>101.73</v>
          </cell>
        </row>
        <row r="7126">
          <cell r="A7126">
            <v>41729</v>
          </cell>
          <cell r="B7126">
            <v>101.57</v>
          </cell>
        </row>
        <row r="7127">
          <cell r="A7127">
            <v>41730</v>
          </cell>
          <cell r="B7127">
            <v>99.69</v>
          </cell>
        </row>
        <row r="7128">
          <cell r="A7128">
            <v>41731</v>
          </cell>
          <cell r="B7128">
            <v>99.6</v>
          </cell>
        </row>
        <row r="7129">
          <cell r="A7129">
            <v>41732</v>
          </cell>
          <cell r="B7129">
            <v>100.29</v>
          </cell>
        </row>
        <row r="7130">
          <cell r="A7130">
            <v>41733</v>
          </cell>
          <cell r="B7130">
            <v>101.16</v>
          </cell>
        </row>
        <row r="7131">
          <cell r="A7131">
            <v>41736</v>
          </cell>
          <cell r="B7131">
            <v>100.43</v>
          </cell>
        </row>
        <row r="7132">
          <cell r="A7132">
            <v>41737</v>
          </cell>
          <cell r="B7132">
            <v>102.57</v>
          </cell>
        </row>
        <row r="7133">
          <cell r="A7133">
            <v>41738</v>
          </cell>
          <cell r="B7133">
            <v>103.55</v>
          </cell>
        </row>
        <row r="7134">
          <cell r="A7134">
            <v>41739</v>
          </cell>
          <cell r="B7134">
            <v>103.37</v>
          </cell>
        </row>
        <row r="7135">
          <cell r="A7135">
            <v>41740</v>
          </cell>
          <cell r="B7135">
            <v>103.68</v>
          </cell>
        </row>
        <row r="7136">
          <cell r="A7136">
            <v>41743</v>
          </cell>
          <cell r="B7136">
            <v>104.05</v>
          </cell>
        </row>
        <row r="7137">
          <cell r="A7137">
            <v>41744</v>
          </cell>
          <cell r="B7137">
            <v>103.7</v>
          </cell>
        </row>
        <row r="7138">
          <cell r="A7138">
            <v>41745</v>
          </cell>
          <cell r="B7138">
            <v>103.71</v>
          </cell>
        </row>
        <row r="7139">
          <cell r="A7139">
            <v>41746</v>
          </cell>
          <cell r="B7139">
            <v>104.33</v>
          </cell>
        </row>
        <row r="7140">
          <cell r="A7140">
            <v>41750</v>
          </cell>
          <cell r="B7140">
            <v>104.35</v>
          </cell>
        </row>
        <row r="7141">
          <cell r="A7141">
            <v>41751</v>
          </cell>
          <cell r="B7141">
            <v>101.69</v>
          </cell>
        </row>
        <row r="7142">
          <cell r="A7142">
            <v>41752</v>
          </cell>
          <cell r="B7142">
            <v>101.47</v>
          </cell>
        </row>
        <row r="7143">
          <cell r="A7143">
            <v>41753</v>
          </cell>
          <cell r="B7143">
            <v>102.2</v>
          </cell>
        </row>
        <row r="7144">
          <cell r="A7144">
            <v>41754</v>
          </cell>
          <cell r="B7144">
            <v>100.85</v>
          </cell>
        </row>
        <row r="7145">
          <cell r="A7145">
            <v>41757</v>
          </cell>
          <cell r="B7145">
            <v>101.13</v>
          </cell>
        </row>
        <row r="7146">
          <cell r="A7146">
            <v>41758</v>
          </cell>
          <cell r="B7146">
            <v>101.56</v>
          </cell>
        </row>
        <row r="7147">
          <cell r="A7147">
            <v>41759</v>
          </cell>
          <cell r="B7147">
            <v>100.07</v>
          </cell>
        </row>
        <row r="7148">
          <cell r="A7148">
            <v>41760</v>
          </cell>
          <cell r="B7148">
            <v>99.69</v>
          </cell>
        </row>
        <row r="7149">
          <cell r="A7149">
            <v>41761</v>
          </cell>
          <cell r="B7149">
            <v>100.09</v>
          </cell>
        </row>
        <row r="7150">
          <cell r="A7150">
            <v>41764</v>
          </cell>
          <cell r="B7150">
            <v>99.74</v>
          </cell>
        </row>
        <row r="7151">
          <cell r="A7151">
            <v>41765</v>
          </cell>
          <cell r="B7151">
            <v>99.81</v>
          </cell>
        </row>
        <row r="7152">
          <cell r="A7152">
            <v>41766</v>
          </cell>
          <cell r="B7152">
            <v>101.06</v>
          </cell>
        </row>
        <row r="7153">
          <cell r="A7153">
            <v>41767</v>
          </cell>
          <cell r="B7153">
            <v>100.52</v>
          </cell>
        </row>
        <row r="7154">
          <cell r="A7154">
            <v>41768</v>
          </cell>
          <cell r="B7154">
            <v>100.32</v>
          </cell>
        </row>
        <row r="7155">
          <cell r="A7155">
            <v>41771</v>
          </cell>
          <cell r="B7155">
            <v>100.89</v>
          </cell>
        </row>
        <row r="7156">
          <cell r="A7156">
            <v>41772</v>
          </cell>
          <cell r="B7156">
            <v>102.01</v>
          </cell>
        </row>
        <row r="7157">
          <cell r="A7157">
            <v>41773</v>
          </cell>
          <cell r="B7157">
            <v>102.63</v>
          </cell>
        </row>
        <row r="7158">
          <cell r="A7158">
            <v>41774</v>
          </cell>
          <cell r="B7158">
            <v>101.74</v>
          </cell>
        </row>
        <row r="7159">
          <cell r="A7159">
            <v>41775</v>
          </cell>
          <cell r="B7159">
            <v>102.31</v>
          </cell>
        </row>
        <row r="7160">
          <cell r="A7160">
            <v>41778</v>
          </cell>
          <cell r="B7160">
            <v>102.95</v>
          </cell>
        </row>
        <row r="7161">
          <cell r="A7161">
            <v>41779</v>
          </cell>
          <cell r="B7161">
            <v>102.8</v>
          </cell>
        </row>
        <row r="7162">
          <cell r="A7162">
            <v>41780</v>
          </cell>
          <cell r="B7162">
            <v>104.31</v>
          </cell>
        </row>
        <row r="7163">
          <cell r="A7163">
            <v>41781</v>
          </cell>
          <cell r="B7163">
            <v>104.03</v>
          </cell>
        </row>
        <row r="7164">
          <cell r="A7164">
            <v>41782</v>
          </cell>
          <cell r="B7164">
            <v>105.01</v>
          </cell>
        </row>
        <row r="7165">
          <cell r="A7165">
            <v>41786</v>
          </cell>
          <cell r="B7165">
            <v>104.78</v>
          </cell>
        </row>
        <row r="7166">
          <cell r="A7166">
            <v>41787</v>
          </cell>
          <cell r="B7166">
            <v>103.37</v>
          </cell>
        </row>
        <row r="7167">
          <cell r="A7167">
            <v>41788</v>
          </cell>
          <cell r="B7167">
            <v>104.26</v>
          </cell>
        </row>
        <row r="7168">
          <cell r="A7168">
            <v>41789</v>
          </cell>
          <cell r="B7168">
            <v>103.4</v>
          </cell>
        </row>
        <row r="7169">
          <cell r="A7169">
            <v>41792</v>
          </cell>
          <cell r="B7169">
            <v>103.07</v>
          </cell>
        </row>
        <row r="7170">
          <cell r="A7170">
            <v>41793</v>
          </cell>
          <cell r="B7170">
            <v>103.34</v>
          </cell>
        </row>
        <row r="7171">
          <cell r="A7171">
            <v>41794</v>
          </cell>
          <cell r="B7171">
            <v>103.27</v>
          </cell>
        </row>
        <row r="7172">
          <cell r="A7172">
            <v>41795</v>
          </cell>
          <cell r="B7172">
            <v>103.17</v>
          </cell>
        </row>
        <row r="7173">
          <cell r="A7173">
            <v>41796</v>
          </cell>
          <cell r="B7173">
            <v>103.32</v>
          </cell>
        </row>
        <row r="7174">
          <cell r="A7174">
            <v>41799</v>
          </cell>
          <cell r="B7174">
            <v>105.09</v>
          </cell>
        </row>
        <row r="7175">
          <cell r="A7175">
            <v>41800</v>
          </cell>
          <cell r="B7175">
            <v>105.02</v>
          </cell>
        </row>
        <row r="7176">
          <cell r="A7176">
            <v>41801</v>
          </cell>
          <cell r="B7176">
            <v>105.04</v>
          </cell>
        </row>
        <row r="7177">
          <cell r="A7177">
            <v>41802</v>
          </cell>
          <cell r="B7177">
            <v>107.2</v>
          </cell>
        </row>
        <row r="7178">
          <cell r="A7178">
            <v>41803</v>
          </cell>
          <cell r="B7178">
            <v>107.49</v>
          </cell>
        </row>
        <row r="7179">
          <cell r="A7179">
            <v>41806</v>
          </cell>
          <cell r="B7179">
            <v>107.52</v>
          </cell>
        </row>
        <row r="7180">
          <cell r="A7180">
            <v>41807</v>
          </cell>
          <cell r="B7180">
            <v>106.95</v>
          </cell>
        </row>
        <row r="7181">
          <cell r="A7181">
            <v>41808</v>
          </cell>
          <cell r="B7181">
            <v>106.64</v>
          </cell>
        </row>
        <row r="7182">
          <cell r="A7182">
            <v>41809</v>
          </cell>
          <cell r="B7182">
            <v>107.08</v>
          </cell>
        </row>
        <row r="7183">
          <cell r="A7183">
            <v>41810</v>
          </cell>
          <cell r="B7183">
            <v>107.95</v>
          </cell>
        </row>
        <row r="7184">
          <cell r="A7184">
            <v>41813</v>
          </cell>
          <cell r="B7184">
            <v>106.83</v>
          </cell>
        </row>
        <row r="7185">
          <cell r="A7185">
            <v>41814</v>
          </cell>
          <cell r="B7185">
            <v>106.64</v>
          </cell>
        </row>
        <row r="7186">
          <cell r="A7186">
            <v>41815</v>
          </cell>
          <cell r="B7186">
            <v>107.04</v>
          </cell>
        </row>
        <row r="7187">
          <cell r="A7187">
            <v>41816</v>
          </cell>
          <cell r="B7187">
            <v>106.49</v>
          </cell>
        </row>
        <row r="7188">
          <cell r="A7188">
            <v>41817</v>
          </cell>
          <cell r="B7188">
            <v>106.46</v>
          </cell>
        </row>
        <row r="7189">
          <cell r="A7189">
            <v>41820</v>
          </cell>
          <cell r="B7189">
            <v>106.07</v>
          </cell>
        </row>
        <row r="7190">
          <cell r="A7190">
            <v>41821</v>
          </cell>
          <cell r="B7190">
            <v>106.06</v>
          </cell>
        </row>
        <row r="7191">
          <cell r="A7191">
            <v>41822</v>
          </cell>
          <cell r="B7191">
            <v>105.18</v>
          </cell>
        </row>
        <row r="7192">
          <cell r="A7192">
            <v>41823</v>
          </cell>
          <cell r="B7192">
            <v>104.76</v>
          </cell>
        </row>
        <row r="7193">
          <cell r="A7193">
            <v>41827</v>
          </cell>
          <cell r="B7193">
            <v>104.19</v>
          </cell>
        </row>
        <row r="7194">
          <cell r="A7194">
            <v>41828</v>
          </cell>
          <cell r="B7194">
            <v>104.06</v>
          </cell>
        </row>
        <row r="7195">
          <cell r="A7195">
            <v>41829</v>
          </cell>
          <cell r="B7195">
            <v>102.93</v>
          </cell>
        </row>
        <row r="7196">
          <cell r="A7196">
            <v>41830</v>
          </cell>
          <cell r="B7196">
            <v>103.61</v>
          </cell>
        </row>
        <row r="7197">
          <cell r="A7197">
            <v>41831</v>
          </cell>
          <cell r="B7197">
            <v>101.48</v>
          </cell>
        </row>
        <row r="7198">
          <cell r="A7198">
            <v>41834</v>
          </cell>
          <cell r="B7198">
            <v>101.73</v>
          </cell>
        </row>
        <row r="7199">
          <cell r="A7199">
            <v>41835</v>
          </cell>
          <cell r="B7199">
            <v>100.56</v>
          </cell>
        </row>
        <row r="7200">
          <cell r="A7200">
            <v>41836</v>
          </cell>
          <cell r="B7200">
            <v>101.88</v>
          </cell>
        </row>
        <row r="7201">
          <cell r="A7201">
            <v>41837</v>
          </cell>
          <cell r="B7201">
            <v>103.84</v>
          </cell>
        </row>
        <row r="7202">
          <cell r="A7202">
            <v>41838</v>
          </cell>
          <cell r="B7202">
            <v>103.83</v>
          </cell>
        </row>
        <row r="7203">
          <cell r="A7203">
            <v>41841</v>
          </cell>
          <cell r="B7203">
            <v>105.34</v>
          </cell>
        </row>
        <row r="7204">
          <cell r="A7204">
            <v>41842</v>
          </cell>
          <cell r="B7204">
            <v>104.59</v>
          </cell>
        </row>
        <row r="7205">
          <cell r="A7205">
            <v>41843</v>
          </cell>
          <cell r="B7205">
            <v>103.81</v>
          </cell>
        </row>
        <row r="7206">
          <cell r="A7206">
            <v>41844</v>
          </cell>
          <cell r="B7206">
            <v>102.76</v>
          </cell>
        </row>
        <row r="7207">
          <cell r="A7207">
            <v>41845</v>
          </cell>
          <cell r="B7207">
            <v>105.23</v>
          </cell>
        </row>
        <row r="7208">
          <cell r="A7208">
            <v>41848</v>
          </cell>
          <cell r="B7208">
            <v>105.68</v>
          </cell>
        </row>
        <row r="7209">
          <cell r="A7209">
            <v>41849</v>
          </cell>
          <cell r="B7209">
            <v>104.91</v>
          </cell>
        </row>
        <row r="7210">
          <cell r="A7210">
            <v>41850</v>
          </cell>
          <cell r="B7210">
            <v>104.29</v>
          </cell>
        </row>
        <row r="7211">
          <cell r="A7211">
            <v>41851</v>
          </cell>
          <cell r="B7211">
            <v>98.23</v>
          </cell>
        </row>
        <row r="7212">
          <cell r="A7212">
            <v>41852</v>
          </cell>
          <cell r="B7212">
            <v>97.86</v>
          </cell>
        </row>
        <row r="7213">
          <cell r="A7213">
            <v>41855</v>
          </cell>
          <cell r="B7213">
            <v>98.26</v>
          </cell>
        </row>
        <row r="7214">
          <cell r="A7214">
            <v>41856</v>
          </cell>
          <cell r="B7214">
            <v>97.34</v>
          </cell>
        </row>
        <row r="7215">
          <cell r="A7215">
            <v>41857</v>
          </cell>
          <cell r="B7215">
            <v>96.93</v>
          </cell>
        </row>
        <row r="7216">
          <cell r="A7216">
            <v>41858</v>
          </cell>
          <cell r="B7216">
            <v>97.34</v>
          </cell>
        </row>
        <row r="7217">
          <cell r="A7217">
            <v>41859</v>
          </cell>
          <cell r="B7217">
            <v>97.61</v>
          </cell>
        </row>
        <row r="7218">
          <cell r="A7218">
            <v>41862</v>
          </cell>
          <cell r="B7218">
            <v>98.09</v>
          </cell>
        </row>
        <row r="7219">
          <cell r="A7219">
            <v>41863</v>
          </cell>
          <cell r="B7219">
            <v>97.36</v>
          </cell>
        </row>
        <row r="7220">
          <cell r="A7220">
            <v>41864</v>
          </cell>
          <cell r="B7220">
            <v>97.57</v>
          </cell>
        </row>
        <row r="7221">
          <cell r="A7221">
            <v>41865</v>
          </cell>
          <cell r="B7221">
            <v>95.54</v>
          </cell>
        </row>
        <row r="7222">
          <cell r="A7222">
            <v>41866</v>
          </cell>
          <cell r="B7222">
            <v>97.3</v>
          </cell>
        </row>
        <row r="7223">
          <cell r="A7223">
            <v>41869</v>
          </cell>
          <cell r="B7223">
            <v>96.44</v>
          </cell>
        </row>
        <row r="7224">
          <cell r="A7224">
            <v>41870</v>
          </cell>
          <cell r="B7224">
            <v>94.35</v>
          </cell>
        </row>
        <row r="7225">
          <cell r="A7225">
            <v>41871</v>
          </cell>
          <cell r="B7225">
            <v>96.4</v>
          </cell>
        </row>
        <row r="7226">
          <cell r="A7226">
            <v>41872</v>
          </cell>
          <cell r="B7226">
            <v>93.97</v>
          </cell>
        </row>
        <row r="7227">
          <cell r="A7227">
            <v>41873</v>
          </cell>
          <cell r="B7227">
            <v>93.61</v>
          </cell>
        </row>
        <row r="7228">
          <cell r="A7228">
            <v>41876</v>
          </cell>
          <cell r="B7228">
            <v>95.39</v>
          </cell>
        </row>
        <row r="7229">
          <cell r="A7229">
            <v>41877</v>
          </cell>
          <cell r="B7229">
            <v>95.78</v>
          </cell>
        </row>
        <row r="7230">
          <cell r="A7230">
            <v>41878</v>
          </cell>
          <cell r="B7230">
            <v>95.82</v>
          </cell>
        </row>
        <row r="7231">
          <cell r="A7231">
            <v>41879</v>
          </cell>
          <cell r="B7231">
            <v>96.44</v>
          </cell>
        </row>
        <row r="7232">
          <cell r="A7232">
            <v>41880</v>
          </cell>
          <cell r="B7232">
            <v>97.86</v>
          </cell>
        </row>
        <row r="7233">
          <cell r="A7233">
            <v>41884</v>
          </cell>
          <cell r="B7233">
            <v>92.92</v>
          </cell>
        </row>
        <row r="7234">
          <cell r="A7234">
            <v>41885</v>
          </cell>
          <cell r="B7234">
            <v>95.5</v>
          </cell>
        </row>
        <row r="7235">
          <cell r="A7235">
            <v>41886</v>
          </cell>
          <cell r="B7235">
            <v>94.51</v>
          </cell>
        </row>
        <row r="7236">
          <cell r="A7236">
            <v>41887</v>
          </cell>
          <cell r="B7236">
            <v>93.32</v>
          </cell>
        </row>
        <row r="7237">
          <cell r="A7237">
            <v>41890</v>
          </cell>
          <cell r="B7237">
            <v>92.64</v>
          </cell>
        </row>
        <row r="7238">
          <cell r="A7238">
            <v>41891</v>
          </cell>
          <cell r="B7238">
            <v>92.73</v>
          </cell>
        </row>
        <row r="7239">
          <cell r="A7239">
            <v>41892</v>
          </cell>
          <cell r="B7239">
            <v>91.71</v>
          </cell>
        </row>
        <row r="7240">
          <cell r="A7240">
            <v>41893</v>
          </cell>
          <cell r="B7240">
            <v>92.89</v>
          </cell>
        </row>
        <row r="7241">
          <cell r="A7241">
            <v>41894</v>
          </cell>
          <cell r="B7241">
            <v>92.18</v>
          </cell>
        </row>
        <row r="7242">
          <cell r="A7242">
            <v>41897</v>
          </cell>
          <cell r="B7242">
            <v>92.86</v>
          </cell>
        </row>
        <row r="7243">
          <cell r="A7243">
            <v>41898</v>
          </cell>
          <cell r="B7243">
            <v>94.91</v>
          </cell>
        </row>
        <row r="7244">
          <cell r="A7244">
            <v>41899</v>
          </cell>
          <cell r="B7244">
            <v>94.33</v>
          </cell>
        </row>
        <row r="7245">
          <cell r="A7245">
            <v>41900</v>
          </cell>
          <cell r="B7245">
            <v>93.07</v>
          </cell>
        </row>
        <row r="7246">
          <cell r="A7246">
            <v>41901</v>
          </cell>
          <cell r="B7246">
            <v>92.43</v>
          </cell>
        </row>
        <row r="7247">
          <cell r="A7247">
            <v>41904</v>
          </cell>
          <cell r="B7247">
            <v>91.46</v>
          </cell>
        </row>
        <row r="7248">
          <cell r="A7248">
            <v>41905</v>
          </cell>
          <cell r="B7248">
            <v>91.55</v>
          </cell>
        </row>
        <row r="7249">
          <cell r="A7249">
            <v>41906</v>
          </cell>
          <cell r="B7249">
            <v>93.6</v>
          </cell>
        </row>
        <row r="7250">
          <cell r="A7250">
            <v>41907</v>
          </cell>
          <cell r="B7250">
            <v>93.59</v>
          </cell>
        </row>
        <row r="7251">
          <cell r="A7251">
            <v>41908</v>
          </cell>
          <cell r="B7251">
            <v>95.55</v>
          </cell>
        </row>
        <row r="7252">
          <cell r="A7252">
            <v>41911</v>
          </cell>
          <cell r="B7252">
            <v>94.53</v>
          </cell>
        </row>
        <row r="7253">
          <cell r="A7253">
            <v>41912</v>
          </cell>
          <cell r="B7253">
            <v>91.17</v>
          </cell>
        </row>
        <row r="7254">
          <cell r="A7254">
            <v>41913</v>
          </cell>
          <cell r="B7254">
            <v>90.74</v>
          </cell>
        </row>
        <row r="7255">
          <cell r="A7255">
            <v>41914</v>
          </cell>
          <cell r="B7255">
            <v>91.02</v>
          </cell>
        </row>
        <row r="7256">
          <cell r="A7256">
            <v>41915</v>
          </cell>
          <cell r="B7256">
            <v>89.76</v>
          </cell>
        </row>
        <row r="7257">
          <cell r="A7257">
            <v>41918</v>
          </cell>
          <cell r="B7257">
            <v>90.33</v>
          </cell>
        </row>
        <row r="7258">
          <cell r="A7258">
            <v>41919</v>
          </cell>
          <cell r="B7258">
            <v>88.89</v>
          </cell>
        </row>
        <row r="7259">
          <cell r="A7259">
            <v>41920</v>
          </cell>
          <cell r="B7259">
            <v>87.29</v>
          </cell>
        </row>
        <row r="7260">
          <cell r="A7260">
            <v>41921</v>
          </cell>
          <cell r="B7260">
            <v>85.76</v>
          </cell>
        </row>
        <row r="7261">
          <cell r="A7261">
            <v>41922</v>
          </cell>
          <cell r="B7261">
            <v>85.87</v>
          </cell>
        </row>
        <row r="7262">
          <cell r="A7262">
            <v>41925</v>
          </cell>
          <cell r="B7262">
            <v>85.73</v>
          </cell>
        </row>
        <row r="7263">
          <cell r="A7263">
            <v>41926</v>
          </cell>
          <cell r="B7263">
            <v>81.72</v>
          </cell>
        </row>
        <row r="7264">
          <cell r="A7264">
            <v>41927</v>
          </cell>
          <cell r="B7264">
            <v>81.819999999999993</v>
          </cell>
        </row>
        <row r="7265">
          <cell r="A7265">
            <v>41928</v>
          </cell>
          <cell r="B7265">
            <v>82.33</v>
          </cell>
        </row>
        <row r="7266">
          <cell r="A7266">
            <v>41929</v>
          </cell>
          <cell r="B7266">
            <v>82.8</v>
          </cell>
        </row>
        <row r="7267">
          <cell r="A7267">
            <v>41932</v>
          </cell>
          <cell r="B7267">
            <v>82.76</v>
          </cell>
        </row>
        <row r="7268">
          <cell r="A7268">
            <v>41933</v>
          </cell>
          <cell r="B7268">
            <v>83.25</v>
          </cell>
        </row>
        <row r="7269">
          <cell r="A7269">
            <v>41934</v>
          </cell>
          <cell r="B7269">
            <v>80.52</v>
          </cell>
        </row>
        <row r="7270">
          <cell r="A7270">
            <v>41935</v>
          </cell>
          <cell r="B7270">
            <v>82.81</v>
          </cell>
        </row>
        <row r="7271">
          <cell r="A7271">
            <v>41936</v>
          </cell>
          <cell r="B7271">
            <v>81.27</v>
          </cell>
        </row>
        <row r="7272">
          <cell r="A7272">
            <v>41939</v>
          </cell>
          <cell r="B7272">
            <v>81.260000000000005</v>
          </cell>
        </row>
        <row r="7273">
          <cell r="A7273">
            <v>41940</v>
          </cell>
          <cell r="B7273">
            <v>81.36</v>
          </cell>
        </row>
        <row r="7274">
          <cell r="A7274">
            <v>41941</v>
          </cell>
          <cell r="B7274">
            <v>82.25</v>
          </cell>
        </row>
        <row r="7275">
          <cell r="A7275">
            <v>41942</v>
          </cell>
          <cell r="B7275">
            <v>81.06</v>
          </cell>
        </row>
        <row r="7276">
          <cell r="A7276">
            <v>41943</v>
          </cell>
          <cell r="B7276">
            <v>80.53</v>
          </cell>
        </row>
        <row r="7277">
          <cell r="A7277">
            <v>41946</v>
          </cell>
          <cell r="B7277">
            <v>78.77</v>
          </cell>
        </row>
        <row r="7278">
          <cell r="A7278">
            <v>41947</v>
          </cell>
          <cell r="B7278">
            <v>77.150000000000006</v>
          </cell>
        </row>
        <row r="7279">
          <cell r="A7279">
            <v>41948</v>
          </cell>
          <cell r="B7279">
            <v>78.709999999999994</v>
          </cell>
        </row>
        <row r="7280">
          <cell r="A7280">
            <v>41949</v>
          </cell>
          <cell r="B7280">
            <v>77.87</v>
          </cell>
        </row>
        <row r="7281">
          <cell r="A7281">
            <v>41950</v>
          </cell>
          <cell r="B7281">
            <v>78.709999999999994</v>
          </cell>
        </row>
        <row r="7282">
          <cell r="A7282">
            <v>41953</v>
          </cell>
          <cell r="B7282">
            <v>77.430000000000007</v>
          </cell>
        </row>
        <row r="7283">
          <cell r="A7283">
            <v>41954</v>
          </cell>
          <cell r="B7283">
            <v>77.849999999999994</v>
          </cell>
        </row>
        <row r="7284">
          <cell r="A7284">
            <v>41955</v>
          </cell>
          <cell r="B7284">
            <v>77.16</v>
          </cell>
        </row>
        <row r="7285">
          <cell r="A7285">
            <v>41956</v>
          </cell>
          <cell r="B7285">
            <v>74.13</v>
          </cell>
        </row>
        <row r="7286">
          <cell r="A7286">
            <v>41957</v>
          </cell>
          <cell r="B7286">
            <v>75.91</v>
          </cell>
        </row>
        <row r="7287">
          <cell r="A7287">
            <v>41960</v>
          </cell>
          <cell r="B7287">
            <v>75.64</v>
          </cell>
        </row>
        <row r="7288">
          <cell r="A7288">
            <v>41961</v>
          </cell>
          <cell r="B7288">
            <v>74.55</v>
          </cell>
        </row>
        <row r="7289">
          <cell r="A7289">
            <v>41962</v>
          </cell>
          <cell r="B7289">
            <v>74.55</v>
          </cell>
        </row>
        <row r="7290">
          <cell r="A7290">
            <v>41963</v>
          </cell>
          <cell r="B7290">
            <v>75.63</v>
          </cell>
        </row>
        <row r="7291">
          <cell r="A7291">
            <v>41964</v>
          </cell>
          <cell r="B7291">
            <v>76.52</v>
          </cell>
        </row>
        <row r="7292">
          <cell r="A7292">
            <v>41967</v>
          </cell>
          <cell r="B7292">
            <v>75.739999999999995</v>
          </cell>
        </row>
        <row r="7293">
          <cell r="A7293">
            <v>41968</v>
          </cell>
          <cell r="B7293">
            <v>74.040000000000006</v>
          </cell>
        </row>
        <row r="7294">
          <cell r="A7294">
            <v>41969</v>
          </cell>
          <cell r="B7294">
            <v>73.7</v>
          </cell>
        </row>
        <row r="7295">
          <cell r="A7295">
            <v>41971</v>
          </cell>
          <cell r="B7295">
            <v>65.94</v>
          </cell>
        </row>
        <row r="7296">
          <cell r="A7296">
            <v>41974</v>
          </cell>
          <cell r="B7296">
            <v>68.98</v>
          </cell>
        </row>
        <row r="7297">
          <cell r="A7297">
            <v>41975</v>
          </cell>
          <cell r="B7297">
            <v>66.989999999999995</v>
          </cell>
        </row>
        <row r="7298">
          <cell r="A7298">
            <v>41976</v>
          </cell>
          <cell r="B7298">
            <v>67.3</v>
          </cell>
        </row>
        <row r="7299">
          <cell r="A7299">
            <v>41977</v>
          </cell>
          <cell r="B7299">
            <v>66.73</v>
          </cell>
        </row>
        <row r="7300">
          <cell r="A7300">
            <v>41978</v>
          </cell>
          <cell r="B7300">
            <v>65.89</v>
          </cell>
        </row>
        <row r="7301">
          <cell r="A7301">
            <v>41981</v>
          </cell>
          <cell r="B7301">
            <v>63.13</v>
          </cell>
        </row>
        <row r="7302">
          <cell r="A7302">
            <v>41982</v>
          </cell>
          <cell r="B7302">
            <v>63.74</v>
          </cell>
        </row>
        <row r="7303">
          <cell r="A7303">
            <v>41983</v>
          </cell>
          <cell r="B7303">
            <v>60.99</v>
          </cell>
        </row>
        <row r="7304">
          <cell r="A7304">
            <v>41984</v>
          </cell>
          <cell r="B7304">
            <v>60.01</v>
          </cell>
        </row>
        <row r="7305">
          <cell r="A7305">
            <v>41985</v>
          </cell>
          <cell r="B7305">
            <v>57.81</v>
          </cell>
        </row>
        <row r="7306">
          <cell r="A7306">
            <v>41988</v>
          </cell>
          <cell r="B7306">
            <v>55.96</v>
          </cell>
        </row>
        <row r="7307">
          <cell r="A7307">
            <v>41989</v>
          </cell>
          <cell r="B7307">
            <v>55.97</v>
          </cell>
        </row>
        <row r="7308">
          <cell r="A7308">
            <v>41990</v>
          </cell>
          <cell r="B7308">
            <v>56.43</v>
          </cell>
        </row>
        <row r="7309">
          <cell r="A7309">
            <v>41991</v>
          </cell>
          <cell r="B7309">
            <v>54.18</v>
          </cell>
        </row>
        <row r="7310">
          <cell r="A7310">
            <v>41992</v>
          </cell>
          <cell r="B7310">
            <v>56.91</v>
          </cell>
        </row>
        <row r="7311">
          <cell r="A7311">
            <v>41995</v>
          </cell>
          <cell r="B7311">
            <v>55.25</v>
          </cell>
        </row>
        <row r="7312">
          <cell r="A7312">
            <v>41996</v>
          </cell>
          <cell r="B7312">
            <v>56.78</v>
          </cell>
        </row>
        <row r="7313">
          <cell r="A7313">
            <v>41997</v>
          </cell>
          <cell r="B7313">
            <v>55.7</v>
          </cell>
        </row>
        <row r="7314">
          <cell r="A7314">
            <v>41999</v>
          </cell>
          <cell r="B7314">
            <v>54.59</v>
          </cell>
        </row>
        <row r="7315">
          <cell r="A7315">
            <v>42002</v>
          </cell>
          <cell r="B7315">
            <v>53.46</v>
          </cell>
        </row>
        <row r="7316">
          <cell r="A7316">
            <v>42003</v>
          </cell>
          <cell r="B7316">
            <v>54.14</v>
          </cell>
        </row>
        <row r="7317">
          <cell r="A7317">
            <v>42004</v>
          </cell>
          <cell r="B7317">
            <v>53.45</v>
          </cell>
        </row>
        <row r="7318">
          <cell r="A7318">
            <v>42005</v>
          </cell>
          <cell r="B7318">
            <v>53.45</v>
          </cell>
        </row>
        <row r="7319">
          <cell r="A7319">
            <v>42006</v>
          </cell>
          <cell r="B7319">
            <v>52.72</v>
          </cell>
        </row>
        <row r="7320">
          <cell r="A7320">
            <v>42009</v>
          </cell>
          <cell r="B7320">
            <v>50.05</v>
          </cell>
        </row>
        <row r="7321">
          <cell r="A7321">
            <v>42010</v>
          </cell>
          <cell r="B7321">
            <v>47.98</v>
          </cell>
        </row>
        <row r="7322">
          <cell r="A7322">
            <v>42011</v>
          </cell>
          <cell r="B7322">
            <v>48.69</v>
          </cell>
        </row>
        <row r="7323">
          <cell r="A7323">
            <v>42012</v>
          </cell>
          <cell r="B7323">
            <v>48.8</v>
          </cell>
        </row>
        <row r="7324">
          <cell r="A7324">
            <v>42013</v>
          </cell>
          <cell r="B7324">
            <v>48.35</v>
          </cell>
        </row>
        <row r="7325">
          <cell r="A7325">
            <v>42016</v>
          </cell>
          <cell r="B7325">
            <v>46.06</v>
          </cell>
        </row>
        <row r="7326">
          <cell r="A7326">
            <v>42017</v>
          </cell>
          <cell r="B7326">
            <v>45.92</v>
          </cell>
        </row>
        <row r="7327">
          <cell r="A7327">
            <v>42018</v>
          </cell>
          <cell r="B7327">
            <v>48.49</v>
          </cell>
        </row>
        <row r="7328">
          <cell r="A7328">
            <v>42019</v>
          </cell>
          <cell r="B7328">
            <v>46.37</v>
          </cell>
        </row>
        <row r="7329">
          <cell r="A7329">
            <v>42020</v>
          </cell>
          <cell r="B7329">
            <v>48.49</v>
          </cell>
        </row>
        <row r="7330">
          <cell r="A7330">
            <v>42024</v>
          </cell>
          <cell r="B7330">
            <v>46.79</v>
          </cell>
        </row>
        <row r="7331">
          <cell r="A7331">
            <v>42025</v>
          </cell>
          <cell r="B7331">
            <v>47.85</v>
          </cell>
        </row>
        <row r="7332">
          <cell r="A7332">
            <v>42026</v>
          </cell>
          <cell r="B7332">
            <v>45.93</v>
          </cell>
        </row>
        <row r="7333">
          <cell r="A7333">
            <v>42027</v>
          </cell>
          <cell r="B7333">
            <v>45.26</v>
          </cell>
        </row>
        <row r="7334">
          <cell r="A7334">
            <v>42030</v>
          </cell>
          <cell r="B7334">
            <v>44.8</v>
          </cell>
        </row>
        <row r="7335">
          <cell r="A7335">
            <v>42031</v>
          </cell>
          <cell r="B7335">
            <v>45.84</v>
          </cell>
        </row>
        <row r="7336">
          <cell r="A7336">
            <v>42032</v>
          </cell>
          <cell r="B7336">
            <v>44.08</v>
          </cell>
        </row>
        <row r="7337">
          <cell r="A7337">
            <v>42033</v>
          </cell>
          <cell r="B7337">
            <v>44.12</v>
          </cell>
        </row>
        <row r="7338">
          <cell r="A7338">
            <v>42034</v>
          </cell>
          <cell r="B7338">
            <v>47.79</v>
          </cell>
        </row>
        <row r="7339">
          <cell r="A7339">
            <v>42037</v>
          </cell>
          <cell r="B7339">
            <v>49.25</v>
          </cell>
        </row>
        <row r="7340">
          <cell r="A7340">
            <v>42038</v>
          </cell>
          <cell r="B7340">
            <v>53.04</v>
          </cell>
        </row>
        <row r="7341">
          <cell r="A7341">
            <v>42039</v>
          </cell>
          <cell r="B7341">
            <v>48.45</v>
          </cell>
        </row>
        <row r="7342">
          <cell r="A7342">
            <v>42040</v>
          </cell>
          <cell r="B7342">
            <v>50.48</v>
          </cell>
        </row>
        <row r="7343">
          <cell r="A7343">
            <v>42041</v>
          </cell>
          <cell r="B7343">
            <v>51.66</v>
          </cell>
        </row>
        <row r="7344">
          <cell r="A7344">
            <v>42044</v>
          </cell>
          <cell r="B7344">
            <v>52.99</v>
          </cell>
        </row>
        <row r="7345">
          <cell r="A7345">
            <v>42045</v>
          </cell>
          <cell r="B7345">
            <v>50.06</v>
          </cell>
        </row>
        <row r="7346">
          <cell r="A7346">
            <v>42046</v>
          </cell>
          <cell r="B7346">
            <v>48.8</v>
          </cell>
        </row>
        <row r="7347">
          <cell r="A7347">
            <v>42047</v>
          </cell>
          <cell r="B7347">
            <v>51.17</v>
          </cell>
        </row>
        <row r="7348">
          <cell r="A7348">
            <v>42048</v>
          </cell>
          <cell r="B7348">
            <v>52.66</v>
          </cell>
        </row>
        <row r="7349">
          <cell r="A7349">
            <v>42052</v>
          </cell>
          <cell r="B7349">
            <v>53.56</v>
          </cell>
        </row>
        <row r="7350">
          <cell r="A7350">
            <v>42053</v>
          </cell>
          <cell r="B7350">
            <v>52.13</v>
          </cell>
        </row>
        <row r="7351">
          <cell r="A7351">
            <v>42054</v>
          </cell>
          <cell r="B7351">
            <v>51.12</v>
          </cell>
        </row>
        <row r="7352">
          <cell r="A7352">
            <v>42055</v>
          </cell>
          <cell r="B7352">
            <v>49.95</v>
          </cell>
        </row>
        <row r="7353">
          <cell r="A7353">
            <v>42058</v>
          </cell>
          <cell r="B7353">
            <v>49.56</v>
          </cell>
        </row>
        <row r="7354">
          <cell r="A7354">
            <v>42059</v>
          </cell>
          <cell r="B7354">
            <v>48.48</v>
          </cell>
        </row>
        <row r="7355">
          <cell r="A7355">
            <v>42060</v>
          </cell>
          <cell r="B7355">
            <v>50.25</v>
          </cell>
        </row>
        <row r="7356">
          <cell r="A7356">
            <v>42061</v>
          </cell>
          <cell r="B7356">
            <v>47.65</v>
          </cell>
        </row>
        <row r="7357">
          <cell r="A7357">
            <v>42062</v>
          </cell>
          <cell r="B7357">
            <v>49.84</v>
          </cell>
        </row>
        <row r="7358">
          <cell r="A7358">
            <v>42065</v>
          </cell>
          <cell r="B7358">
            <v>49.59</v>
          </cell>
        </row>
        <row r="7359">
          <cell r="A7359">
            <v>42066</v>
          </cell>
          <cell r="B7359">
            <v>50.43</v>
          </cell>
        </row>
        <row r="7360">
          <cell r="A7360">
            <v>42067</v>
          </cell>
          <cell r="B7360">
            <v>51.53</v>
          </cell>
        </row>
        <row r="7361">
          <cell r="A7361">
            <v>42068</v>
          </cell>
          <cell r="B7361">
            <v>50.76</v>
          </cell>
        </row>
        <row r="7362">
          <cell r="A7362">
            <v>42069</v>
          </cell>
          <cell r="B7362">
            <v>49.61</v>
          </cell>
        </row>
        <row r="7363">
          <cell r="A7363">
            <v>42072</v>
          </cell>
          <cell r="B7363">
            <v>49.95</v>
          </cell>
        </row>
        <row r="7364">
          <cell r="A7364">
            <v>42073</v>
          </cell>
          <cell r="B7364">
            <v>48.42</v>
          </cell>
        </row>
        <row r="7365">
          <cell r="A7365">
            <v>42074</v>
          </cell>
          <cell r="B7365">
            <v>48.06</v>
          </cell>
        </row>
        <row r="7366">
          <cell r="A7366">
            <v>42075</v>
          </cell>
          <cell r="B7366">
            <v>47.12</v>
          </cell>
        </row>
        <row r="7367">
          <cell r="A7367">
            <v>42076</v>
          </cell>
          <cell r="B7367">
            <v>44.88</v>
          </cell>
        </row>
        <row r="7368">
          <cell r="A7368">
            <v>42079</v>
          </cell>
          <cell r="B7368">
            <v>43.93</v>
          </cell>
        </row>
        <row r="7369">
          <cell r="A7369">
            <v>42080</v>
          </cell>
          <cell r="B7369">
            <v>43.39</v>
          </cell>
        </row>
        <row r="7370">
          <cell r="A7370">
            <v>42081</v>
          </cell>
          <cell r="B7370">
            <v>44.63</v>
          </cell>
        </row>
        <row r="7371">
          <cell r="A7371">
            <v>42082</v>
          </cell>
          <cell r="B7371">
            <v>44.02</v>
          </cell>
        </row>
        <row r="7372">
          <cell r="A7372">
            <v>42083</v>
          </cell>
          <cell r="B7372">
            <v>46</v>
          </cell>
        </row>
        <row r="7373">
          <cell r="A7373">
            <v>42086</v>
          </cell>
          <cell r="B7373">
            <v>47.4</v>
          </cell>
        </row>
        <row r="7374">
          <cell r="A7374">
            <v>42087</v>
          </cell>
          <cell r="B7374">
            <v>47.03</v>
          </cell>
        </row>
        <row r="7375">
          <cell r="A7375">
            <v>42088</v>
          </cell>
          <cell r="B7375">
            <v>48.75</v>
          </cell>
        </row>
        <row r="7376">
          <cell r="A7376">
            <v>42089</v>
          </cell>
          <cell r="B7376">
            <v>51.41</v>
          </cell>
        </row>
        <row r="7377">
          <cell r="A7377">
            <v>42090</v>
          </cell>
          <cell r="B7377">
            <v>48.83</v>
          </cell>
        </row>
        <row r="7378">
          <cell r="A7378">
            <v>42093</v>
          </cell>
          <cell r="B7378">
            <v>48.66</v>
          </cell>
        </row>
        <row r="7379">
          <cell r="A7379">
            <v>42094</v>
          </cell>
          <cell r="B7379">
            <v>47.72</v>
          </cell>
        </row>
        <row r="7380">
          <cell r="A7380">
            <v>42095</v>
          </cell>
          <cell r="B7380">
            <v>50.12</v>
          </cell>
        </row>
        <row r="7381">
          <cell r="A7381">
            <v>42096</v>
          </cell>
          <cell r="B7381">
            <v>49.13</v>
          </cell>
        </row>
        <row r="7382">
          <cell r="A7382">
            <v>42097</v>
          </cell>
          <cell r="B7382">
            <v>49.13</v>
          </cell>
        </row>
        <row r="7383">
          <cell r="A7383">
            <v>42100</v>
          </cell>
          <cell r="B7383">
            <v>52.08</v>
          </cell>
        </row>
        <row r="7384">
          <cell r="A7384">
            <v>42101</v>
          </cell>
          <cell r="B7384">
            <v>53.95</v>
          </cell>
        </row>
        <row r="7385">
          <cell r="A7385">
            <v>42102</v>
          </cell>
          <cell r="B7385">
            <v>50.44</v>
          </cell>
        </row>
        <row r="7386">
          <cell r="A7386">
            <v>42103</v>
          </cell>
          <cell r="B7386">
            <v>50.79</v>
          </cell>
        </row>
        <row r="7387">
          <cell r="A7387">
            <v>42104</v>
          </cell>
          <cell r="B7387">
            <v>51.63</v>
          </cell>
        </row>
        <row r="7388">
          <cell r="A7388">
            <v>42107</v>
          </cell>
          <cell r="B7388">
            <v>51.95</v>
          </cell>
        </row>
        <row r="7389">
          <cell r="A7389">
            <v>42108</v>
          </cell>
          <cell r="B7389">
            <v>53.3</v>
          </cell>
        </row>
        <row r="7390">
          <cell r="A7390">
            <v>42109</v>
          </cell>
          <cell r="B7390">
            <v>56.25</v>
          </cell>
        </row>
        <row r="7391">
          <cell r="A7391">
            <v>42110</v>
          </cell>
          <cell r="B7391">
            <v>56.69</v>
          </cell>
        </row>
        <row r="7392">
          <cell r="A7392">
            <v>42111</v>
          </cell>
          <cell r="B7392">
            <v>55.71</v>
          </cell>
        </row>
        <row r="7393">
          <cell r="A7393">
            <v>42114</v>
          </cell>
          <cell r="B7393">
            <v>56.37</v>
          </cell>
        </row>
        <row r="7394">
          <cell r="A7394">
            <v>42115</v>
          </cell>
          <cell r="B7394">
            <v>55.58</v>
          </cell>
        </row>
        <row r="7395">
          <cell r="A7395">
            <v>42116</v>
          </cell>
          <cell r="B7395">
            <v>56.17</v>
          </cell>
        </row>
        <row r="7396">
          <cell r="A7396">
            <v>42117</v>
          </cell>
          <cell r="B7396">
            <v>56.59</v>
          </cell>
        </row>
        <row r="7397">
          <cell r="A7397">
            <v>42118</v>
          </cell>
          <cell r="B7397">
            <v>55.98</v>
          </cell>
        </row>
        <row r="7398">
          <cell r="A7398">
            <v>42121</v>
          </cell>
          <cell r="B7398">
            <v>55.56</v>
          </cell>
        </row>
        <row r="7399">
          <cell r="A7399">
            <v>42122</v>
          </cell>
          <cell r="B7399">
            <v>57.05</v>
          </cell>
        </row>
        <row r="7400">
          <cell r="A7400">
            <v>42123</v>
          </cell>
          <cell r="B7400">
            <v>58.55</v>
          </cell>
        </row>
        <row r="7401">
          <cell r="A7401">
            <v>42124</v>
          </cell>
          <cell r="B7401">
            <v>59.62</v>
          </cell>
        </row>
        <row r="7402">
          <cell r="A7402">
            <v>42125</v>
          </cell>
          <cell r="B7402">
            <v>59.1</v>
          </cell>
        </row>
        <row r="7403">
          <cell r="A7403">
            <v>42128</v>
          </cell>
          <cell r="B7403">
            <v>58.92</v>
          </cell>
        </row>
        <row r="7404">
          <cell r="A7404">
            <v>42129</v>
          </cell>
          <cell r="B7404">
            <v>60.38</v>
          </cell>
        </row>
        <row r="7405">
          <cell r="A7405">
            <v>42130</v>
          </cell>
          <cell r="B7405">
            <v>60.93</v>
          </cell>
        </row>
        <row r="7406">
          <cell r="A7406">
            <v>42131</v>
          </cell>
          <cell r="B7406">
            <v>58.99</v>
          </cell>
        </row>
        <row r="7407">
          <cell r="A7407">
            <v>42132</v>
          </cell>
          <cell r="B7407">
            <v>59.41</v>
          </cell>
        </row>
        <row r="7408">
          <cell r="A7408">
            <v>42135</v>
          </cell>
          <cell r="B7408">
            <v>59.23</v>
          </cell>
        </row>
        <row r="7409">
          <cell r="A7409">
            <v>42136</v>
          </cell>
          <cell r="B7409">
            <v>60.72</v>
          </cell>
        </row>
        <row r="7410">
          <cell r="A7410">
            <v>42137</v>
          </cell>
          <cell r="B7410">
            <v>60.5</v>
          </cell>
        </row>
        <row r="7411">
          <cell r="A7411">
            <v>42138</v>
          </cell>
          <cell r="B7411">
            <v>59.89</v>
          </cell>
        </row>
        <row r="7412">
          <cell r="A7412">
            <v>42139</v>
          </cell>
          <cell r="B7412">
            <v>59.73</v>
          </cell>
        </row>
        <row r="7413">
          <cell r="A7413">
            <v>42142</v>
          </cell>
          <cell r="B7413">
            <v>59.44</v>
          </cell>
        </row>
        <row r="7414">
          <cell r="A7414">
            <v>42143</v>
          </cell>
          <cell r="B7414">
            <v>57.3</v>
          </cell>
        </row>
        <row r="7415">
          <cell r="A7415">
            <v>42144</v>
          </cell>
          <cell r="B7415">
            <v>58.96</v>
          </cell>
        </row>
        <row r="7416">
          <cell r="A7416">
            <v>42145</v>
          </cell>
          <cell r="B7416">
            <v>60.18</v>
          </cell>
        </row>
        <row r="7417">
          <cell r="A7417">
            <v>42146</v>
          </cell>
          <cell r="B7417">
            <v>58.88</v>
          </cell>
        </row>
        <row r="7418">
          <cell r="A7418">
            <v>42149</v>
          </cell>
          <cell r="B7418">
            <v>58.88</v>
          </cell>
        </row>
        <row r="7419">
          <cell r="A7419">
            <v>42150</v>
          </cell>
          <cell r="B7419">
            <v>57.29</v>
          </cell>
        </row>
        <row r="7420">
          <cell r="A7420">
            <v>42151</v>
          </cell>
          <cell r="B7420">
            <v>57.51</v>
          </cell>
        </row>
        <row r="7421">
          <cell r="A7421">
            <v>42152</v>
          </cell>
          <cell r="B7421">
            <v>57.69</v>
          </cell>
        </row>
        <row r="7422">
          <cell r="A7422">
            <v>42153</v>
          </cell>
          <cell r="B7422">
            <v>60.25</v>
          </cell>
        </row>
        <row r="7423">
          <cell r="A7423">
            <v>42156</v>
          </cell>
          <cell r="B7423">
            <v>60.24</v>
          </cell>
        </row>
        <row r="7424">
          <cell r="A7424">
            <v>42157</v>
          </cell>
          <cell r="B7424">
            <v>61.3</v>
          </cell>
        </row>
        <row r="7425">
          <cell r="A7425">
            <v>42158</v>
          </cell>
          <cell r="B7425">
            <v>59.67</v>
          </cell>
        </row>
        <row r="7426">
          <cell r="A7426">
            <v>42159</v>
          </cell>
          <cell r="B7426">
            <v>58</v>
          </cell>
        </row>
        <row r="7427">
          <cell r="A7427">
            <v>42160</v>
          </cell>
          <cell r="B7427">
            <v>59.11</v>
          </cell>
        </row>
        <row r="7428">
          <cell r="A7428">
            <v>42163</v>
          </cell>
          <cell r="B7428">
            <v>58.15</v>
          </cell>
        </row>
        <row r="7429">
          <cell r="A7429">
            <v>42164</v>
          </cell>
          <cell r="B7429">
            <v>60.15</v>
          </cell>
        </row>
        <row r="7430">
          <cell r="A7430">
            <v>42165</v>
          </cell>
          <cell r="B7430">
            <v>61.36</v>
          </cell>
        </row>
        <row r="7431">
          <cell r="A7431">
            <v>42166</v>
          </cell>
          <cell r="B7431">
            <v>60.74</v>
          </cell>
        </row>
        <row r="7432">
          <cell r="A7432">
            <v>42167</v>
          </cell>
          <cell r="B7432">
            <v>59.96</v>
          </cell>
        </row>
        <row r="7433">
          <cell r="A7433">
            <v>42170</v>
          </cell>
          <cell r="B7433">
            <v>59.53</v>
          </cell>
        </row>
        <row r="7434">
          <cell r="A7434">
            <v>42171</v>
          </cell>
          <cell r="B7434">
            <v>60.01</v>
          </cell>
        </row>
        <row r="7435">
          <cell r="A7435">
            <v>42172</v>
          </cell>
          <cell r="B7435">
            <v>59.89</v>
          </cell>
        </row>
        <row r="7436">
          <cell r="A7436">
            <v>42173</v>
          </cell>
          <cell r="B7436">
            <v>60.41</v>
          </cell>
        </row>
        <row r="7437">
          <cell r="A7437">
            <v>42174</v>
          </cell>
          <cell r="B7437">
            <v>59.62</v>
          </cell>
        </row>
        <row r="7438">
          <cell r="A7438">
            <v>42177</v>
          </cell>
          <cell r="B7438">
            <v>60.01</v>
          </cell>
        </row>
        <row r="7439">
          <cell r="A7439">
            <v>42178</v>
          </cell>
          <cell r="B7439">
            <v>61.05</v>
          </cell>
        </row>
        <row r="7440">
          <cell r="A7440">
            <v>42179</v>
          </cell>
          <cell r="B7440">
            <v>60.01</v>
          </cell>
        </row>
        <row r="7441">
          <cell r="A7441">
            <v>42180</v>
          </cell>
          <cell r="B7441">
            <v>59.59</v>
          </cell>
        </row>
        <row r="7442">
          <cell r="A7442">
            <v>42181</v>
          </cell>
          <cell r="B7442">
            <v>59.41</v>
          </cell>
        </row>
        <row r="7443">
          <cell r="A7443">
            <v>42184</v>
          </cell>
          <cell r="B7443">
            <v>58.34</v>
          </cell>
        </row>
        <row r="7444">
          <cell r="A7444">
            <v>42185</v>
          </cell>
          <cell r="B7444">
            <v>59.48</v>
          </cell>
        </row>
        <row r="7445">
          <cell r="A7445">
            <v>42186</v>
          </cell>
          <cell r="B7445">
            <v>56.94</v>
          </cell>
        </row>
        <row r="7446">
          <cell r="A7446">
            <v>42187</v>
          </cell>
          <cell r="B7446">
            <v>56.93</v>
          </cell>
        </row>
        <row r="7447">
          <cell r="A7447">
            <v>42188</v>
          </cell>
          <cell r="B7447">
            <v>56.93</v>
          </cell>
        </row>
        <row r="7448">
          <cell r="A7448">
            <v>42191</v>
          </cell>
          <cell r="B7448">
            <v>52.48</v>
          </cell>
        </row>
        <row r="7449">
          <cell r="A7449">
            <v>42192</v>
          </cell>
          <cell r="B7449">
            <v>52.33</v>
          </cell>
        </row>
        <row r="7450">
          <cell r="A7450">
            <v>42193</v>
          </cell>
          <cell r="B7450">
            <v>51.61</v>
          </cell>
        </row>
        <row r="7451">
          <cell r="A7451">
            <v>42194</v>
          </cell>
          <cell r="B7451">
            <v>52.76</v>
          </cell>
        </row>
        <row r="7452">
          <cell r="A7452">
            <v>42195</v>
          </cell>
          <cell r="B7452">
            <v>52.74</v>
          </cell>
        </row>
        <row r="7453">
          <cell r="A7453">
            <v>42198</v>
          </cell>
          <cell r="B7453">
            <v>52.19</v>
          </cell>
        </row>
        <row r="7454">
          <cell r="A7454">
            <v>42199</v>
          </cell>
          <cell r="B7454">
            <v>53.05</v>
          </cell>
        </row>
        <row r="7455">
          <cell r="A7455">
            <v>42200</v>
          </cell>
          <cell r="B7455">
            <v>51.4</v>
          </cell>
        </row>
        <row r="7456">
          <cell r="A7456">
            <v>42201</v>
          </cell>
          <cell r="B7456">
            <v>50.9</v>
          </cell>
        </row>
        <row r="7457">
          <cell r="A7457">
            <v>42202</v>
          </cell>
          <cell r="B7457">
            <v>50.88</v>
          </cell>
        </row>
        <row r="7458">
          <cell r="A7458">
            <v>42205</v>
          </cell>
          <cell r="B7458">
            <v>50.11</v>
          </cell>
        </row>
        <row r="7459">
          <cell r="A7459">
            <v>42206</v>
          </cell>
          <cell r="B7459">
            <v>50.59</v>
          </cell>
        </row>
        <row r="7460">
          <cell r="A7460">
            <v>42207</v>
          </cell>
          <cell r="B7460">
            <v>49.27</v>
          </cell>
        </row>
        <row r="7461">
          <cell r="A7461">
            <v>42208</v>
          </cell>
          <cell r="B7461">
            <v>48.11</v>
          </cell>
        </row>
        <row r="7462">
          <cell r="A7462">
            <v>42209</v>
          </cell>
          <cell r="B7462">
            <v>47.98</v>
          </cell>
        </row>
        <row r="7463">
          <cell r="A7463">
            <v>42212</v>
          </cell>
          <cell r="B7463">
            <v>47.17</v>
          </cell>
        </row>
        <row r="7464">
          <cell r="A7464">
            <v>42213</v>
          </cell>
          <cell r="B7464">
            <v>47.97</v>
          </cell>
        </row>
        <row r="7465">
          <cell r="A7465">
            <v>42214</v>
          </cell>
          <cell r="B7465">
            <v>48.77</v>
          </cell>
        </row>
        <row r="7466">
          <cell r="A7466">
            <v>42215</v>
          </cell>
          <cell r="B7466">
            <v>48.53</v>
          </cell>
        </row>
        <row r="7467">
          <cell r="A7467">
            <v>42216</v>
          </cell>
          <cell r="B7467">
            <v>47.11</v>
          </cell>
        </row>
        <row r="7468">
          <cell r="A7468">
            <v>42219</v>
          </cell>
          <cell r="B7468">
            <v>45.25</v>
          </cell>
        </row>
        <row r="7469">
          <cell r="A7469">
            <v>42220</v>
          </cell>
          <cell r="B7469">
            <v>45.75</v>
          </cell>
        </row>
        <row r="7470">
          <cell r="A7470">
            <v>42221</v>
          </cell>
          <cell r="B7470">
            <v>45.13</v>
          </cell>
        </row>
        <row r="7471">
          <cell r="A7471">
            <v>42222</v>
          </cell>
          <cell r="B7471">
            <v>44.69</v>
          </cell>
        </row>
        <row r="7472">
          <cell r="A7472">
            <v>42223</v>
          </cell>
          <cell r="B7472">
            <v>43.87</v>
          </cell>
        </row>
        <row r="7473">
          <cell r="A7473">
            <v>42226</v>
          </cell>
          <cell r="B7473">
            <v>44.94</v>
          </cell>
        </row>
        <row r="7474">
          <cell r="A7474">
            <v>42227</v>
          </cell>
          <cell r="B7474">
            <v>43.11</v>
          </cell>
        </row>
        <row r="7475">
          <cell r="A7475">
            <v>42228</v>
          </cell>
          <cell r="B7475">
            <v>43.22</v>
          </cell>
        </row>
        <row r="7476">
          <cell r="A7476">
            <v>42229</v>
          </cell>
          <cell r="B7476">
            <v>42.27</v>
          </cell>
        </row>
        <row r="7477">
          <cell r="A7477">
            <v>42230</v>
          </cell>
          <cell r="B7477">
            <v>42.45</v>
          </cell>
        </row>
        <row r="7478">
          <cell r="A7478">
            <v>42233</v>
          </cell>
          <cell r="B7478">
            <v>41.93</v>
          </cell>
        </row>
        <row r="7479">
          <cell r="A7479">
            <v>42234</v>
          </cell>
          <cell r="B7479">
            <v>42.58</v>
          </cell>
        </row>
        <row r="7480">
          <cell r="A7480">
            <v>42235</v>
          </cell>
          <cell r="B7480">
            <v>40.75</v>
          </cell>
        </row>
        <row r="7481">
          <cell r="A7481">
            <v>42236</v>
          </cell>
          <cell r="B7481">
            <v>41</v>
          </cell>
        </row>
        <row r="7482">
          <cell r="A7482">
            <v>42237</v>
          </cell>
          <cell r="B7482">
            <v>40.450000000000003</v>
          </cell>
        </row>
        <row r="7483">
          <cell r="A7483">
            <v>42240</v>
          </cell>
          <cell r="B7483">
            <v>38.22</v>
          </cell>
        </row>
        <row r="7484">
          <cell r="A7484">
            <v>42241</v>
          </cell>
          <cell r="B7484">
            <v>39.15</v>
          </cell>
        </row>
        <row r="7485">
          <cell r="A7485">
            <v>42242</v>
          </cell>
          <cell r="B7485">
            <v>38.5</v>
          </cell>
        </row>
        <row r="7486">
          <cell r="A7486">
            <v>42243</v>
          </cell>
          <cell r="B7486">
            <v>42.47</v>
          </cell>
        </row>
        <row r="7487">
          <cell r="A7487">
            <v>42244</v>
          </cell>
          <cell r="B7487">
            <v>45.29</v>
          </cell>
        </row>
        <row r="7488">
          <cell r="A7488">
            <v>42247</v>
          </cell>
          <cell r="B7488">
            <v>49.2</v>
          </cell>
        </row>
        <row r="7489">
          <cell r="A7489">
            <v>42248</v>
          </cell>
          <cell r="B7489">
            <v>45.38</v>
          </cell>
        </row>
        <row r="7490">
          <cell r="A7490">
            <v>42249</v>
          </cell>
          <cell r="B7490">
            <v>46.3</v>
          </cell>
        </row>
        <row r="7491">
          <cell r="A7491">
            <v>42250</v>
          </cell>
          <cell r="B7491">
            <v>46.75</v>
          </cell>
        </row>
        <row r="7492">
          <cell r="A7492">
            <v>42251</v>
          </cell>
          <cell r="B7492">
            <v>46.02</v>
          </cell>
        </row>
        <row r="7493">
          <cell r="A7493">
            <v>42254</v>
          </cell>
          <cell r="B7493">
            <v>46.02</v>
          </cell>
        </row>
        <row r="7494">
          <cell r="A7494">
            <v>42255</v>
          </cell>
          <cell r="B7494">
            <v>45.92</v>
          </cell>
        </row>
        <row r="7495">
          <cell r="A7495">
            <v>42256</v>
          </cell>
          <cell r="B7495">
            <v>44.13</v>
          </cell>
        </row>
        <row r="7496">
          <cell r="A7496">
            <v>42257</v>
          </cell>
          <cell r="B7496">
            <v>45.85</v>
          </cell>
        </row>
        <row r="7497">
          <cell r="A7497">
            <v>42258</v>
          </cell>
          <cell r="B7497">
            <v>44.75</v>
          </cell>
        </row>
        <row r="7498">
          <cell r="A7498">
            <v>42261</v>
          </cell>
          <cell r="B7498">
            <v>44.07</v>
          </cell>
        </row>
        <row r="7499">
          <cell r="A7499">
            <v>42262</v>
          </cell>
          <cell r="B7499">
            <v>44.58</v>
          </cell>
        </row>
        <row r="7500">
          <cell r="A7500">
            <v>42263</v>
          </cell>
          <cell r="B7500">
            <v>47.12</v>
          </cell>
        </row>
        <row r="7501">
          <cell r="A7501">
            <v>42264</v>
          </cell>
          <cell r="B7501">
            <v>46.93</v>
          </cell>
        </row>
        <row r="7502">
          <cell r="A7502">
            <v>42265</v>
          </cell>
          <cell r="B7502">
            <v>44.71</v>
          </cell>
        </row>
        <row r="7503">
          <cell r="A7503">
            <v>42268</v>
          </cell>
          <cell r="B7503">
            <v>46.67</v>
          </cell>
        </row>
        <row r="7504">
          <cell r="A7504">
            <v>42269</v>
          </cell>
          <cell r="B7504">
            <v>46.17</v>
          </cell>
        </row>
        <row r="7505">
          <cell r="A7505">
            <v>42270</v>
          </cell>
          <cell r="B7505">
            <v>44.53</v>
          </cell>
        </row>
        <row r="7506">
          <cell r="A7506">
            <v>42271</v>
          </cell>
          <cell r="B7506">
            <v>44.94</v>
          </cell>
        </row>
        <row r="7507">
          <cell r="A7507">
            <v>42272</v>
          </cell>
          <cell r="B7507">
            <v>45.55</v>
          </cell>
        </row>
        <row r="7508">
          <cell r="A7508">
            <v>42275</v>
          </cell>
          <cell r="B7508">
            <v>44.4</v>
          </cell>
        </row>
        <row r="7509">
          <cell r="A7509">
            <v>42276</v>
          </cell>
          <cell r="B7509">
            <v>45.24</v>
          </cell>
        </row>
        <row r="7510">
          <cell r="A7510">
            <v>42277</v>
          </cell>
          <cell r="B7510">
            <v>45.06</v>
          </cell>
        </row>
        <row r="7511">
          <cell r="A7511">
            <v>42278</v>
          </cell>
          <cell r="B7511">
            <v>44.75</v>
          </cell>
        </row>
        <row r="7512">
          <cell r="A7512">
            <v>42279</v>
          </cell>
          <cell r="B7512">
            <v>45.54</v>
          </cell>
        </row>
        <row r="7513">
          <cell r="A7513">
            <v>42282</v>
          </cell>
          <cell r="B7513">
            <v>46.28</v>
          </cell>
        </row>
        <row r="7514">
          <cell r="A7514">
            <v>42283</v>
          </cell>
          <cell r="B7514">
            <v>48.53</v>
          </cell>
        </row>
        <row r="7515">
          <cell r="A7515">
            <v>42284</v>
          </cell>
          <cell r="B7515">
            <v>47.86</v>
          </cell>
        </row>
        <row r="7516">
          <cell r="A7516">
            <v>42285</v>
          </cell>
          <cell r="B7516">
            <v>49.46</v>
          </cell>
        </row>
        <row r="7517">
          <cell r="A7517">
            <v>42286</v>
          </cell>
          <cell r="B7517">
            <v>49.67</v>
          </cell>
        </row>
        <row r="7518">
          <cell r="A7518">
            <v>42289</v>
          </cell>
          <cell r="B7518">
            <v>47.09</v>
          </cell>
        </row>
        <row r="7519">
          <cell r="A7519">
            <v>42290</v>
          </cell>
          <cell r="B7519">
            <v>46.7</v>
          </cell>
        </row>
        <row r="7520">
          <cell r="A7520">
            <v>42291</v>
          </cell>
          <cell r="B7520">
            <v>46.63</v>
          </cell>
        </row>
        <row r="7521">
          <cell r="A7521">
            <v>42292</v>
          </cell>
          <cell r="B7521">
            <v>46.38</v>
          </cell>
        </row>
        <row r="7522">
          <cell r="A7522">
            <v>42293</v>
          </cell>
          <cell r="B7522">
            <v>47.3</v>
          </cell>
        </row>
        <row r="7523">
          <cell r="A7523">
            <v>42296</v>
          </cell>
          <cell r="B7523">
            <v>45.91</v>
          </cell>
        </row>
        <row r="7524">
          <cell r="A7524">
            <v>42297</v>
          </cell>
          <cell r="B7524">
            <v>45.84</v>
          </cell>
        </row>
        <row r="7525">
          <cell r="A7525">
            <v>42298</v>
          </cell>
          <cell r="B7525">
            <v>45.22</v>
          </cell>
        </row>
        <row r="7526">
          <cell r="A7526">
            <v>42299</v>
          </cell>
          <cell r="B7526">
            <v>44.9</v>
          </cell>
        </row>
        <row r="7527">
          <cell r="A7527">
            <v>42300</v>
          </cell>
          <cell r="B7527">
            <v>43.91</v>
          </cell>
        </row>
        <row r="7528">
          <cell r="A7528">
            <v>42303</v>
          </cell>
          <cell r="B7528">
            <v>43.19</v>
          </cell>
        </row>
        <row r="7529">
          <cell r="A7529">
            <v>42304</v>
          </cell>
          <cell r="B7529">
            <v>43.21</v>
          </cell>
        </row>
        <row r="7530">
          <cell r="A7530">
            <v>42305</v>
          </cell>
          <cell r="B7530">
            <v>45.93</v>
          </cell>
        </row>
        <row r="7531">
          <cell r="A7531">
            <v>42306</v>
          </cell>
          <cell r="B7531">
            <v>46.02</v>
          </cell>
        </row>
        <row r="7532">
          <cell r="A7532">
            <v>42307</v>
          </cell>
          <cell r="B7532">
            <v>46.6</v>
          </cell>
        </row>
        <row r="7533">
          <cell r="A7533">
            <v>42310</v>
          </cell>
          <cell r="B7533">
            <v>46.12</v>
          </cell>
        </row>
        <row r="7534">
          <cell r="A7534">
            <v>42311</v>
          </cell>
          <cell r="B7534">
            <v>47.88</v>
          </cell>
        </row>
        <row r="7535">
          <cell r="A7535">
            <v>42312</v>
          </cell>
          <cell r="B7535">
            <v>46.32</v>
          </cell>
        </row>
        <row r="7536">
          <cell r="A7536">
            <v>42313</v>
          </cell>
          <cell r="B7536">
            <v>45.27</v>
          </cell>
        </row>
        <row r="7537">
          <cell r="A7537">
            <v>42314</v>
          </cell>
          <cell r="B7537">
            <v>44.32</v>
          </cell>
        </row>
        <row r="7538">
          <cell r="A7538">
            <v>42317</v>
          </cell>
          <cell r="B7538">
            <v>43.87</v>
          </cell>
        </row>
        <row r="7539">
          <cell r="A7539">
            <v>42318</v>
          </cell>
          <cell r="B7539">
            <v>44.23</v>
          </cell>
        </row>
        <row r="7540">
          <cell r="A7540">
            <v>42319</v>
          </cell>
          <cell r="B7540">
            <v>42.95</v>
          </cell>
        </row>
        <row r="7541">
          <cell r="A7541">
            <v>42320</v>
          </cell>
          <cell r="B7541">
            <v>41.74</v>
          </cell>
        </row>
        <row r="7542">
          <cell r="A7542">
            <v>42321</v>
          </cell>
          <cell r="B7542">
            <v>40.69</v>
          </cell>
        </row>
        <row r="7543">
          <cell r="A7543">
            <v>42324</v>
          </cell>
          <cell r="B7543">
            <v>41.68</v>
          </cell>
        </row>
        <row r="7544">
          <cell r="A7544">
            <v>42325</v>
          </cell>
          <cell r="B7544">
            <v>40.729999999999997</v>
          </cell>
        </row>
        <row r="7545">
          <cell r="A7545">
            <v>42326</v>
          </cell>
          <cell r="B7545">
            <v>40.75</v>
          </cell>
        </row>
        <row r="7546">
          <cell r="A7546">
            <v>42327</v>
          </cell>
          <cell r="B7546">
            <v>40.549999999999997</v>
          </cell>
        </row>
        <row r="7547">
          <cell r="A7547">
            <v>42328</v>
          </cell>
          <cell r="B7547">
            <v>39.39</v>
          </cell>
        </row>
        <row r="7548">
          <cell r="A7548">
            <v>42331</v>
          </cell>
          <cell r="B7548">
            <v>39.270000000000003</v>
          </cell>
        </row>
        <row r="7549">
          <cell r="A7549">
            <v>42332</v>
          </cell>
          <cell r="B7549">
            <v>40.89</v>
          </cell>
        </row>
        <row r="7550">
          <cell r="A7550">
            <v>42333</v>
          </cell>
          <cell r="B7550">
            <v>41.22</v>
          </cell>
        </row>
        <row r="7551">
          <cell r="A7551">
            <v>42334</v>
          </cell>
          <cell r="B7551">
            <v>41.22</v>
          </cell>
        </row>
        <row r="7552">
          <cell r="A7552">
            <v>42335</v>
          </cell>
          <cell r="B7552">
            <v>40.57</v>
          </cell>
        </row>
        <row r="7553">
          <cell r="A7553">
            <v>42338</v>
          </cell>
          <cell r="B7553">
            <v>40.43</v>
          </cell>
        </row>
        <row r="7554">
          <cell r="A7554">
            <v>42339</v>
          </cell>
          <cell r="B7554">
            <v>40.58</v>
          </cell>
        </row>
        <row r="7555">
          <cell r="A7555">
            <v>42340</v>
          </cell>
          <cell r="B7555">
            <v>39.93</v>
          </cell>
        </row>
        <row r="7556">
          <cell r="A7556">
            <v>42341</v>
          </cell>
          <cell r="B7556">
            <v>41.08</v>
          </cell>
        </row>
        <row r="7557">
          <cell r="A7557">
            <v>42342</v>
          </cell>
          <cell r="B7557">
            <v>40</v>
          </cell>
        </row>
        <row r="7558">
          <cell r="A7558">
            <v>42345</v>
          </cell>
          <cell r="B7558">
            <v>37.64</v>
          </cell>
        </row>
        <row r="7559">
          <cell r="A7559">
            <v>42346</v>
          </cell>
          <cell r="B7559">
            <v>37.46</v>
          </cell>
        </row>
        <row r="7560">
          <cell r="A7560">
            <v>42347</v>
          </cell>
          <cell r="B7560">
            <v>37.159999999999997</v>
          </cell>
        </row>
        <row r="7561">
          <cell r="A7561">
            <v>42348</v>
          </cell>
          <cell r="B7561">
            <v>36.76</v>
          </cell>
        </row>
        <row r="7562">
          <cell r="A7562">
            <v>42349</v>
          </cell>
          <cell r="B7562">
            <v>35.65</v>
          </cell>
        </row>
        <row r="7563">
          <cell r="A7563">
            <v>42352</v>
          </cell>
          <cell r="B7563">
            <v>36.31</v>
          </cell>
        </row>
        <row r="7564">
          <cell r="A7564">
            <v>42353</v>
          </cell>
          <cell r="B7564">
            <v>37.32</v>
          </cell>
        </row>
        <row r="7565">
          <cell r="A7565">
            <v>42354</v>
          </cell>
          <cell r="B7565">
            <v>35.549999999999997</v>
          </cell>
        </row>
        <row r="7566">
          <cell r="A7566">
            <v>42355</v>
          </cell>
          <cell r="B7566">
            <v>34.979999999999997</v>
          </cell>
        </row>
        <row r="7567">
          <cell r="A7567">
            <v>42356</v>
          </cell>
          <cell r="B7567">
            <v>34.72</v>
          </cell>
        </row>
        <row r="7568">
          <cell r="A7568">
            <v>42359</v>
          </cell>
          <cell r="B7568">
            <v>34.549999999999997</v>
          </cell>
        </row>
        <row r="7569">
          <cell r="A7569">
            <v>42360</v>
          </cell>
          <cell r="B7569">
            <v>36.119999999999997</v>
          </cell>
        </row>
        <row r="7570">
          <cell r="A7570">
            <v>42361</v>
          </cell>
          <cell r="B7570">
            <v>36.76</v>
          </cell>
        </row>
        <row r="7571">
          <cell r="A7571">
            <v>42362</v>
          </cell>
          <cell r="B7571">
            <v>37.619999999999997</v>
          </cell>
        </row>
        <row r="7572">
          <cell r="A7572">
            <v>42363</v>
          </cell>
          <cell r="B7572">
            <v>37.6</v>
          </cell>
        </row>
        <row r="7573">
          <cell r="A7573">
            <v>42366</v>
          </cell>
          <cell r="B7573">
            <v>36.36</v>
          </cell>
        </row>
        <row r="7574">
          <cell r="A7574">
            <v>42367</v>
          </cell>
          <cell r="B7574">
            <v>37.880000000000003</v>
          </cell>
        </row>
        <row r="7575">
          <cell r="A7575">
            <v>42368</v>
          </cell>
          <cell r="B7575">
            <v>36.590000000000003</v>
          </cell>
        </row>
        <row r="7576">
          <cell r="A7576">
            <v>42369</v>
          </cell>
          <cell r="B7576">
            <v>37.130000000000003</v>
          </cell>
        </row>
        <row r="7577">
          <cell r="A7577">
            <v>42370</v>
          </cell>
          <cell r="B7577">
            <v>37.130000000000003</v>
          </cell>
        </row>
        <row r="7578">
          <cell r="A7578">
            <v>42373</v>
          </cell>
          <cell r="B7578">
            <v>36.81</v>
          </cell>
        </row>
        <row r="7579">
          <cell r="A7579">
            <v>42374</v>
          </cell>
          <cell r="B7579">
            <v>35.97</v>
          </cell>
        </row>
        <row r="7580">
          <cell r="A7580">
            <v>42375</v>
          </cell>
          <cell r="B7580">
            <v>33.97</v>
          </cell>
        </row>
        <row r="7581">
          <cell r="A7581">
            <v>42376</v>
          </cell>
          <cell r="B7581">
            <v>33.29</v>
          </cell>
        </row>
        <row r="7582">
          <cell r="A7582">
            <v>42377</v>
          </cell>
          <cell r="B7582">
            <v>33.200000000000003</v>
          </cell>
        </row>
        <row r="7583">
          <cell r="A7583">
            <v>42380</v>
          </cell>
          <cell r="B7583">
            <v>31.42</v>
          </cell>
        </row>
        <row r="7584">
          <cell r="A7584">
            <v>42381</v>
          </cell>
          <cell r="B7584">
            <v>30.42</v>
          </cell>
        </row>
        <row r="7585">
          <cell r="A7585">
            <v>42382</v>
          </cell>
          <cell r="B7585">
            <v>30.42</v>
          </cell>
        </row>
        <row r="7586">
          <cell r="A7586">
            <v>42383</v>
          </cell>
          <cell r="B7586">
            <v>31.22</v>
          </cell>
        </row>
        <row r="7587">
          <cell r="A7587">
            <v>42384</v>
          </cell>
          <cell r="B7587">
            <v>29.45</v>
          </cell>
        </row>
        <row r="7588">
          <cell r="A7588">
            <v>42388</v>
          </cell>
          <cell r="B7588">
            <v>28.47</v>
          </cell>
        </row>
        <row r="7589">
          <cell r="A7589">
            <v>42389</v>
          </cell>
          <cell r="B7589">
            <v>26.68</v>
          </cell>
        </row>
        <row r="7590">
          <cell r="A7590">
            <v>42390</v>
          </cell>
          <cell r="B7590">
            <v>29.55</v>
          </cell>
        </row>
        <row r="7591">
          <cell r="A7591">
            <v>42391</v>
          </cell>
          <cell r="B7591">
            <v>32.07</v>
          </cell>
        </row>
        <row r="7592">
          <cell r="A7592">
            <v>42394</v>
          </cell>
          <cell r="B7592">
            <v>30.31</v>
          </cell>
        </row>
        <row r="7593">
          <cell r="A7593">
            <v>42395</v>
          </cell>
          <cell r="B7593">
            <v>29.54</v>
          </cell>
        </row>
        <row r="7594">
          <cell r="A7594">
            <v>42396</v>
          </cell>
          <cell r="B7594">
            <v>32.32</v>
          </cell>
        </row>
        <row r="7595">
          <cell r="A7595">
            <v>42397</v>
          </cell>
          <cell r="B7595">
            <v>33.21</v>
          </cell>
        </row>
        <row r="7596">
          <cell r="A7596">
            <v>42398</v>
          </cell>
          <cell r="B7596">
            <v>33.659999999999997</v>
          </cell>
        </row>
        <row r="7597">
          <cell r="A7597">
            <v>42401</v>
          </cell>
          <cell r="B7597">
            <v>31.62</v>
          </cell>
        </row>
        <row r="7598">
          <cell r="A7598">
            <v>42402</v>
          </cell>
          <cell r="B7598">
            <v>29.9</v>
          </cell>
        </row>
        <row r="7599">
          <cell r="A7599">
            <v>42403</v>
          </cell>
          <cell r="B7599">
            <v>32.29</v>
          </cell>
        </row>
        <row r="7600">
          <cell r="A7600">
            <v>42404</v>
          </cell>
          <cell r="B7600">
            <v>31.63</v>
          </cell>
        </row>
        <row r="7601">
          <cell r="A7601">
            <v>42405</v>
          </cell>
          <cell r="B7601">
            <v>30.86</v>
          </cell>
        </row>
        <row r="7602">
          <cell r="A7602">
            <v>42408</v>
          </cell>
          <cell r="B7602">
            <v>29.71</v>
          </cell>
        </row>
        <row r="7603">
          <cell r="A7603">
            <v>42409</v>
          </cell>
          <cell r="B7603">
            <v>27.96</v>
          </cell>
        </row>
        <row r="7604">
          <cell r="A7604">
            <v>42410</v>
          </cell>
          <cell r="B7604">
            <v>27.54</v>
          </cell>
        </row>
        <row r="7605">
          <cell r="A7605">
            <v>42411</v>
          </cell>
          <cell r="B7605">
            <v>26.19</v>
          </cell>
        </row>
        <row r="7606">
          <cell r="A7606">
            <v>42412</v>
          </cell>
          <cell r="B7606">
            <v>29.32</v>
          </cell>
        </row>
        <row r="7607">
          <cell r="A7607">
            <v>42416</v>
          </cell>
          <cell r="B7607">
            <v>29.05</v>
          </cell>
        </row>
        <row r="7608">
          <cell r="A7608">
            <v>42417</v>
          </cell>
          <cell r="B7608">
            <v>30.68</v>
          </cell>
        </row>
        <row r="7609">
          <cell r="A7609">
            <v>42418</v>
          </cell>
          <cell r="B7609">
            <v>30.77</v>
          </cell>
        </row>
        <row r="7610">
          <cell r="A7610">
            <v>42419</v>
          </cell>
          <cell r="B7610">
            <v>29.59</v>
          </cell>
        </row>
        <row r="7611">
          <cell r="A7611">
            <v>42422</v>
          </cell>
          <cell r="B7611">
            <v>31.37</v>
          </cell>
        </row>
        <row r="7612">
          <cell r="A7612">
            <v>42423</v>
          </cell>
          <cell r="B7612">
            <v>31.84</v>
          </cell>
        </row>
        <row r="7613">
          <cell r="A7613">
            <v>42424</v>
          </cell>
          <cell r="B7613">
            <v>30.35</v>
          </cell>
        </row>
        <row r="7614">
          <cell r="A7614">
            <v>42425</v>
          </cell>
          <cell r="B7614">
            <v>31.4</v>
          </cell>
        </row>
        <row r="7615">
          <cell r="A7615">
            <v>42426</v>
          </cell>
          <cell r="B7615">
            <v>31.65</v>
          </cell>
        </row>
        <row r="7616">
          <cell r="A7616">
            <v>42429</v>
          </cell>
          <cell r="B7616">
            <v>32.74</v>
          </cell>
        </row>
        <row r="7617">
          <cell r="A7617">
            <v>42430</v>
          </cell>
          <cell r="B7617">
            <v>34.39</v>
          </cell>
        </row>
        <row r="7618">
          <cell r="A7618">
            <v>42431</v>
          </cell>
          <cell r="B7618">
            <v>34.57</v>
          </cell>
        </row>
        <row r="7619">
          <cell r="A7619">
            <v>42432</v>
          </cell>
          <cell r="B7619">
            <v>34.56</v>
          </cell>
        </row>
        <row r="7620">
          <cell r="A7620">
            <v>42433</v>
          </cell>
          <cell r="B7620">
            <v>35.909999999999997</v>
          </cell>
        </row>
        <row r="7621">
          <cell r="A7621">
            <v>42436</v>
          </cell>
          <cell r="B7621">
            <v>37.9</v>
          </cell>
        </row>
        <row r="7622">
          <cell r="A7622">
            <v>42437</v>
          </cell>
          <cell r="B7622">
            <v>36.67</v>
          </cell>
        </row>
        <row r="7623">
          <cell r="A7623">
            <v>42438</v>
          </cell>
          <cell r="B7623">
            <v>37.619999999999997</v>
          </cell>
        </row>
        <row r="7624">
          <cell r="A7624">
            <v>42439</v>
          </cell>
          <cell r="B7624">
            <v>37.770000000000003</v>
          </cell>
        </row>
        <row r="7625">
          <cell r="A7625">
            <v>42440</v>
          </cell>
          <cell r="B7625">
            <v>38.51</v>
          </cell>
        </row>
        <row r="7626">
          <cell r="A7626">
            <v>42443</v>
          </cell>
          <cell r="B7626">
            <v>37.200000000000003</v>
          </cell>
        </row>
        <row r="7627">
          <cell r="A7627">
            <v>42444</v>
          </cell>
          <cell r="B7627">
            <v>36.32</v>
          </cell>
        </row>
        <row r="7628">
          <cell r="A7628">
            <v>42445</v>
          </cell>
          <cell r="B7628">
            <v>38.43</v>
          </cell>
        </row>
        <row r="7629">
          <cell r="A7629">
            <v>42446</v>
          </cell>
          <cell r="B7629">
            <v>40.17</v>
          </cell>
        </row>
        <row r="7630">
          <cell r="A7630">
            <v>42447</v>
          </cell>
          <cell r="B7630">
            <v>39.47</v>
          </cell>
        </row>
        <row r="7631">
          <cell r="A7631">
            <v>42450</v>
          </cell>
          <cell r="B7631">
            <v>39.909999999999997</v>
          </cell>
        </row>
        <row r="7632">
          <cell r="A7632">
            <v>42451</v>
          </cell>
          <cell r="B7632">
            <v>41.45</v>
          </cell>
        </row>
        <row r="7633">
          <cell r="A7633">
            <v>42452</v>
          </cell>
          <cell r="B7633">
            <v>38.28</v>
          </cell>
        </row>
        <row r="7634">
          <cell r="A7634">
            <v>42453</v>
          </cell>
          <cell r="B7634">
            <v>38.14</v>
          </cell>
        </row>
        <row r="7635">
          <cell r="A7635">
            <v>42457</v>
          </cell>
          <cell r="B7635">
            <v>37.99</v>
          </cell>
        </row>
        <row r="7636">
          <cell r="A7636">
            <v>42458</v>
          </cell>
          <cell r="B7636">
            <v>36.909999999999997</v>
          </cell>
        </row>
        <row r="7637">
          <cell r="A7637">
            <v>42459</v>
          </cell>
          <cell r="B7637">
            <v>36.909999999999997</v>
          </cell>
        </row>
        <row r="7638">
          <cell r="A7638">
            <v>42460</v>
          </cell>
          <cell r="B7638">
            <v>36.94</v>
          </cell>
        </row>
        <row r="7639">
          <cell r="A7639">
            <v>42461</v>
          </cell>
          <cell r="B7639">
            <v>35.36</v>
          </cell>
        </row>
        <row r="7640">
          <cell r="A7640">
            <v>42464</v>
          </cell>
          <cell r="B7640">
            <v>34.299999999999997</v>
          </cell>
        </row>
        <row r="7641">
          <cell r="A7641">
            <v>42465</v>
          </cell>
          <cell r="B7641">
            <v>34.520000000000003</v>
          </cell>
        </row>
        <row r="7642">
          <cell r="A7642">
            <v>42466</v>
          </cell>
          <cell r="B7642">
            <v>37.74</v>
          </cell>
        </row>
        <row r="7643">
          <cell r="A7643">
            <v>42467</v>
          </cell>
          <cell r="B7643">
            <v>37.299999999999997</v>
          </cell>
        </row>
        <row r="7644">
          <cell r="A7644">
            <v>42468</v>
          </cell>
          <cell r="B7644">
            <v>39.74</v>
          </cell>
        </row>
        <row r="7645">
          <cell r="A7645">
            <v>42471</v>
          </cell>
          <cell r="B7645">
            <v>40.46</v>
          </cell>
        </row>
        <row r="7646">
          <cell r="A7646">
            <v>42472</v>
          </cell>
          <cell r="B7646">
            <v>42.12</v>
          </cell>
        </row>
        <row r="7647">
          <cell r="A7647">
            <v>42473</v>
          </cell>
          <cell r="B7647">
            <v>41.7</v>
          </cell>
        </row>
        <row r="7648">
          <cell r="A7648">
            <v>42474</v>
          </cell>
          <cell r="B7648">
            <v>41.45</v>
          </cell>
        </row>
        <row r="7649">
          <cell r="A7649">
            <v>42475</v>
          </cell>
          <cell r="B7649">
            <v>40.4</v>
          </cell>
        </row>
        <row r="7650">
          <cell r="A7650">
            <v>42478</v>
          </cell>
          <cell r="B7650">
            <v>39.74</v>
          </cell>
        </row>
        <row r="7651">
          <cell r="A7651">
            <v>42479</v>
          </cell>
          <cell r="B7651">
            <v>40.880000000000003</v>
          </cell>
        </row>
        <row r="7652">
          <cell r="A7652">
            <v>42480</v>
          </cell>
          <cell r="B7652">
            <v>42.72</v>
          </cell>
        </row>
        <row r="7653">
          <cell r="A7653">
            <v>42481</v>
          </cell>
          <cell r="B7653">
            <v>43.18</v>
          </cell>
        </row>
        <row r="7654">
          <cell r="A7654">
            <v>42482</v>
          </cell>
          <cell r="B7654">
            <v>42.76</v>
          </cell>
        </row>
        <row r="7655">
          <cell r="A7655">
            <v>42485</v>
          </cell>
          <cell r="B7655">
            <v>41.67</v>
          </cell>
        </row>
        <row r="7656">
          <cell r="A7656">
            <v>42486</v>
          </cell>
          <cell r="B7656">
            <v>42.52</v>
          </cell>
        </row>
        <row r="7657">
          <cell r="A7657">
            <v>42487</v>
          </cell>
          <cell r="B7657">
            <v>45.29</v>
          </cell>
        </row>
        <row r="7658">
          <cell r="A7658">
            <v>42488</v>
          </cell>
          <cell r="B7658">
            <v>46.03</v>
          </cell>
        </row>
        <row r="7659">
          <cell r="A7659">
            <v>42489</v>
          </cell>
          <cell r="B7659">
            <v>45.98</v>
          </cell>
        </row>
        <row r="7660">
          <cell r="A7660">
            <v>42492</v>
          </cell>
          <cell r="B7660">
            <v>44.75</v>
          </cell>
        </row>
        <row r="7661">
          <cell r="A7661">
            <v>42493</v>
          </cell>
          <cell r="B7661">
            <v>43.65</v>
          </cell>
        </row>
        <row r="7662">
          <cell r="A7662">
            <v>42494</v>
          </cell>
          <cell r="B7662">
            <v>43.77</v>
          </cell>
        </row>
        <row r="7663">
          <cell r="A7663">
            <v>42495</v>
          </cell>
          <cell r="B7663">
            <v>44.33</v>
          </cell>
        </row>
        <row r="7664">
          <cell r="A7664">
            <v>42496</v>
          </cell>
          <cell r="B7664">
            <v>44.58</v>
          </cell>
        </row>
        <row r="7665">
          <cell r="A7665">
            <v>42499</v>
          </cell>
          <cell r="B7665">
            <v>43.45</v>
          </cell>
        </row>
        <row r="7666">
          <cell r="A7666">
            <v>42500</v>
          </cell>
          <cell r="B7666">
            <v>44.68</v>
          </cell>
        </row>
        <row r="7667">
          <cell r="A7667">
            <v>42501</v>
          </cell>
          <cell r="B7667">
            <v>46.21</v>
          </cell>
        </row>
        <row r="7668">
          <cell r="A7668">
            <v>42502</v>
          </cell>
          <cell r="B7668">
            <v>46.64</v>
          </cell>
        </row>
        <row r="7669">
          <cell r="A7669">
            <v>42503</v>
          </cell>
          <cell r="B7669">
            <v>46.22</v>
          </cell>
        </row>
        <row r="7670">
          <cell r="A7670">
            <v>42506</v>
          </cell>
          <cell r="B7670">
            <v>47.72</v>
          </cell>
        </row>
        <row r="7671">
          <cell r="A7671">
            <v>42507</v>
          </cell>
          <cell r="B7671">
            <v>48.29</v>
          </cell>
        </row>
        <row r="7672">
          <cell r="A7672">
            <v>42508</v>
          </cell>
          <cell r="B7672">
            <v>48.12</v>
          </cell>
        </row>
        <row r="7673">
          <cell r="A7673">
            <v>42509</v>
          </cell>
          <cell r="B7673">
            <v>48.16</v>
          </cell>
        </row>
        <row r="7674">
          <cell r="A7674">
            <v>42510</v>
          </cell>
          <cell r="B7674">
            <v>47.67</v>
          </cell>
        </row>
        <row r="7675">
          <cell r="A7675">
            <v>42513</v>
          </cell>
          <cell r="B7675">
            <v>48.12</v>
          </cell>
        </row>
        <row r="7676">
          <cell r="A7676">
            <v>42514</v>
          </cell>
          <cell r="B7676">
            <v>48.04</v>
          </cell>
        </row>
        <row r="7677">
          <cell r="A7677">
            <v>42515</v>
          </cell>
          <cell r="B7677">
            <v>49.1</v>
          </cell>
        </row>
        <row r="7678">
          <cell r="A7678">
            <v>42516</v>
          </cell>
          <cell r="B7678">
            <v>49</v>
          </cell>
        </row>
        <row r="7679">
          <cell r="A7679">
            <v>42517</v>
          </cell>
          <cell r="B7679">
            <v>49.36</v>
          </cell>
        </row>
        <row r="7680">
          <cell r="A7680">
            <v>42521</v>
          </cell>
          <cell r="B7680">
            <v>49.1</v>
          </cell>
        </row>
        <row r="7681">
          <cell r="A7681">
            <v>42522</v>
          </cell>
          <cell r="B7681">
            <v>49.07</v>
          </cell>
        </row>
        <row r="7682">
          <cell r="A7682">
            <v>42523</v>
          </cell>
          <cell r="B7682">
            <v>49.14</v>
          </cell>
        </row>
        <row r="7683">
          <cell r="A7683">
            <v>42524</v>
          </cell>
          <cell r="B7683">
            <v>48.69</v>
          </cell>
        </row>
        <row r="7684">
          <cell r="A7684">
            <v>42527</v>
          </cell>
          <cell r="B7684">
            <v>49.71</v>
          </cell>
        </row>
        <row r="7685">
          <cell r="A7685">
            <v>42528</v>
          </cell>
          <cell r="B7685">
            <v>50.37</v>
          </cell>
        </row>
        <row r="7686">
          <cell r="A7686">
            <v>42529</v>
          </cell>
          <cell r="B7686">
            <v>51.23</v>
          </cell>
        </row>
        <row r="7687">
          <cell r="A7687">
            <v>42530</v>
          </cell>
          <cell r="B7687">
            <v>50.52</v>
          </cell>
        </row>
        <row r="7688">
          <cell r="A7688">
            <v>42531</v>
          </cell>
          <cell r="B7688">
            <v>49.09</v>
          </cell>
        </row>
        <row r="7689">
          <cell r="A7689">
            <v>42534</v>
          </cell>
          <cell r="B7689">
            <v>48.89</v>
          </cell>
        </row>
        <row r="7690">
          <cell r="A7690">
            <v>42535</v>
          </cell>
          <cell r="B7690">
            <v>48.49</v>
          </cell>
        </row>
        <row r="7691">
          <cell r="A7691">
            <v>42536</v>
          </cell>
          <cell r="B7691">
            <v>47.92</v>
          </cell>
        </row>
        <row r="7692">
          <cell r="A7692">
            <v>42537</v>
          </cell>
          <cell r="B7692">
            <v>46.14</v>
          </cell>
        </row>
        <row r="7693">
          <cell r="A7693">
            <v>42538</v>
          </cell>
          <cell r="B7693">
            <v>48</v>
          </cell>
        </row>
        <row r="7694">
          <cell r="A7694">
            <v>42541</v>
          </cell>
          <cell r="B7694">
            <v>49.4</v>
          </cell>
        </row>
        <row r="7695">
          <cell r="A7695">
            <v>42542</v>
          </cell>
          <cell r="B7695">
            <v>48.95</v>
          </cell>
        </row>
        <row r="7696">
          <cell r="A7696">
            <v>42543</v>
          </cell>
          <cell r="B7696">
            <v>49.16</v>
          </cell>
        </row>
        <row r="7697">
          <cell r="A7697">
            <v>42544</v>
          </cell>
          <cell r="B7697">
            <v>49.34</v>
          </cell>
        </row>
        <row r="7698">
          <cell r="A7698">
            <v>42545</v>
          </cell>
          <cell r="B7698">
            <v>46.7</v>
          </cell>
        </row>
        <row r="7699">
          <cell r="A7699">
            <v>42548</v>
          </cell>
          <cell r="B7699">
            <v>45.8</v>
          </cell>
        </row>
        <row r="7700">
          <cell r="A7700">
            <v>42549</v>
          </cell>
          <cell r="B7700">
            <v>47.93</v>
          </cell>
        </row>
        <row r="7701">
          <cell r="A7701">
            <v>42550</v>
          </cell>
          <cell r="B7701">
            <v>49.85</v>
          </cell>
        </row>
        <row r="7702">
          <cell r="A7702">
            <v>42551</v>
          </cell>
          <cell r="B7702">
            <v>48.27</v>
          </cell>
        </row>
        <row r="7703">
          <cell r="A7703">
            <v>42552</v>
          </cell>
          <cell r="B7703">
            <v>49.02</v>
          </cell>
        </row>
        <row r="7704">
          <cell r="A7704">
            <v>42556</v>
          </cell>
          <cell r="B7704">
            <v>46.73</v>
          </cell>
        </row>
        <row r="7705">
          <cell r="A7705">
            <v>42557</v>
          </cell>
          <cell r="B7705">
            <v>47.37</v>
          </cell>
        </row>
        <row r="7706">
          <cell r="A7706">
            <v>42558</v>
          </cell>
          <cell r="B7706">
            <v>45.22</v>
          </cell>
        </row>
        <row r="7707">
          <cell r="A7707">
            <v>42559</v>
          </cell>
          <cell r="B7707">
            <v>45.37</v>
          </cell>
        </row>
        <row r="7708">
          <cell r="A7708">
            <v>42562</v>
          </cell>
          <cell r="B7708">
            <v>44.73</v>
          </cell>
        </row>
        <row r="7709">
          <cell r="A7709">
            <v>42563</v>
          </cell>
          <cell r="B7709">
            <v>46.82</v>
          </cell>
        </row>
        <row r="7710">
          <cell r="A7710">
            <v>42564</v>
          </cell>
          <cell r="B7710">
            <v>44.87</v>
          </cell>
        </row>
        <row r="7711">
          <cell r="A7711">
            <v>42565</v>
          </cell>
          <cell r="B7711">
            <v>45.64</v>
          </cell>
        </row>
        <row r="7712">
          <cell r="A7712">
            <v>42566</v>
          </cell>
          <cell r="B7712">
            <v>45.93</v>
          </cell>
        </row>
        <row r="7713">
          <cell r="A7713">
            <v>42569</v>
          </cell>
          <cell r="B7713">
            <v>45.23</v>
          </cell>
        </row>
        <row r="7714">
          <cell r="A7714">
            <v>42570</v>
          </cell>
          <cell r="B7714">
            <v>44.64</v>
          </cell>
        </row>
        <row r="7715">
          <cell r="A7715">
            <v>42571</v>
          </cell>
          <cell r="B7715">
            <v>44.96</v>
          </cell>
        </row>
        <row r="7716">
          <cell r="A7716">
            <v>42572</v>
          </cell>
          <cell r="B7716">
            <v>43.96</v>
          </cell>
        </row>
        <row r="7717">
          <cell r="A7717">
            <v>42573</v>
          </cell>
          <cell r="B7717">
            <v>43.41</v>
          </cell>
        </row>
        <row r="7718">
          <cell r="A7718">
            <v>42576</v>
          </cell>
          <cell r="B7718">
            <v>42.4</v>
          </cell>
        </row>
        <row r="7719">
          <cell r="A7719">
            <v>42577</v>
          </cell>
          <cell r="B7719">
            <v>42.16</v>
          </cell>
        </row>
        <row r="7720">
          <cell r="A7720">
            <v>42578</v>
          </cell>
          <cell r="B7720">
            <v>41.9</v>
          </cell>
        </row>
        <row r="7721">
          <cell r="A7721">
            <v>42579</v>
          </cell>
          <cell r="B7721">
            <v>41.13</v>
          </cell>
        </row>
        <row r="7722">
          <cell r="A7722">
            <v>42580</v>
          </cell>
          <cell r="B7722">
            <v>41.54</v>
          </cell>
        </row>
        <row r="7723">
          <cell r="A7723">
            <v>42583</v>
          </cell>
          <cell r="B7723">
            <v>40.049999999999997</v>
          </cell>
        </row>
        <row r="7724">
          <cell r="A7724">
            <v>42584</v>
          </cell>
          <cell r="B7724">
            <v>39.5</v>
          </cell>
        </row>
        <row r="7725">
          <cell r="A7725">
            <v>42585</v>
          </cell>
          <cell r="B7725">
            <v>40.799999999999997</v>
          </cell>
        </row>
        <row r="7726">
          <cell r="A7726">
            <v>42586</v>
          </cell>
          <cell r="B7726">
            <v>41.92</v>
          </cell>
        </row>
        <row r="7727">
          <cell r="A7727">
            <v>42587</v>
          </cell>
          <cell r="B7727">
            <v>41.83</v>
          </cell>
        </row>
        <row r="7728">
          <cell r="A7728">
            <v>42590</v>
          </cell>
          <cell r="B7728">
            <v>43.06</v>
          </cell>
        </row>
        <row r="7729">
          <cell r="A7729">
            <v>42591</v>
          </cell>
          <cell r="B7729">
            <v>42.78</v>
          </cell>
        </row>
        <row r="7730">
          <cell r="A7730">
            <v>42592</v>
          </cell>
          <cell r="B7730">
            <v>41.75</v>
          </cell>
        </row>
        <row r="7731">
          <cell r="A7731">
            <v>42593</v>
          </cell>
          <cell r="B7731">
            <v>43.51</v>
          </cell>
        </row>
        <row r="7732">
          <cell r="A7732">
            <v>42594</v>
          </cell>
          <cell r="B7732">
            <v>44.47</v>
          </cell>
        </row>
        <row r="7733">
          <cell r="A7733">
            <v>42597</v>
          </cell>
          <cell r="B7733">
            <v>45.72</v>
          </cell>
        </row>
        <row r="7734">
          <cell r="A7734">
            <v>42598</v>
          </cell>
          <cell r="B7734">
            <v>46.57</v>
          </cell>
        </row>
        <row r="7735">
          <cell r="A7735">
            <v>42599</v>
          </cell>
          <cell r="B7735">
            <v>46.81</v>
          </cell>
        </row>
        <row r="7736">
          <cell r="A7736">
            <v>42600</v>
          </cell>
          <cell r="B7736">
            <v>48.2</v>
          </cell>
        </row>
        <row r="7737">
          <cell r="A7737">
            <v>42601</v>
          </cell>
          <cell r="B7737">
            <v>48.48</v>
          </cell>
        </row>
        <row r="7738">
          <cell r="A7738">
            <v>42604</v>
          </cell>
          <cell r="B7738">
            <v>46.8</v>
          </cell>
        </row>
        <row r="7739">
          <cell r="A7739">
            <v>42605</v>
          </cell>
          <cell r="B7739">
            <v>47.54</v>
          </cell>
        </row>
        <row r="7740">
          <cell r="A7740">
            <v>42606</v>
          </cell>
          <cell r="B7740">
            <v>46.29</v>
          </cell>
        </row>
        <row r="7741">
          <cell r="A7741">
            <v>42607</v>
          </cell>
          <cell r="B7741">
            <v>46.97</v>
          </cell>
        </row>
        <row r="7742">
          <cell r="A7742">
            <v>42608</v>
          </cell>
          <cell r="B7742">
            <v>47.64</v>
          </cell>
        </row>
        <row r="7743">
          <cell r="A7743">
            <v>42611</v>
          </cell>
          <cell r="B7743">
            <v>46.97</v>
          </cell>
        </row>
        <row r="7744">
          <cell r="A7744">
            <v>42612</v>
          </cell>
          <cell r="B7744">
            <v>46.32</v>
          </cell>
        </row>
        <row r="7745">
          <cell r="A7745">
            <v>42613</v>
          </cell>
          <cell r="B7745">
            <v>44.68</v>
          </cell>
        </row>
        <row r="7746">
          <cell r="A7746">
            <v>42614</v>
          </cell>
          <cell r="B7746">
            <v>43.17</v>
          </cell>
        </row>
        <row r="7747">
          <cell r="A7747">
            <v>42615</v>
          </cell>
          <cell r="B7747">
            <v>44.39</v>
          </cell>
        </row>
        <row r="7748">
          <cell r="A7748">
            <v>42618</v>
          </cell>
          <cell r="B7748">
            <v>44.39</v>
          </cell>
        </row>
        <row r="7749">
          <cell r="A7749">
            <v>42619</v>
          </cell>
          <cell r="B7749">
            <v>44.85</v>
          </cell>
        </row>
        <row r="7750">
          <cell r="A7750">
            <v>42620</v>
          </cell>
          <cell r="B7750">
            <v>45.47</v>
          </cell>
        </row>
        <row r="7751">
          <cell r="A7751">
            <v>42621</v>
          </cell>
          <cell r="B7751">
            <v>47.63</v>
          </cell>
        </row>
        <row r="7752">
          <cell r="A7752">
            <v>42622</v>
          </cell>
          <cell r="B7752">
            <v>45.88</v>
          </cell>
        </row>
        <row r="7753">
          <cell r="A7753">
            <v>42625</v>
          </cell>
          <cell r="B7753">
            <v>46.28</v>
          </cell>
        </row>
        <row r="7754">
          <cell r="A7754">
            <v>42626</v>
          </cell>
          <cell r="B7754">
            <v>44.91</v>
          </cell>
        </row>
        <row r="7755">
          <cell r="A7755">
            <v>42627</v>
          </cell>
          <cell r="B7755">
            <v>43.62</v>
          </cell>
        </row>
        <row r="7756">
          <cell r="A7756">
            <v>42628</v>
          </cell>
          <cell r="B7756">
            <v>43.85</v>
          </cell>
        </row>
        <row r="7757">
          <cell r="A7757">
            <v>42629</v>
          </cell>
          <cell r="B7757">
            <v>43.04</v>
          </cell>
        </row>
        <row r="7758">
          <cell r="A7758">
            <v>42632</v>
          </cell>
          <cell r="B7758">
            <v>43.34</v>
          </cell>
        </row>
        <row r="7759">
          <cell r="A7759">
            <v>42633</v>
          </cell>
          <cell r="B7759">
            <v>43.85</v>
          </cell>
        </row>
        <row r="7760">
          <cell r="A7760">
            <v>42634</v>
          </cell>
          <cell r="B7760">
            <v>45.33</v>
          </cell>
        </row>
        <row r="7761">
          <cell r="A7761">
            <v>42635</v>
          </cell>
          <cell r="B7761">
            <v>46.1</v>
          </cell>
        </row>
        <row r="7762">
          <cell r="A7762">
            <v>42636</v>
          </cell>
          <cell r="B7762">
            <v>44.36</v>
          </cell>
        </row>
        <row r="7763">
          <cell r="A7763">
            <v>42639</v>
          </cell>
          <cell r="B7763">
            <v>45.6</v>
          </cell>
        </row>
        <row r="7764">
          <cell r="A7764">
            <v>42640</v>
          </cell>
          <cell r="B7764">
            <v>44.65</v>
          </cell>
        </row>
        <row r="7765">
          <cell r="A7765">
            <v>42641</v>
          </cell>
          <cell r="B7765">
            <v>47.07</v>
          </cell>
        </row>
        <row r="7766">
          <cell r="A7766">
            <v>42642</v>
          </cell>
          <cell r="B7766">
            <v>47.72</v>
          </cell>
        </row>
        <row r="7767">
          <cell r="A7767">
            <v>42643</v>
          </cell>
          <cell r="B7767">
            <v>47.72</v>
          </cell>
        </row>
        <row r="7768">
          <cell r="A7768">
            <v>42646</v>
          </cell>
          <cell r="B7768">
            <v>48.8</v>
          </cell>
        </row>
        <row r="7769">
          <cell r="A7769">
            <v>42647</v>
          </cell>
          <cell r="B7769">
            <v>48.67</v>
          </cell>
        </row>
        <row r="7770">
          <cell r="A7770">
            <v>42648</v>
          </cell>
          <cell r="B7770">
            <v>49.75</v>
          </cell>
        </row>
        <row r="7771">
          <cell r="A7771">
            <v>42649</v>
          </cell>
          <cell r="B7771">
            <v>50.44</v>
          </cell>
        </row>
        <row r="7772">
          <cell r="A7772">
            <v>42650</v>
          </cell>
          <cell r="B7772">
            <v>49.76</v>
          </cell>
        </row>
        <row r="7773">
          <cell r="A7773">
            <v>42653</v>
          </cell>
          <cell r="B7773">
            <v>49.76</v>
          </cell>
        </row>
        <row r="7774">
          <cell r="A7774">
            <v>42654</v>
          </cell>
          <cell r="B7774">
            <v>50.72</v>
          </cell>
        </row>
        <row r="7775">
          <cell r="A7775">
            <v>42655</v>
          </cell>
          <cell r="B7775">
            <v>50.14</v>
          </cell>
        </row>
        <row r="7776">
          <cell r="A7776">
            <v>42656</v>
          </cell>
          <cell r="B7776">
            <v>50.47</v>
          </cell>
        </row>
        <row r="7777">
          <cell r="A7777">
            <v>42657</v>
          </cell>
          <cell r="B7777">
            <v>50.35</v>
          </cell>
        </row>
        <row r="7778">
          <cell r="A7778">
            <v>42660</v>
          </cell>
          <cell r="B7778">
            <v>49.97</v>
          </cell>
        </row>
        <row r="7779">
          <cell r="A7779">
            <v>42661</v>
          </cell>
          <cell r="B7779">
            <v>50.3</v>
          </cell>
        </row>
        <row r="7780">
          <cell r="A7780">
            <v>42662</v>
          </cell>
          <cell r="B7780">
            <v>51.59</v>
          </cell>
        </row>
        <row r="7781">
          <cell r="A7781">
            <v>42663</v>
          </cell>
          <cell r="B7781">
            <v>50.31</v>
          </cell>
        </row>
        <row r="7782">
          <cell r="A7782">
            <v>42664</v>
          </cell>
          <cell r="B7782">
            <v>50.61</v>
          </cell>
        </row>
        <row r="7783">
          <cell r="A7783">
            <v>42667</v>
          </cell>
          <cell r="B7783">
            <v>50.18</v>
          </cell>
        </row>
        <row r="7784">
          <cell r="A7784">
            <v>42668</v>
          </cell>
          <cell r="B7784">
            <v>49.45</v>
          </cell>
        </row>
        <row r="7785">
          <cell r="A7785">
            <v>42669</v>
          </cell>
          <cell r="B7785">
            <v>48.75</v>
          </cell>
        </row>
        <row r="7786">
          <cell r="A7786">
            <v>42670</v>
          </cell>
          <cell r="B7786">
            <v>49.71</v>
          </cell>
        </row>
        <row r="7787">
          <cell r="A7787">
            <v>42671</v>
          </cell>
          <cell r="B7787">
            <v>48.72</v>
          </cell>
        </row>
        <row r="7788">
          <cell r="A7788">
            <v>42674</v>
          </cell>
          <cell r="B7788">
            <v>46.83</v>
          </cell>
        </row>
        <row r="7789">
          <cell r="A7789">
            <v>42675</v>
          </cell>
          <cell r="B7789">
            <v>46.66</v>
          </cell>
        </row>
        <row r="7790">
          <cell r="A7790">
            <v>42676</v>
          </cell>
          <cell r="B7790">
            <v>45.32</v>
          </cell>
        </row>
        <row r="7791">
          <cell r="A7791">
            <v>42677</v>
          </cell>
          <cell r="B7791">
            <v>44.66</v>
          </cell>
        </row>
        <row r="7792">
          <cell r="A7792">
            <v>42678</v>
          </cell>
          <cell r="B7792">
            <v>44.07</v>
          </cell>
        </row>
        <row r="7793">
          <cell r="A7793">
            <v>42681</v>
          </cell>
          <cell r="B7793">
            <v>44.88</v>
          </cell>
        </row>
        <row r="7794">
          <cell r="A7794">
            <v>42682</v>
          </cell>
          <cell r="B7794">
            <v>44.96</v>
          </cell>
        </row>
        <row r="7795">
          <cell r="A7795">
            <v>42683</v>
          </cell>
          <cell r="B7795">
            <v>45.2</v>
          </cell>
        </row>
        <row r="7796">
          <cell r="A7796">
            <v>42684</v>
          </cell>
          <cell r="B7796">
            <v>44.62</v>
          </cell>
        </row>
        <row r="7797">
          <cell r="A7797">
            <v>42685</v>
          </cell>
          <cell r="B7797">
            <v>43.39</v>
          </cell>
        </row>
        <row r="7798">
          <cell r="A7798">
            <v>42688</v>
          </cell>
          <cell r="B7798">
            <v>43.29</v>
          </cell>
        </row>
        <row r="7799">
          <cell r="A7799">
            <v>42689</v>
          </cell>
          <cell r="B7799">
            <v>45.86</v>
          </cell>
        </row>
        <row r="7800">
          <cell r="A7800">
            <v>42690</v>
          </cell>
          <cell r="B7800">
            <v>45.56</v>
          </cell>
        </row>
        <row r="7801">
          <cell r="A7801">
            <v>42691</v>
          </cell>
          <cell r="B7801">
            <v>45.37</v>
          </cell>
        </row>
        <row r="7802">
          <cell r="A7802">
            <v>42692</v>
          </cell>
          <cell r="B7802">
            <v>45.69</v>
          </cell>
        </row>
        <row r="7803">
          <cell r="A7803">
            <v>42695</v>
          </cell>
          <cell r="B7803">
            <v>47.48</v>
          </cell>
        </row>
        <row r="7804">
          <cell r="A7804">
            <v>42696</v>
          </cell>
          <cell r="B7804">
            <v>48.07</v>
          </cell>
        </row>
        <row r="7805">
          <cell r="A7805">
            <v>42697</v>
          </cell>
          <cell r="B7805">
            <v>46.72</v>
          </cell>
        </row>
        <row r="7806">
          <cell r="A7806">
            <v>42698</v>
          </cell>
          <cell r="B7806">
            <v>46.72</v>
          </cell>
        </row>
        <row r="7807">
          <cell r="A7807">
            <v>42699</v>
          </cell>
          <cell r="B7807">
            <v>46.72</v>
          </cell>
        </row>
        <row r="7808">
          <cell r="A7808">
            <v>42702</v>
          </cell>
          <cell r="B7808">
            <v>45.66</v>
          </cell>
        </row>
        <row r="7809">
          <cell r="A7809">
            <v>42703</v>
          </cell>
          <cell r="B7809">
            <v>45.29</v>
          </cell>
        </row>
        <row r="7810">
          <cell r="A7810">
            <v>42704</v>
          </cell>
          <cell r="B7810">
            <v>49.41</v>
          </cell>
        </row>
        <row r="7811">
          <cell r="A7811">
            <v>42705</v>
          </cell>
          <cell r="B7811">
            <v>51.08</v>
          </cell>
        </row>
        <row r="7812">
          <cell r="A7812">
            <v>42706</v>
          </cell>
          <cell r="B7812">
            <v>51.7</v>
          </cell>
        </row>
        <row r="7813">
          <cell r="A7813">
            <v>42709</v>
          </cell>
          <cell r="B7813">
            <v>51.72</v>
          </cell>
        </row>
        <row r="7814">
          <cell r="A7814">
            <v>42710</v>
          </cell>
          <cell r="B7814">
            <v>50.95</v>
          </cell>
        </row>
        <row r="7815">
          <cell r="A7815">
            <v>42711</v>
          </cell>
          <cell r="B7815">
            <v>49.85</v>
          </cell>
        </row>
        <row r="7816">
          <cell r="A7816">
            <v>42712</v>
          </cell>
          <cell r="B7816">
            <v>50.84</v>
          </cell>
        </row>
        <row r="7817">
          <cell r="A7817">
            <v>42713</v>
          </cell>
          <cell r="B7817">
            <v>51.51</v>
          </cell>
        </row>
        <row r="7818">
          <cell r="A7818">
            <v>42716</v>
          </cell>
          <cell r="B7818">
            <v>52.74</v>
          </cell>
        </row>
        <row r="7819">
          <cell r="A7819">
            <v>42717</v>
          </cell>
          <cell r="B7819">
            <v>52.99</v>
          </cell>
        </row>
        <row r="7820">
          <cell r="A7820">
            <v>42718</v>
          </cell>
          <cell r="B7820">
            <v>51.01</v>
          </cell>
        </row>
        <row r="7821">
          <cell r="A7821">
            <v>42719</v>
          </cell>
          <cell r="B7821">
            <v>50.9</v>
          </cell>
        </row>
        <row r="7822">
          <cell r="A7822">
            <v>42720</v>
          </cell>
          <cell r="B7822">
            <v>51.93</v>
          </cell>
        </row>
        <row r="7823">
          <cell r="A7823">
            <v>42723</v>
          </cell>
          <cell r="B7823">
            <v>52.13</v>
          </cell>
        </row>
        <row r="7824">
          <cell r="A7824">
            <v>42724</v>
          </cell>
          <cell r="B7824">
            <v>52.22</v>
          </cell>
        </row>
        <row r="7825">
          <cell r="A7825">
            <v>42725</v>
          </cell>
          <cell r="B7825">
            <v>51.44</v>
          </cell>
        </row>
        <row r="7826">
          <cell r="A7826">
            <v>42726</v>
          </cell>
          <cell r="B7826">
            <v>51.98</v>
          </cell>
        </row>
        <row r="7827">
          <cell r="A7827">
            <v>42727</v>
          </cell>
          <cell r="B7827">
            <v>52.01</v>
          </cell>
        </row>
        <row r="7828">
          <cell r="A7828">
            <v>42731</v>
          </cell>
          <cell r="B7828">
            <v>52.82</v>
          </cell>
        </row>
        <row r="7829">
          <cell r="A7829">
            <v>42732</v>
          </cell>
          <cell r="B7829">
            <v>54.01</v>
          </cell>
        </row>
        <row r="7830">
          <cell r="A7830">
            <v>42733</v>
          </cell>
          <cell r="B7830">
            <v>53.8</v>
          </cell>
        </row>
        <row r="7831">
          <cell r="A7831">
            <v>42734</v>
          </cell>
          <cell r="B7831">
            <v>53.75</v>
          </cell>
        </row>
        <row r="7832">
          <cell r="A7832">
            <v>42738</v>
          </cell>
          <cell r="B7832">
            <v>52.36</v>
          </cell>
        </row>
        <row r="7833">
          <cell r="A7833">
            <v>42739</v>
          </cell>
          <cell r="B7833">
            <v>53.26</v>
          </cell>
        </row>
        <row r="7834">
          <cell r="A7834">
            <v>42740</v>
          </cell>
          <cell r="B7834">
            <v>53.77</v>
          </cell>
        </row>
        <row r="7835">
          <cell r="A7835">
            <v>42741</v>
          </cell>
          <cell r="B7835">
            <v>53.98</v>
          </cell>
        </row>
        <row r="7836">
          <cell r="A7836">
            <v>42744</v>
          </cell>
          <cell r="B7836">
            <v>51.95</v>
          </cell>
        </row>
        <row r="7837">
          <cell r="A7837">
            <v>42745</v>
          </cell>
          <cell r="B7837">
            <v>50.82</v>
          </cell>
        </row>
        <row r="7838">
          <cell r="A7838">
            <v>42746</v>
          </cell>
          <cell r="B7838">
            <v>52.19</v>
          </cell>
        </row>
        <row r="7839">
          <cell r="A7839">
            <v>42747</v>
          </cell>
          <cell r="B7839">
            <v>53.01</v>
          </cell>
        </row>
        <row r="7840">
          <cell r="A7840">
            <v>42748</v>
          </cell>
          <cell r="B7840">
            <v>52.36</v>
          </cell>
        </row>
        <row r="7841">
          <cell r="A7841">
            <v>42752</v>
          </cell>
          <cell r="B7841">
            <v>52.45</v>
          </cell>
        </row>
        <row r="7842">
          <cell r="A7842">
            <v>42753</v>
          </cell>
          <cell r="B7842">
            <v>51.12</v>
          </cell>
        </row>
        <row r="7843">
          <cell r="A7843">
            <v>42754</v>
          </cell>
          <cell r="B7843">
            <v>51.39</v>
          </cell>
        </row>
        <row r="7844">
          <cell r="A7844">
            <v>42755</v>
          </cell>
          <cell r="B7844">
            <v>52.33</v>
          </cell>
        </row>
        <row r="7845">
          <cell r="A7845">
            <v>42758</v>
          </cell>
          <cell r="B7845">
            <v>52.77</v>
          </cell>
        </row>
        <row r="7846">
          <cell r="A7846">
            <v>42759</v>
          </cell>
          <cell r="B7846">
            <v>52.38</v>
          </cell>
        </row>
        <row r="7847">
          <cell r="A7847">
            <v>42760</v>
          </cell>
          <cell r="B7847">
            <v>52.14</v>
          </cell>
        </row>
        <row r="7848">
          <cell r="A7848">
            <v>42761</v>
          </cell>
          <cell r="B7848">
            <v>53.24</v>
          </cell>
        </row>
        <row r="7849">
          <cell r="A7849">
            <v>42762</v>
          </cell>
          <cell r="B7849">
            <v>53.18</v>
          </cell>
        </row>
        <row r="7850">
          <cell r="A7850">
            <v>42765</v>
          </cell>
          <cell r="B7850">
            <v>52.63</v>
          </cell>
        </row>
        <row r="7851">
          <cell r="A7851">
            <v>42766</v>
          </cell>
          <cell r="B7851">
            <v>52.75</v>
          </cell>
        </row>
        <row r="7852">
          <cell r="A7852">
            <v>42767</v>
          </cell>
          <cell r="B7852">
            <v>53.9</v>
          </cell>
        </row>
        <row r="7853">
          <cell r="A7853">
            <v>42768</v>
          </cell>
          <cell r="B7853">
            <v>53.55</v>
          </cell>
        </row>
        <row r="7854">
          <cell r="A7854">
            <v>42769</v>
          </cell>
          <cell r="B7854">
            <v>53.81</v>
          </cell>
        </row>
        <row r="7855">
          <cell r="A7855">
            <v>42772</v>
          </cell>
          <cell r="B7855">
            <v>53.01</v>
          </cell>
        </row>
        <row r="7856">
          <cell r="A7856">
            <v>42773</v>
          </cell>
          <cell r="B7856">
            <v>52.19</v>
          </cell>
        </row>
        <row r="7857">
          <cell r="A7857">
            <v>42774</v>
          </cell>
          <cell r="B7857">
            <v>52.37</v>
          </cell>
        </row>
        <row r="7858">
          <cell r="A7858">
            <v>42775</v>
          </cell>
          <cell r="B7858">
            <v>52.99</v>
          </cell>
        </row>
        <row r="7859">
          <cell r="A7859">
            <v>42776</v>
          </cell>
          <cell r="B7859">
            <v>53.84</v>
          </cell>
        </row>
        <row r="7860">
          <cell r="A7860">
            <v>42779</v>
          </cell>
          <cell r="B7860">
            <v>52.96</v>
          </cell>
        </row>
        <row r="7861">
          <cell r="A7861">
            <v>42780</v>
          </cell>
          <cell r="B7861">
            <v>53.21</v>
          </cell>
        </row>
        <row r="7862">
          <cell r="A7862">
            <v>42781</v>
          </cell>
          <cell r="B7862">
            <v>53.11</v>
          </cell>
        </row>
        <row r="7863">
          <cell r="A7863">
            <v>42782</v>
          </cell>
          <cell r="B7863">
            <v>53.41</v>
          </cell>
        </row>
        <row r="7864">
          <cell r="A7864">
            <v>42783</v>
          </cell>
          <cell r="B7864">
            <v>53.41</v>
          </cell>
        </row>
        <row r="7865">
          <cell r="A7865">
            <v>42787</v>
          </cell>
          <cell r="B7865">
            <v>54.02</v>
          </cell>
        </row>
        <row r="7866">
          <cell r="A7866">
            <v>42788</v>
          </cell>
          <cell r="B7866">
            <v>53.61</v>
          </cell>
        </row>
        <row r="7867">
          <cell r="A7867">
            <v>42789</v>
          </cell>
          <cell r="B7867">
            <v>54.48</v>
          </cell>
        </row>
        <row r="7868">
          <cell r="A7868">
            <v>42790</v>
          </cell>
          <cell r="B7868">
            <v>53.99</v>
          </cell>
        </row>
        <row r="7869">
          <cell r="A7869">
            <v>42793</v>
          </cell>
          <cell r="B7869">
            <v>54.04</v>
          </cell>
        </row>
        <row r="7870">
          <cell r="A7870">
            <v>42794</v>
          </cell>
          <cell r="B7870">
            <v>54</v>
          </cell>
        </row>
        <row r="7871">
          <cell r="A7871">
            <v>42795</v>
          </cell>
          <cell r="B7871">
            <v>53.82</v>
          </cell>
        </row>
        <row r="7872">
          <cell r="A7872">
            <v>42796</v>
          </cell>
          <cell r="B7872">
            <v>52.63</v>
          </cell>
        </row>
        <row r="7873">
          <cell r="A7873">
            <v>42797</v>
          </cell>
          <cell r="B7873">
            <v>53.33</v>
          </cell>
        </row>
        <row r="7874">
          <cell r="A7874">
            <v>42800</v>
          </cell>
          <cell r="B7874">
            <v>53.19</v>
          </cell>
        </row>
        <row r="7875">
          <cell r="A7875">
            <v>42801</v>
          </cell>
          <cell r="B7875">
            <v>52.68</v>
          </cell>
        </row>
        <row r="7876">
          <cell r="A7876">
            <v>42802</v>
          </cell>
          <cell r="B7876">
            <v>49.83</v>
          </cell>
        </row>
        <row r="7877">
          <cell r="A7877">
            <v>42803</v>
          </cell>
          <cell r="B7877">
            <v>48.75</v>
          </cell>
        </row>
        <row r="7878">
          <cell r="A7878">
            <v>42804</v>
          </cell>
          <cell r="B7878">
            <v>48.05</v>
          </cell>
        </row>
        <row r="7879">
          <cell r="A7879">
            <v>42807</v>
          </cell>
          <cell r="B7879">
            <v>47.95</v>
          </cell>
        </row>
        <row r="7880">
          <cell r="A7880">
            <v>42808</v>
          </cell>
          <cell r="B7880">
            <v>47.24</v>
          </cell>
        </row>
        <row r="7881">
          <cell r="A7881">
            <v>42809</v>
          </cell>
          <cell r="B7881">
            <v>48.34</v>
          </cell>
        </row>
        <row r="7882">
          <cell r="A7882">
            <v>42810</v>
          </cell>
          <cell r="B7882">
            <v>48.3</v>
          </cell>
        </row>
        <row r="7883">
          <cell r="A7883">
            <v>42811</v>
          </cell>
          <cell r="B7883">
            <v>48.34</v>
          </cell>
        </row>
        <row r="7884">
          <cell r="A7884">
            <v>42814</v>
          </cell>
          <cell r="B7884">
            <v>47.79</v>
          </cell>
        </row>
        <row r="7885">
          <cell r="A7885">
            <v>42815</v>
          </cell>
          <cell r="B7885">
            <v>47.02</v>
          </cell>
        </row>
        <row r="7886">
          <cell r="A7886">
            <v>42816</v>
          </cell>
          <cell r="B7886">
            <v>47.29</v>
          </cell>
        </row>
        <row r="7887">
          <cell r="A7887">
            <v>42817</v>
          </cell>
          <cell r="B7887">
            <v>47</v>
          </cell>
        </row>
        <row r="7888">
          <cell r="A7888">
            <v>42818</v>
          </cell>
          <cell r="B7888">
            <v>47.3</v>
          </cell>
        </row>
        <row r="7889">
          <cell r="A7889">
            <v>42821</v>
          </cell>
          <cell r="B7889">
            <v>47.02</v>
          </cell>
        </row>
        <row r="7890">
          <cell r="A7890">
            <v>42822</v>
          </cell>
          <cell r="B7890">
            <v>48.36</v>
          </cell>
        </row>
        <row r="7891">
          <cell r="A7891">
            <v>42823</v>
          </cell>
          <cell r="B7891">
            <v>49.47</v>
          </cell>
        </row>
        <row r="7892">
          <cell r="A7892">
            <v>42824</v>
          </cell>
          <cell r="B7892">
            <v>50.3</v>
          </cell>
        </row>
        <row r="7893">
          <cell r="A7893">
            <v>42825</v>
          </cell>
          <cell r="B7893">
            <v>50.54</v>
          </cell>
        </row>
        <row r="7894">
          <cell r="A7894">
            <v>42828</v>
          </cell>
          <cell r="B7894">
            <v>50.25</v>
          </cell>
        </row>
        <row r="7895">
          <cell r="A7895">
            <v>42829</v>
          </cell>
          <cell r="B7895">
            <v>50.99</v>
          </cell>
        </row>
        <row r="7896">
          <cell r="A7896">
            <v>42830</v>
          </cell>
          <cell r="B7896">
            <v>51.14</v>
          </cell>
        </row>
        <row r="7897">
          <cell r="A7897">
            <v>42831</v>
          </cell>
          <cell r="B7897">
            <v>51.69</v>
          </cell>
        </row>
        <row r="7898">
          <cell r="A7898">
            <v>42832</v>
          </cell>
          <cell r="B7898">
            <v>52.25</v>
          </cell>
        </row>
        <row r="7899">
          <cell r="A7899">
            <v>42835</v>
          </cell>
          <cell r="B7899">
            <v>53.06</v>
          </cell>
        </row>
        <row r="7900">
          <cell r="A7900">
            <v>42836</v>
          </cell>
          <cell r="B7900">
            <v>53.38</v>
          </cell>
        </row>
        <row r="7901">
          <cell r="A7901">
            <v>42837</v>
          </cell>
          <cell r="B7901">
            <v>53.12</v>
          </cell>
        </row>
        <row r="7902">
          <cell r="A7902">
            <v>42838</v>
          </cell>
          <cell r="B7902">
            <v>53.19</v>
          </cell>
        </row>
        <row r="7903">
          <cell r="A7903">
            <v>42842</v>
          </cell>
          <cell r="B7903">
            <v>52.62</v>
          </cell>
        </row>
        <row r="7904">
          <cell r="A7904">
            <v>42843</v>
          </cell>
          <cell r="B7904">
            <v>52.46</v>
          </cell>
        </row>
        <row r="7905">
          <cell r="A7905">
            <v>42844</v>
          </cell>
          <cell r="B7905">
            <v>50.49</v>
          </cell>
        </row>
        <row r="7906">
          <cell r="A7906">
            <v>42845</v>
          </cell>
          <cell r="B7906">
            <v>50.26</v>
          </cell>
        </row>
        <row r="7907">
          <cell r="A7907">
            <v>42846</v>
          </cell>
          <cell r="B7907">
            <v>49.64</v>
          </cell>
        </row>
        <row r="7908">
          <cell r="A7908">
            <v>42849</v>
          </cell>
          <cell r="B7908">
            <v>48.9</v>
          </cell>
        </row>
        <row r="7909">
          <cell r="A7909">
            <v>42850</v>
          </cell>
          <cell r="B7909">
            <v>49.22</v>
          </cell>
        </row>
        <row r="7910">
          <cell r="A7910">
            <v>42851</v>
          </cell>
          <cell r="B7910">
            <v>49.22</v>
          </cell>
        </row>
        <row r="7911">
          <cell r="A7911">
            <v>42852</v>
          </cell>
          <cell r="B7911">
            <v>48.96</v>
          </cell>
        </row>
        <row r="7912">
          <cell r="A7912">
            <v>42853</v>
          </cell>
          <cell r="B7912">
            <v>49.31</v>
          </cell>
        </row>
        <row r="7913">
          <cell r="A7913">
            <v>42856</v>
          </cell>
          <cell r="B7913">
            <v>48.83</v>
          </cell>
        </row>
        <row r="7914">
          <cell r="A7914">
            <v>42857</v>
          </cell>
          <cell r="B7914">
            <v>47.65</v>
          </cell>
        </row>
        <row r="7915">
          <cell r="A7915">
            <v>42858</v>
          </cell>
          <cell r="B7915">
            <v>47.79</v>
          </cell>
        </row>
        <row r="7916">
          <cell r="A7916">
            <v>42859</v>
          </cell>
          <cell r="B7916">
            <v>45.55</v>
          </cell>
        </row>
        <row r="7917">
          <cell r="A7917">
            <v>42860</v>
          </cell>
          <cell r="B7917">
            <v>46.23</v>
          </cell>
        </row>
        <row r="7918">
          <cell r="A7918">
            <v>42863</v>
          </cell>
          <cell r="B7918">
            <v>46.46</v>
          </cell>
        </row>
        <row r="7919">
          <cell r="A7919">
            <v>42864</v>
          </cell>
          <cell r="B7919">
            <v>45.84</v>
          </cell>
        </row>
        <row r="7920">
          <cell r="A7920">
            <v>42865</v>
          </cell>
          <cell r="B7920">
            <v>47.28</v>
          </cell>
        </row>
        <row r="7921">
          <cell r="A7921">
            <v>42866</v>
          </cell>
          <cell r="B7921">
            <v>47.81</v>
          </cell>
        </row>
        <row r="7922">
          <cell r="A7922">
            <v>42867</v>
          </cell>
          <cell r="B7922">
            <v>47.83</v>
          </cell>
        </row>
        <row r="7923">
          <cell r="A7923">
            <v>42870</v>
          </cell>
          <cell r="B7923">
            <v>48.86</v>
          </cell>
        </row>
        <row r="7924">
          <cell r="A7924">
            <v>42871</v>
          </cell>
          <cell r="B7924">
            <v>48.64</v>
          </cell>
        </row>
        <row r="7925">
          <cell r="A7925">
            <v>42872</v>
          </cell>
          <cell r="B7925">
            <v>49.04</v>
          </cell>
        </row>
        <row r="7926">
          <cell r="A7926">
            <v>42873</v>
          </cell>
          <cell r="B7926">
            <v>49.36</v>
          </cell>
        </row>
        <row r="7927">
          <cell r="A7927">
            <v>42874</v>
          </cell>
          <cell r="B7927">
            <v>50.32</v>
          </cell>
        </row>
        <row r="7928">
          <cell r="A7928">
            <v>42877</v>
          </cell>
          <cell r="B7928">
            <v>50.81</v>
          </cell>
        </row>
        <row r="7929">
          <cell r="A7929">
            <v>42878</v>
          </cell>
          <cell r="B7929">
            <v>51.12</v>
          </cell>
        </row>
        <row r="7930">
          <cell r="A7930">
            <v>42879</v>
          </cell>
          <cell r="B7930">
            <v>50.99</v>
          </cell>
        </row>
        <row r="7931">
          <cell r="A7931">
            <v>42880</v>
          </cell>
          <cell r="B7931">
            <v>48.57</v>
          </cell>
        </row>
        <row r="7932">
          <cell r="A7932">
            <v>42881</v>
          </cell>
          <cell r="B7932">
            <v>49.58</v>
          </cell>
        </row>
        <row r="7933">
          <cell r="A7933">
            <v>42885</v>
          </cell>
          <cell r="B7933">
            <v>49.63</v>
          </cell>
        </row>
        <row r="7934">
          <cell r="A7934">
            <v>42886</v>
          </cell>
          <cell r="B7934">
            <v>48.29</v>
          </cell>
        </row>
        <row r="7935">
          <cell r="A7935">
            <v>42887</v>
          </cell>
          <cell r="B7935">
            <v>48.32</v>
          </cell>
        </row>
        <row r="7936">
          <cell r="A7936">
            <v>42888</v>
          </cell>
          <cell r="B7936">
            <v>47.68</v>
          </cell>
        </row>
        <row r="7937">
          <cell r="A7937">
            <v>42891</v>
          </cell>
          <cell r="B7937">
            <v>47.4</v>
          </cell>
        </row>
        <row r="7938">
          <cell r="A7938">
            <v>42892</v>
          </cell>
          <cell r="B7938">
            <v>48.13</v>
          </cell>
        </row>
        <row r="7939">
          <cell r="A7939">
            <v>42893</v>
          </cell>
          <cell r="B7939">
            <v>45.8</v>
          </cell>
        </row>
        <row r="7940">
          <cell r="A7940">
            <v>42894</v>
          </cell>
          <cell r="B7940">
            <v>45.68</v>
          </cell>
        </row>
        <row r="7941">
          <cell r="A7941">
            <v>42895</v>
          </cell>
          <cell r="B7941">
            <v>45.82</v>
          </cell>
        </row>
        <row r="7942">
          <cell r="A7942">
            <v>42898</v>
          </cell>
          <cell r="B7942">
            <v>46.1</v>
          </cell>
        </row>
        <row r="7943">
          <cell r="A7943">
            <v>42899</v>
          </cell>
          <cell r="B7943">
            <v>46.41</v>
          </cell>
        </row>
        <row r="7944">
          <cell r="A7944">
            <v>42900</v>
          </cell>
          <cell r="B7944">
            <v>44.79</v>
          </cell>
        </row>
        <row r="7945">
          <cell r="A7945">
            <v>42901</v>
          </cell>
          <cell r="B7945">
            <v>44.47</v>
          </cell>
        </row>
        <row r="7946">
          <cell r="A7946">
            <v>42902</v>
          </cell>
          <cell r="B7946">
            <v>44.73</v>
          </cell>
        </row>
        <row r="7947">
          <cell r="A7947">
            <v>42905</v>
          </cell>
          <cell r="B7947">
            <v>44.24</v>
          </cell>
        </row>
        <row r="7948">
          <cell r="A7948">
            <v>42906</v>
          </cell>
          <cell r="B7948">
            <v>43.34</v>
          </cell>
        </row>
        <row r="7949">
          <cell r="A7949">
            <v>42907</v>
          </cell>
          <cell r="B7949">
            <v>42.48</v>
          </cell>
        </row>
        <row r="7950">
          <cell r="A7950">
            <v>42908</v>
          </cell>
          <cell r="B7950">
            <v>42.53</v>
          </cell>
        </row>
        <row r="7951">
          <cell r="A7951">
            <v>42909</v>
          </cell>
          <cell r="B7951">
            <v>42.86</v>
          </cell>
        </row>
        <row r="7952">
          <cell r="A7952">
            <v>42912</v>
          </cell>
          <cell r="B7952">
            <v>43.24</v>
          </cell>
        </row>
        <row r="7953">
          <cell r="A7953">
            <v>42913</v>
          </cell>
          <cell r="B7953">
            <v>44.25</v>
          </cell>
        </row>
        <row r="7954">
          <cell r="A7954">
            <v>42914</v>
          </cell>
          <cell r="B7954">
            <v>44.74</v>
          </cell>
        </row>
        <row r="7955">
          <cell r="A7955">
            <v>42915</v>
          </cell>
          <cell r="B7955">
            <v>44.88</v>
          </cell>
        </row>
        <row r="7956">
          <cell r="A7956">
            <v>42916</v>
          </cell>
          <cell r="B7956">
            <v>46.02</v>
          </cell>
        </row>
        <row r="7957">
          <cell r="A7957">
            <v>42919</v>
          </cell>
          <cell r="B7957">
            <v>46.02</v>
          </cell>
        </row>
        <row r="7958">
          <cell r="A7958">
            <v>42921</v>
          </cell>
          <cell r="B7958">
            <v>45.11</v>
          </cell>
        </row>
        <row r="7959">
          <cell r="A7959">
            <v>42922</v>
          </cell>
          <cell r="B7959">
            <v>45.52</v>
          </cell>
        </row>
        <row r="7960">
          <cell r="A7960">
            <v>42923</v>
          </cell>
          <cell r="B7960">
            <v>44.25</v>
          </cell>
        </row>
        <row r="7961">
          <cell r="A7961">
            <v>42926</v>
          </cell>
          <cell r="B7961">
            <v>44.4</v>
          </cell>
        </row>
        <row r="7962">
          <cell r="A7962">
            <v>42927</v>
          </cell>
          <cell r="B7962">
            <v>45.06</v>
          </cell>
        </row>
        <row r="7963">
          <cell r="A7963">
            <v>42928</v>
          </cell>
          <cell r="B7963">
            <v>45.48</v>
          </cell>
        </row>
        <row r="7964">
          <cell r="A7964">
            <v>42929</v>
          </cell>
          <cell r="B7964">
            <v>46.06</v>
          </cell>
        </row>
        <row r="7965">
          <cell r="A7965">
            <v>42930</v>
          </cell>
          <cell r="B7965">
            <v>46.53</v>
          </cell>
        </row>
        <row r="7966">
          <cell r="A7966">
            <v>42933</v>
          </cell>
          <cell r="B7966">
            <v>46.02</v>
          </cell>
        </row>
        <row r="7967">
          <cell r="A7967">
            <v>42934</v>
          </cell>
          <cell r="B7967">
            <v>46.4</v>
          </cell>
        </row>
        <row r="7968">
          <cell r="A7968">
            <v>42935</v>
          </cell>
          <cell r="B7968">
            <v>47.1</v>
          </cell>
        </row>
        <row r="7969">
          <cell r="A7969">
            <v>42936</v>
          </cell>
          <cell r="B7969">
            <v>46.73</v>
          </cell>
        </row>
        <row r="7970">
          <cell r="A7970">
            <v>42937</v>
          </cell>
          <cell r="B7970">
            <v>45.78</v>
          </cell>
        </row>
        <row r="7971">
          <cell r="A7971">
            <v>42940</v>
          </cell>
          <cell r="B7971">
            <v>46.21</v>
          </cell>
        </row>
        <row r="7972">
          <cell r="A7972">
            <v>42941</v>
          </cell>
          <cell r="B7972">
            <v>47.77</v>
          </cell>
        </row>
        <row r="7973">
          <cell r="A7973">
            <v>42942</v>
          </cell>
          <cell r="B7973">
            <v>48.58</v>
          </cell>
        </row>
        <row r="7974">
          <cell r="A7974">
            <v>42943</v>
          </cell>
          <cell r="B7974">
            <v>49.05</v>
          </cell>
        </row>
        <row r="7975">
          <cell r="A7975">
            <v>42944</v>
          </cell>
          <cell r="B7975">
            <v>49.72</v>
          </cell>
        </row>
        <row r="7976">
          <cell r="A7976">
            <v>42947</v>
          </cell>
          <cell r="B7976">
            <v>50.21</v>
          </cell>
        </row>
        <row r="7977">
          <cell r="A7977">
            <v>42948</v>
          </cell>
          <cell r="B7977">
            <v>49.19</v>
          </cell>
        </row>
        <row r="7978">
          <cell r="A7978">
            <v>42949</v>
          </cell>
          <cell r="B7978">
            <v>49.6</v>
          </cell>
        </row>
        <row r="7979">
          <cell r="A7979">
            <v>42950</v>
          </cell>
          <cell r="B7979">
            <v>49.03</v>
          </cell>
        </row>
        <row r="7980">
          <cell r="A7980">
            <v>42951</v>
          </cell>
          <cell r="B7980">
            <v>49.57</v>
          </cell>
        </row>
        <row r="7981">
          <cell r="A7981">
            <v>42954</v>
          </cell>
          <cell r="B7981">
            <v>49.37</v>
          </cell>
        </row>
        <row r="7982">
          <cell r="A7982">
            <v>42955</v>
          </cell>
          <cell r="B7982">
            <v>49.07</v>
          </cell>
        </row>
        <row r="7983">
          <cell r="A7983">
            <v>42956</v>
          </cell>
          <cell r="B7983">
            <v>49.59</v>
          </cell>
        </row>
        <row r="7984">
          <cell r="A7984">
            <v>42957</v>
          </cell>
          <cell r="B7984">
            <v>48.54</v>
          </cell>
        </row>
        <row r="7985">
          <cell r="A7985">
            <v>42958</v>
          </cell>
          <cell r="B7985">
            <v>48.81</v>
          </cell>
        </row>
        <row r="7986">
          <cell r="A7986">
            <v>42961</v>
          </cell>
          <cell r="B7986">
            <v>47.59</v>
          </cell>
        </row>
        <row r="7987">
          <cell r="A7987">
            <v>42962</v>
          </cell>
          <cell r="B7987">
            <v>47.57</v>
          </cell>
        </row>
        <row r="7988">
          <cell r="A7988">
            <v>42963</v>
          </cell>
          <cell r="B7988">
            <v>46.8</v>
          </cell>
        </row>
        <row r="7989">
          <cell r="A7989">
            <v>42964</v>
          </cell>
          <cell r="B7989">
            <v>47.07</v>
          </cell>
        </row>
        <row r="7990">
          <cell r="A7990">
            <v>42965</v>
          </cell>
          <cell r="B7990">
            <v>48.59</v>
          </cell>
        </row>
        <row r="7991">
          <cell r="A7991">
            <v>42968</v>
          </cell>
          <cell r="B7991">
            <v>47.39</v>
          </cell>
        </row>
        <row r="7992">
          <cell r="A7992">
            <v>42969</v>
          </cell>
          <cell r="B7992">
            <v>47.65</v>
          </cell>
        </row>
        <row r="7993">
          <cell r="A7993">
            <v>42970</v>
          </cell>
          <cell r="B7993">
            <v>48.45</v>
          </cell>
        </row>
        <row r="7994">
          <cell r="A7994">
            <v>42971</v>
          </cell>
          <cell r="B7994">
            <v>47.24</v>
          </cell>
        </row>
        <row r="7995">
          <cell r="A7995">
            <v>42972</v>
          </cell>
          <cell r="B7995">
            <v>47.65</v>
          </cell>
        </row>
        <row r="7996">
          <cell r="A7996">
            <v>42975</v>
          </cell>
          <cell r="B7996">
            <v>46.4</v>
          </cell>
        </row>
        <row r="7997">
          <cell r="A7997">
            <v>42976</v>
          </cell>
          <cell r="B7997">
            <v>46.46</v>
          </cell>
        </row>
        <row r="7998">
          <cell r="A7998">
            <v>42977</v>
          </cell>
          <cell r="B7998">
            <v>45.96</v>
          </cell>
        </row>
        <row r="7999">
          <cell r="A7999">
            <v>42978</v>
          </cell>
          <cell r="B7999">
            <v>47.26</v>
          </cell>
        </row>
        <row r="8000">
          <cell r="A8000">
            <v>42979</v>
          </cell>
          <cell r="B8000">
            <v>47.32</v>
          </cell>
        </row>
        <row r="8001">
          <cell r="A8001">
            <v>42983</v>
          </cell>
          <cell r="B8001">
            <v>48.63</v>
          </cell>
        </row>
        <row r="8002">
          <cell r="A8002">
            <v>42984</v>
          </cell>
          <cell r="B8002">
            <v>49.13</v>
          </cell>
        </row>
        <row r="8003">
          <cell r="A8003">
            <v>42985</v>
          </cell>
          <cell r="B8003">
            <v>49.1</v>
          </cell>
        </row>
        <row r="8004">
          <cell r="A8004">
            <v>42986</v>
          </cell>
          <cell r="B8004">
            <v>47.44</v>
          </cell>
        </row>
        <row r="8005">
          <cell r="A8005">
            <v>42989</v>
          </cell>
          <cell r="B8005">
            <v>48.06</v>
          </cell>
        </row>
        <row r="8006">
          <cell r="A8006">
            <v>42990</v>
          </cell>
          <cell r="B8006">
            <v>48.21</v>
          </cell>
        </row>
        <row r="8007">
          <cell r="A8007">
            <v>42991</v>
          </cell>
          <cell r="B8007">
            <v>49.3</v>
          </cell>
        </row>
        <row r="8008">
          <cell r="A8008">
            <v>42992</v>
          </cell>
          <cell r="B8008">
            <v>49.86</v>
          </cell>
        </row>
        <row r="8009">
          <cell r="A8009">
            <v>42993</v>
          </cell>
          <cell r="B8009">
            <v>49.9</v>
          </cell>
        </row>
        <row r="8010">
          <cell r="A8010">
            <v>42996</v>
          </cell>
          <cell r="B8010">
            <v>49.88</v>
          </cell>
        </row>
        <row r="8011">
          <cell r="A8011">
            <v>42997</v>
          </cell>
          <cell r="B8011">
            <v>49.54</v>
          </cell>
        </row>
        <row r="8012">
          <cell r="A8012">
            <v>42998</v>
          </cell>
          <cell r="B8012">
            <v>50.29</v>
          </cell>
        </row>
        <row r="8013">
          <cell r="A8013">
            <v>42999</v>
          </cell>
          <cell r="B8013">
            <v>50.58</v>
          </cell>
        </row>
        <row r="8014">
          <cell r="A8014">
            <v>43000</v>
          </cell>
          <cell r="B8014">
            <v>50.33</v>
          </cell>
        </row>
        <row r="8015">
          <cell r="A8015">
            <v>43003</v>
          </cell>
          <cell r="B8015">
            <v>51.85</v>
          </cell>
        </row>
        <row r="8016">
          <cell r="A8016">
            <v>43004</v>
          </cell>
          <cell r="B8016">
            <v>51.59</v>
          </cell>
        </row>
        <row r="8017">
          <cell r="A8017">
            <v>43005</v>
          </cell>
          <cell r="B8017">
            <v>52.14</v>
          </cell>
        </row>
        <row r="8018">
          <cell r="A8018">
            <v>43006</v>
          </cell>
          <cell r="B8018">
            <v>51.62</v>
          </cell>
        </row>
        <row r="8019">
          <cell r="A8019">
            <v>43007</v>
          </cell>
          <cell r="B8019">
            <v>51.67</v>
          </cell>
        </row>
        <row r="8020">
          <cell r="A8020">
            <v>43010</v>
          </cell>
          <cell r="B8020">
            <v>50.59</v>
          </cell>
        </row>
        <row r="8021">
          <cell r="A8021">
            <v>43011</v>
          </cell>
          <cell r="B8021">
            <v>50.44</v>
          </cell>
        </row>
        <row r="8022">
          <cell r="A8022">
            <v>43012</v>
          </cell>
          <cell r="B8022">
            <v>50</v>
          </cell>
        </row>
        <row r="8023">
          <cell r="A8023">
            <v>43013</v>
          </cell>
          <cell r="B8023">
            <v>50.79</v>
          </cell>
        </row>
        <row r="8024">
          <cell r="A8024">
            <v>43014</v>
          </cell>
          <cell r="B8024">
            <v>49.34</v>
          </cell>
        </row>
        <row r="8025">
          <cell r="A8025">
            <v>43017</v>
          </cell>
          <cell r="B8025">
            <v>49.58</v>
          </cell>
        </row>
        <row r="8026">
          <cell r="A8026">
            <v>43018</v>
          </cell>
          <cell r="B8026">
            <v>50.93</v>
          </cell>
        </row>
        <row r="8027">
          <cell r="A8027">
            <v>43019</v>
          </cell>
          <cell r="B8027">
            <v>51.3</v>
          </cell>
        </row>
        <row r="8028">
          <cell r="A8028">
            <v>43020</v>
          </cell>
          <cell r="B8028">
            <v>50.61</v>
          </cell>
        </row>
        <row r="8029">
          <cell r="A8029">
            <v>43021</v>
          </cell>
          <cell r="B8029">
            <v>51.43</v>
          </cell>
        </row>
        <row r="8030">
          <cell r="A8030">
            <v>43024</v>
          </cell>
          <cell r="B8030">
            <v>51.86</v>
          </cell>
        </row>
        <row r="8031">
          <cell r="A8031">
            <v>43025</v>
          </cell>
          <cell r="B8031">
            <v>51.87</v>
          </cell>
        </row>
        <row r="8032">
          <cell r="A8032">
            <v>43026</v>
          </cell>
          <cell r="B8032">
            <v>52.05</v>
          </cell>
        </row>
        <row r="8033">
          <cell r="A8033">
            <v>43027</v>
          </cell>
          <cell r="B8033">
            <v>51.29</v>
          </cell>
        </row>
        <row r="8034">
          <cell r="A8034">
            <v>43028</v>
          </cell>
          <cell r="B8034">
            <v>51.63</v>
          </cell>
        </row>
        <row r="8035">
          <cell r="A8035">
            <v>43031</v>
          </cell>
          <cell r="B8035">
            <v>51.91</v>
          </cell>
        </row>
        <row r="8036">
          <cell r="A8036">
            <v>43032</v>
          </cell>
          <cell r="B8036">
            <v>52.32</v>
          </cell>
        </row>
        <row r="8037">
          <cell r="A8037">
            <v>43033</v>
          </cell>
          <cell r="B8037">
            <v>51.97</v>
          </cell>
        </row>
        <row r="8038">
          <cell r="A8038">
            <v>43034</v>
          </cell>
          <cell r="B8038">
            <v>52.41</v>
          </cell>
        </row>
        <row r="8039">
          <cell r="A8039">
            <v>43035</v>
          </cell>
          <cell r="B8039">
            <v>53.92</v>
          </cell>
        </row>
        <row r="8040">
          <cell r="A8040">
            <v>43038</v>
          </cell>
          <cell r="B8040">
            <v>54.11</v>
          </cell>
        </row>
        <row r="8041">
          <cell r="A8041">
            <v>43039</v>
          </cell>
          <cell r="B8041">
            <v>54.36</v>
          </cell>
        </row>
        <row r="8042">
          <cell r="A8042">
            <v>43040</v>
          </cell>
          <cell r="B8042">
            <v>54.32</v>
          </cell>
        </row>
        <row r="8043">
          <cell r="A8043">
            <v>43041</v>
          </cell>
          <cell r="B8043">
            <v>54.55</v>
          </cell>
        </row>
        <row r="8044">
          <cell r="A8044">
            <v>43042</v>
          </cell>
          <cell r="B8044">
            <v>55.63</v>
          </cell>
        </row>
        <row r="8045">
          <cell r="A8045">
            <v>43045</v>
          </cell>
          <cell r="B8045">
            <v>57.34</v>
          </cell>
        </row>
        <row r="8046">
          <cell r="A8046">
            <v>43046</v>
          </cell>
          <cell r="B8046">
            <v>57.19</v>
          </cell>
        </row>
        <row r="8047">
          <cell r="A8047">
            <v>43047</v>
          </cell>
          <cell r="B8047">
            <v>56.82</v>
          </cell>
        </row>
        <row r="8048">
          <cell r="A8048">
            <v>43048</v>
          </cell>
          <cell r="B8048">
            <v>57.16</v>
          </cell>
        </row>
        <row r="8049">
          <cell r="A8049">
            <v>43049</v>
          </cell>
          <cell r="B8049">
            <v>56.75</v>
          </cell>
        </row>
        <row r="8050">
          <cell r="A8050">
            <v>43052</v>
          </cell>
          <cell r="B8050">
            <v>56.77</v>
          </cell>
        </row>
        <row r="8051">
          <cell r="A8051">
            <v>43053</v>
          </cell>
          <cell r="B8051">
            <v>55.67</v>
          </cell>
        </row>
        <row r="8052">
          <cell r="A8052">
            <v>43054</v>
          </cell>
          <cell r="B8052">
            <v>55.28</v>
          </cell>
        </row>
        <row r="8053">
          <cell r="A8053">
            <v>43055</v>
          </cell>
          <cell r="B8053">
            <v>55.14</v>
          </cell>
        </row>
        <row r="8054">
          <cell r="A8054">
            <v>43056</v>
          </cell>
          <cell r="B8054">
            <v>56.21</v>
          </cell>
        </row>
        <row r="8055">
          <cell r="A8055">
            <v>43059</v>
          </cell>
          <cell r="B8055">
            <v>56.21</v>
          </cell>
        </row>
        <row r="8056">
          <cell r="A8056">
            <v>43060</v>
          </cell>
          <cell r="B8056">
            <v>56.84</v>
          </cell>
        </row>
        <row r="8057">
          <cell r="A8057">
            <v>43061</v>
          </cell>
          <cell r="B8057">
            <v>57.88</v>
          </cell>
        </row>
        <row r="8058">
          <cell r="A8058">
            <v>43063</v>
          </cell>
          <cell r="B8058">
            <v>58.94</v>
          </cell>
        </row>
        <row r="8059">
          <cell r="A8059">
            <v>43066</v>
          </cell>
          <cell r="B8059">
            <v>58.1</v>
          </cell>
        </row>
        <row r="8060">
          <cell r="A8060">
            <v>43067</v>
          </cell>
          <cell r="B8060">
            <v>57.96</v>
          </cell>
        </row>
        <row r="8061">
          <cell r="A8061">
            <v>43068</v>
          </cell>
          <cell r="B8061">
            <v>57.25</v>
          </cell>
        </row>
        <row r="8062">
          <cell r="A8062">
            <v>43069</v>
          </cell>
          <cell r="B8062">
            <v>57.4</v>
          </cell>
        </row>
        <row r="8063">
          <cell r="A8063">
            <v>43070</v>
          </cell>
          <cell r="B8063">
            <v>58.35</v>
          </cell>
        </row>
        <row r="8064">
          <cell r="A8064">
            <v>43073</v>
          </cell>
          <cell r="B8064">
            <v>57.48</v>
          </cell>
        </row>
        <row r="8065">
          <cell r="A8065">
            <v>43074</v>
          </cell>
          <cell r="B8065">
            <v>57.66</v>
          </cell>
        </row>
        <row r="8066">
          <cell r="A8066">
            <v>43075</v>
          </cell>
          <cell r="B8066">
            <v>55.79</v>
          </cell>
        </row>
        <row r="8067">
          <cell r="A8067">
            <v>43076</v>
          </cell>
          <cell r="B8067">
            <v>56.5</v>
          </cell>
        </row>
        <row r="8068">
          <cell r="A8068">
            <v>43077</v>
          </cell>
          <cell r="B8068">
            <v>57.15</v>
          </cell>
        </row>
        <row r="8069">
          <cell r="A8069">
            <v>43080</v>
          </cell>
          <cell r="B8069">
            <v>57.84</v>
          </cell>
        </row>
        <row r="8070">
          <cell r="A8070">
            <v>43081</v>
          </cell>
          <cell r="B8070">
            <v>57.12</v>
          </cell>
        </row>
        <row r="8071">
          <cell r="A8071">
            <v>43082</v>
          </cell>
          <cell r="B8071">
            <v>56.59</v>
          </cell>
        </row>
        <row r="8072">
          <cell r="A8072">
            <v>43083</v>
          </cell>
          <cell r="B8072">
            <v>57</v>
          </cell>
        </row>
        <row r="8073">
          <cell r="A8073">
            <v>43084</v>
          </cell>
          <cell r="B8073">
            <v>57.29</v>
          </cell>
        </row>
        <row r="8074">
          <cell r="A8074">
            <v>43087</v>
          </cell>
          <cell r="B8074">
            <v>57.17</v>
          </cell>
        </row>
        <row r="8075">
          <cell r="A8075">
            <v>43088</v>
          </cell>
          <cell r="B8075">
            <v>57.49</v>
          </cell>
        </row>
        <row r="8076">
          <cell r="A8076">
            <v>43089</v>
          </cell>
          <cell r="B8076">
            <v>58.09</v>
          </cell>
        </row>
        <row r="8077">
          <cell r="A8077">
            <v>43090</v>
          </cell>
          <cell r="B8077">
            <v>58.34</v>
          </cell>
        </row>
        <row r="8078">
          <cell r="A8078">
            <v>43091</v>
          </cell>
          <cell r="B8078">
            <v>58.25</v>
          </cell>
        </row>
        <row r="8079">
          <cell r="A8079">
            <v>43095</v>
          </cell>
          <cell r="B8079">
            <v>59.55</v>
          </cell>
        </row>
        <row r="8080">
          <cell r="A8080">
            <v>43096</v>
          </cell>
          <cell r="B8080">
            <v>59.67</v>
          </cell>
        </row>
        <row r="8081">
          <cell r="A8081">
            <v>43097</v>
          </cell>
          <cell r="B8081">
            <v>59.84</v>
          </cell>
        </row>
        <row r="8082">
          <cell r="A8082">
            <v>43098</v>
          </cell>
          <cell r="B8082">
            <v>60.46</v>
          </cell>
        </row>
        <row r="8083">
          <cell r="A8083">
            <v>43102</v>
          </cell>
          <cell r="B8083">
            <v>60.37</v>
          </cell>
        </row>
        <row r="8084">
          <cell r="A8084">
            <v>43103</v>
          </cell>
          <cell r="B8084">
            <v>61.61</v>
          </cell>
        </row>
        <row r="8085">
          <cell r="A8085">
            <v>43104</v>
          </cell>
          <cell r="B8085">
            <v>61.98</v>
          </cell>
        </row>
        <row r="8086">
          <cell r="A8086">
            <v>43105</v>
          </cell>
          <cell r="B8086">
            <v>61.49</v>
          </cell>
        </row>
        <row r="8087">
          <cell r="A8087">
            <v>43108</v>
          </cell>
          <cell r="B8087">
            <v>61.73</v>
          </cell>
        </row>
        <row r="8088">
          <cell r="A8088">
            <v>43109</v>
          </cell>
          <cell r="B8088">
            <v>62.92</v>
          </cell>
        </row>
        <row r="8089">
          <cell r="A8089">
            <v>43110</v>
          </cell>
          <cell r="B8089">
            <v>63.6</v>
          </cell>
        </row>
        <row r="8090">
          <cell r="A8090">
            <v>43111</v>
          </cell>
          <cell r="B8090">
            <v>63.81</v>
          </cell>
        </row>
        <row r="8091">
          <cell r="A8091">
            <v>43112</v>
          </cell>
          <cell r="B8091">
            <v>64.22</v>
          </cell>
        </row>
        <row r="8092">
          <cell r="A8092">
            <v>43116</v>
          </cell>
          <cell r="B8092">
            <v>63.82</v>
          </cell>
        </row>
        <row r="8093">
          <cell r="A8093">
            <v>43117</v>
          </cell>
          <cell r="B8093">
            <v>63.92</v>
          </cell>
        </row>
        <row r="8094">
          <cell r="A8094">
            <v>43118</v>
          </cell>
          <cell r="B8094">
            <v>63.96</v>
          </cell>
        </row>
        <row r="8095">
          <cell r="A8095">
            <v>43119</v>
          </cell>
          <cell r="B8095">
            <v>63.38</v>
          </cell>
        </row>
        <row r="8096">
          <cell r="A8096">
            <v>43122</v>
          </cell>
          <cell r="B8096">
            <v>63.66</v>
          </cell>
        </row>
        <row r="8097">
          <cell r="A8097">
            <v>43123</v>
          </cell>
          <cell r="B8097">
            <v>64.45</v>
          </cell>
        </row>
        <row r="8098">
          <cell r="A8098">
            <v>43124</v>
          </cell>
          <cell r="B8098">
            <v>65.69</v>
          </cell>
        </row>
        <row r="8099">
          <cell r="A8099">
            <v>43125</v>
          </cell>
          <cell r="B8099">
            <v>65.62</v>
          </cell>
        </row>
        <row r="8100">
          <cell r="A8100">
            <v>43126</v>
          </cell>
          <cell r="B8100">
            <v>66.27</v>
          </cell>
        </row>
        <row r="8101">
          <cell r="A8101">
            <v>43129</v>
          </cell>
          <cell r="B8101">
            <v>65.709999999999994</v>
          </cell>
        </row>
        <row r="8102">
          <cell r="A8102">
            <v>43130</v>
          </cell>
          <cell r="B8102">
            <v>64.64</v>
          </cell>
        </row>
        <row r="8103">
          <cell r="A8103">
            <v>43131</v>
          </cell>
          <cell r="B8103">
            <v>64.819999999999993</v>
          </cell>
        </row>
        <row r="8104">
          <cell r="A8104">
            <v>43132</v>
          </cell>
          <cell r="B8104">
            <v>65.92</v>
          </cell>
        </row>
        <row r="8105">
          <cell r="A8105">
            <v>43133</v>
          </cell>
          <cell r="B8105">
            <v>65.5</v>
          </cell>
        </row>
        <row r="8106">
          <cell r="A8106">
            <v>43136</v>
          </cell>
          <cell r="B8106">
            <v>64.180000000000007</v>
          </cell>
        </row>
        <row r="8107">
          <cell r="A8107">
            <v>43137</v>
          </cell>
          <cell r="B8107">
            <v>63.48</v>
          </cell>
        </row>
        <row r="8108">
          <cell r="A8108">
            <v>43138</v>
          </cell>
          <cell r="B8108">
            <v>61.91</v>
          </cell>
        </row>
        <row r="8109">
          <cell r="A8109">
            <v>43139</v>
          </cell>
          <cell r="B8109">
            <v>61.3</v>
          </cell>
        </row>
        <row r="8110">
          <cell r="A8110">
            <v>43140</v>
          </cell>
          <cell r="B8110">
            <v>59.2</v>
          </cell>
        </row>
        <row r="8111">
          <cell r="A8111">
            <v>43143</v>
          </cell>
          <cell r="B8111">
            <v>59.41</v>
          </cell>
        </row>
        <row r="8112">
          <cell r="A8112">
            <v>43144</v>
          </cell>
          <cell r="B8112">
            <v>59.33</v>
          </cell>
        </row>
        <row r="8113">
          <cell r="A8113">
            <v>43145</v>
          </cell>
          <cell r="B8113">
            <v>60.7</v>
          </cell>
        </row>
        <row r="8114">
          <cell r="A8114">
            <v>43146</v>
          </cell>
          <cell r="B8114">
            <v>61.48</v>
          </cell>
        </row>
        <row r="8115">
          <cell r="A8115">
            <v>43147</v>
          </cell>
          <cell r="B8115">
            <v>61.89</v>
          </cell>
        </row>
        <row r="8116">
          <cell r="A8116">
            <v>43151</v>
          </cell>
          <cell r="B8116">
            <v>61.91</v>
          </cell>
        </row>
        <row r="8117">
          <cell r="A8117">
            <v>43152</v>
          </cell>
          <cell r="B8117">
            <v>61.73</v>
          </cell>
        </row>
        <row r="8118">
          <cell r="A8118">
            <v>43153</v>
          </cell>
          <cell r="B8118">
            <v>62.72</v>
          </cell>
        </row>
        <row r="8119">
          <cell r="A8119">
            <v>43154</v>
          </cell>
          <cell r="B8119">
            <v>63.52</v>
          </cell>
        </row>
        <row r="8120">
          <cell r="A8120">
            <v>43157</v>
          </cell>
          <cell r="B8120">
            <v>63.81</v>
          </cell>
        </row>
        <row r="8121">
          <cell r="A8121">
            <v>43158</v>
          </cell>
          <cell r="B8121">
            <v>62.94</v>
          </cell>
        </row>
        <row r="8122">
          <cell r="A8122">
            <v>43159</v>
          </cell>
          <cell r="B8122">
            <v>61.43</v>
          </cell>
        </row>
        <row r="8123">
          <cell r="A8123">
            <v>43160</v>
          </cell>
          <cell r="B8123">
            <v>60.98</v>
          </cell>
        </row>
        <row r="8124">
          <cell r="A8124">
            <v>43161</v>
          </cell>
          <cell r="B8124">
            <v>61.19</v>
          </cell>
        </row>
        <row r="8125">
          <cell r="A8125">
            <v>43164</v>
          </cell>
          <cell r="B8125">
            <v>62.49</v>
          </cell>
        </row>
        <row r="8126">
          <cell r="A8126">
            <v>43165</v>
          </cell>
          <cell r="B8126">
            <v>62.54</v>
          </cell>
        </row>
        <row r="8127">
          <cell r="A8127">
            <v>43166</v>
          </cell>
          <cell r="B8127">
            <v>61.09</v>
          </cell>
        </row>
        <row r="8128">
          <cell r="A8128">
            <v>43167</v>
          </cell>
          <cell r="B8128">
            <v>60.13</v>
          </cell>
        </row>
        <row r="8129">
          <cell r="A8129">
            <v>43168</v>
          </cell>
          <cell r="B8129">
            <v>62.02</v>
          </cell>
        </row>
        <row r="8130">
          <cell r="A8130">
            <v>43171</v>
          </cell>
          <cell r="B8130">
            <v>61.35</v>
          </cell>
        </row>
        <row r="8131">
          <cell r="A8131">
            <v>43172</v>
          </cell>
          <cell r="B8131">
            <v>60.69</v>
          </cell>
        </row>
        <row r="8132">
          <cell r="A8132">
            <v>43173</v>
          </cell>
          <cell r="B8132">
            <v>60.89</v>
          </cell>
        </row>
        <row r="8133">
          <cell r="A8133">
            <v>43174</v>
          </cell>
          <cell r="B8133">
            <v>61.16</v>
          </cell>
        </row>
        <row r="8134">
          <cell r="A8134">
            <v>43175</v>
          </cell>
          <cell r="B8134">
            <v>62.29</v>
          </cell>
        </row>
        <row r="8135">
          <cell r="A8135">
            <v>43178</v>
          </cell>
          <cell r="B8135">
            <v>62.01</v>
          </cell>
        </row>
        <row r="8136">
          <cell r="A8136">
            <v>43179</v>
          </cell>
          <cell r="B8136">
            <v>63.37</v>
          </cell>
        </row>
        <row r="8137">
          <cell r="A8137">
            <v>43180</v>
          </cell>
          <cell r="B8137">
            <v>65.099999999999994</v>
          </cell>
        </row>
        <row r="8138">
          <cell r="A8138">
            <v>43181</v>
          </cell>
          <cell r="B8138">
            <v>64.25</v>
          </cell>
        </row>
        <row r="8139">
          <cell r="A8139">
            <v>43182</v>
          </cell>
          <cell r="B8139">
            <v>65.8</v>
          </cell>
        </row>
        <row r="8140">
          <cell r="A8140">
            <v>43185</v>
          </cell>
          <cell r="B8140">
            <v>65.489999999999995</v>
          </cell>
        </row>
        <row r="8141">
          <cell r="A8141">
            <v>43186</v>
          </cell>
          <cell r="B8141">
            <v>65.209999999999994</v>
          </cell>
        </row>
        <row r="8142">
          <cell r="A8142">
            <v>43187</v>
          </cell>
          <cell r="B8142">
            <v>64.3</v>
          </cell>
        </row>
        <row r="8143">
          <cell r="A8143">
            <v>43188</v>
          </cell>
          <cell r="B8143">
            <v>64.87</v>
          </cell>
        </row>
        <row r="8144">
          <cell r="A8144">
            <v>43192</v>
          </cell>
          <cell r="B8144">
            <v>63.05</v>
          </cell>
        </row>
        <row r="8145">
          <cell r="A8145">
            <v>43193</v>
          </cell>
          <cell r="B8145">
            <v>63.41</v>
          </cell>
        </row>
        <row r="8146">
          <cell r="A8146">
            <v>43194</v>
          </cell>
          <cell r="B8146">
            <v>63.35</v>
          </cell>
        </row>
        <row r="8147">
          <cell r="A8147">
            <v>43195</v>
          </cell>
          <cell r="B8147">
            <v>63.53</v>
          </cell>
        </row>
        <row r="8148">
          <cell r="A8148">
            <v>43196</v>
          </cell>
          <cell r="B8148">
            <v>62.03</v>
          </cell>
        </row>
        <row r="8149">
          <cell r="A8149">
            <v>43199</v>
          </cell>
          <cell r="B8149">
            <v>63.4</v>
          </cell>
        </row>
        <row r="8150">
          <cell r="A8150">
            <v>43200</v>
          </cell>
          <cell r="B8150">
            <v>65.48</v>
          </cell>
        </row>
        <row r="8151">
          <cell r="A8151">
            <v>43201</v>
          </cell>
          <cell r="B8151">
            <v>66.81</v>
          </cell>
        </row>
        <row r="8152">
          <cell r="A8152">
            <v>43202</v>
          </cell>
          <cell r="B8152">
            <v>67.069999999999993</v>
          </cell>
        </row>
        <row r="8153">
          <cell r="A8153">
            <v>43203</v>
          </cell>
          <cell r="B8153">
            <v>67.349999999999994</v>
          </cell>
        </row>
        <row r="8154">
          <cell r="A8154">
            <v>43206</v>
          </cell>
          <cell r="B8154">
            <v>66.23</v>
          </cell>
        </row>
        <row r="8155">
          <cell r="A8155">
            <v>43207</v>
          </cell>
          <cell r="B8155">
            <v>66.5</v>
          </cell>
        </row>
        <row r="8156">
          <cell r="A8156">
            <v>43208</v>
          </cell>
          <cell r="B8156">
            <v>68.44</v>
          </cell>
        </row>
        <row r="8157">
          <cell r="A8157">
            <v>43209</v>
          </cell>
          <cell r="B8157">
            <v>68.3</v>
          </cell>
        </row>
        <row r="8158">
          <cell r="A8158">
            <v>43210</v>
          </cell>
          <cell r="B8158">
            <v>68.260000000000005</v>
          </cell>
        </row>
        <row r="8159">
          <cell r="A8159">
            <v>43213</v>
          </cell>
          <cell r="B8159">
            <v>67.61</v>
          </cell>
        </row>
        <row r="8160">
          <cell r="A8160">
            <v>43214</v>
          </cell>
          <cell r="B8160">
            <v>67.66</v>
          </cell>
        </row>
        <row r="8161">
          <cell r="A8161">
            <v>43215</v>
          </cell>
          <cell r="B8161">
            <v>68</v>
          </cell>
        </row>
        <row r="8162">
          <cell r="A8162">
            <v>43216</v>
          </cell>
          <cell r="B8162">
            <v>68.180000000000007</v>
          </cell>
        </row>
        <row r="8163">
          <cell r="A8163">
            <v>43217</v>
          </cell>
          <cell r="B8163">
            <v>68.11</v>
          </cell>
        </row>
        <row r="8164">
          <cell r="A8164">
            <v>43220</v>
          </cell>
          <cell r="B8164">
            <v>68.56</v>
          </cell>
        </row>
        <row r="8165">
          <cell r="A8165">
            <v>43221</v>
          </cell>
          <cell r="B8165">
            <v>67.28</v>
          </cell>
        </row>
        <row r="8166">
          <cell r="A8166">
            <v>43222</v>
          </cell>
          <cell r="B8166">
            <v>67.91</v>
          </cell>
        </row>
        <row r="8167">
          <cell r="A8167">
            <v>43223</v>
          </cell>
          <cell r="B8167">
            <v>68.45</v>
          </cell>
        </row>
        <row r="8168">
          <cell r="A8168">
            <v>43224</v>
          </cell>
          <cell r="B8168">
            <v>69.709999999999994</v>
          </cell>
        </row>
        <row r="8169">
          <cell r="A8169">
            <v>43227</v>
          </cell>
          <cell r="B8169">
            <v>70.739999999999995</v>
          </cell>
        </row>
        <row r="8170">
          <cell r="A8170">
            <v>43228</v>
          </cell>
          <cell r="B8170">
            <v>68.83</v>
          </cell>
        </row>
        <row r="8171">
          <cell r="A8171">
            <v>43229</v>
          </cell>
          <cell r="B8171">
            <v>71.16</v>
          </cell>
        </row>
        <row r="8172">
          <cell r="A8172">
            <v>43230</v>
          </cell>
          <cell r="B8172">
            <v>71.36</v>
          </cell>
        </row>
        <row r="8173">
          <cell r="A8173">
            <v>43231</v>
          </cell>
          <cell r="B8173">
            <v>70.69</v>
          </cell>
        </row>
        <row r="8174">
          <cell r="A8174">
            <v>43234</v>
          </cell>
          <cell r="B8174">
            <v>71.010000000000005</v>
          </cell>
        </row>
        <row r="8175">
          <cell r="A8175">
            <v>43235</v>
          </cell>
          <cell r="B8175">
            <v>71.34</v>
          </cell>
        </row>
        <row r="8176">
          <cell r="A8176">
            <v>43236</v>
          </cell>
          <cell r="B8176">
            <v>71.430000000000007</v>
          </cell>
        </row>
        <row r="8177">
          <cell r="A8177">
            <v>43237</v>
          </cell>
          <cell r="B8177">
            <v>71.47</v>
          </cell>
        </row>
        <row r="8178">
          <cell r="A8178">
            <v>43238</v>
          </cell>
          <cell r="B8178">
            <v>71.23</v>
          </cell>
        </row>
        <row r="8179">
          <cell r="A8179">
            <v>43241</v>
          </cell>
          <cell r="B8179">
            <v>72.260000000000005</v>
          </cell>
        </row>
        <row r="8180">
          <cell r="A8180">
            <v>43242</v>
          </cell>
          <cell r="B8180">
            <v>72.09</v>
          </cell>
        </row>
        <row r="8181">
          <cell r="A8181">
            <v>43243</v>
          </cell>
          <cell r="B8181">
            <v>71.849999999999994</v>
          </cell>
        </row>
        <row r="8182">
          <cell r="A8182">
            <v>43244</v>
          </cell>
          <cell r="B8182">
            <v>70.77</v>
          </cell>
        </row>
        <row r="8183">
          <cell r="A8183">
            <v>43245</v>
          </cell>
          <cell r="B8183">
            <v>67.92</v>
          </cell>
        </row>
        <row r="8184">
          <cell r="A8184">
            <v>43249</v>
          </cell>
          <cell r="B8184">
            <v>66.8</v>
          </cell>
        </row>
        <row r="8185">
          <cell r="A8185">
            <v>43250</v>
          </cell>
          <cell r="B8185">
            <v>68.239999999999995</v>
          </cell>
        </row>
        <row r="8186">
          <cell r="A8186">
            <v>43251</v>
          </cell>
          <cell r="B8186">
            <v>66.98</v>
          </cell>
        </row>
        <row r="8187">
          <cell r="A8187">
            <v>43252</v>
          </cell>
          <cell r="B8187">
            <v>65.81</v>
          </cell>
        </row>
        <row r="8188">
          <cell r="A8188">
            <v>43255</v>
          </cell>
          <cell r="B8188">
            <v>64.760000000000005</v>
          </cell>
        </row>
        <row r="8189">
          <cell r="A8189">
            <v>43256</v>
          </cell>
          <cell r="B8189">
            <v>65.510000000000005</v>
          </cell>
        </row>
        <row r="8190">
          <cell r="A8190">
            <v>43257</v>
          </cell>
          <cell r="B8190">
            <v>64.75</v>
          </cell>
        </row>
        <row r="8191">
          <cell r="A8191">
            <v>43258</v>
          </cell>
          <cell r="B8191">
            <v>65.959999999999994</v>
          </cell>
        </row>
        <row r="8192">
          <cell r="A8192">
            <v>43259</v>
          </cell>
          <cell r="B8192">
            <v>65.77</v>
          </cell>
        </row>
        <row r="8193">
          <cell r="A8193">
            <v>43262</v>
          </cell>
          <cell r="B8193">
            <v>66.099999999999994</v>
          </cell>
        </row>
        <row r="8194">
          <cell r="A8194">
            <v>43263</v>
          </cell>
          <cell r="B8194">
            <v>66.38</v>
          </cell>
        </row>
        <row r="8195">
          <cell r="A8195">
            <v>43264</v>
          </cell>
          <cell r="B8195">
            <v>66.63</v>
          </cell>
        </row>
        <row r="8196">
          <cell r="A8196">
            <v>43265</v>
          </cell>
          <cell r="B8196">
            <v>66.91</v>
          </cell>
        </row>
        <row r="8197">
          <cell r="A8197">
            <v>43266</v>
          </cell>
          <cell r="B8197">
            <v>65.010000000000005</v>
          </cell>
        </row>
        <row r="8198">
          <cell r="A8198">
            <v>43269</v>
          </cell>
          <cell r="B8198">
            <v>65.91</v>
          </cell>
        </row>
        <row r="8199">
          <cell r="A8199">
            <v>43270</v>
          </cell>
          <cell r="B8199">
            <v>65.09</v>
          </cell>
        </row>
        <row r="8200">
          <cell r="A8200">
            <v>43271</v>
          </cell>
          <cell r="B8200">
            <v>65.92</v>
          </cell>
        </row>
        <row r="8201">
          <cell r="A8201">
            <v>43272</v>
          </cell>
          <cell r="B8201">
            <v>65.680000000000007</v>
          </cell>
        </row>
        <row r="8202">
          <cell r="A8202">
            <v>43273</v>
          </cell>
          <cell r="B8202">
            <v>69.02</v>
          </cell>
        </row>
        <row r="8203">
          <cell r="A8203">
            <v>43276</v>
          </cell>
          <cell r="B8203">
            <v>69.91</v>
          </cell>
        </row>
        <row r="8204">
          <cell r="A8204">
            <v>43277</v>
          </cell>
          <cell r="B8204">
            <v>75.23</v>
          </cell>
        </row>
        <row r="8205">
          <cell r="A8205">
            <v>43278</v>
          </cell>
          <cell r="B8205">
            <v>77.41</v>
          </cell>
        </row>
        <row r="8206">
          <cell r="A8206">
            <v>43279</v>
          </cell>
          <cell r="B8206">
            <v>73.45</v>
          </cell>
        </row>
        <row r="8207">
          <cell r="A8207">
            <v>43280</v>
          </cell>
          <cell r="B8207">
            <v>74.13</v>
          </cell>
        </row>
        <row r="8208">
          <cell r="A8208">
            <v>43283</v>
          </cell>
          <cell r="B8208">
            <v>73.89</v>
          </cell>
        </row>
        <row r="8209">
          <cell r="A8209">
            <v>43284</v>
          </cell>
          <cell r="B8209">
            <v>74.19</v>
          </cell>
        </row>
        <row r="8210">
          <cell r="A8210">
            <v>43286</v>
          </cell>
          <cell r="B8210">
            <v>73.05</v>
          </cell>
        </row>
        <row r="8211">
          <cell r="A8211">
            <v>43287</v>
          </cell>
          <cell r="B8211">
            <v>73.78</v>
          </cell>
        </row>
        <row r="8212">
          <cell r="A8212">
            <v>43290</v>
          </cell>
          <cell r="B8212">
            <v>73.930000000000007</v>
          </cell>
        </row>
        <row r="8213">
          <cell r="A8213">
            <v>43291</v>
          </cell>
          <cell r="B8213">
            <v>74.11</v>
          </cell>
        </row>
        <row r="8214">
          <cell r="A8214">
            <v>43292</v>
          </cell>
          <cell r="B8214">
            <v>70.47</v>
          </cell>
        </row>
        <row r="8215">
          <cell r="A8215">
            <v>43293</v>
          </cell>
          <cell r="B8215">
            <v>70.28</v>
          </cell>
        </row>
        <row r="8216">
          <cell r="A8216">
            <v>43294</v>
          </cell>
          <cell r="B8216">
            <v>71.03</v>
          </cell>
        </row>
        <row r="8217">
          <cell r="A8217">
            <v>43297</v>
          </cell>
          <cell r="B8217">
            <v>68.22</v>
          </cell>
        </row>
        <row r="8218">
          <cell r="A8218">
            <v>43298</v>
          </cell>
          <cell r="B8218">
            <v>68.03</v>
          </cell>
        </row>
        <row r="8219">
          <cell r="A8219">
            <v>43299</v>
          </cell>
          <cell r="B8219">
            <v>68.78</v>
          </cell>
        </row>
        <row r="8220">
          <cell r="A8220">
            <v>43300</v>
          </cell>
          <cell r="B8220">
            <v>69.42</v>
          </cell>
        </row>
        <row r="8221">
          <cell r="A8221">
            <v>43301</v>
          </cell>
          <cell r="B8221">
            <v>70.31</v>
          </cell>
        </row>
        <row r="8222">
          <cell r="A8222">
            <v>43304</v>
          </cell>
          <cell r="B8222">
            <v>67.900000000000006</v>
          </cell>
        </row>
        <row r="8223">
          <cell r="A8223">
            <v>43305</v>
          </cell>
          <cell r="B8223">
            <v>70.77</v>
          </cell>
        </row>
        <row r="8224">
          <cell r="A8224">
            <v>43306</v>
          </cell>
          <cell r="B8224">
            <v>71.13</v>
          </cell>
        </row>
        <row r="8225">
          <cell r="A8225">
            <v>43307</v>
          </cell>
          <cell r="B8225">
            <v>71.59</v>
          </cell>
        </row>
        <row r="8226">
          <cell r="A8226">
            <v>43308</v>
          </cell>
          <cell r="B8226">
            <v>68.66</v>
          </cell>
        </row>
        <row r="8227">
          <cell r="A8227">
            <v>43311</v>
          </cell>
          <cell r="B8227">
            <v>71.19</v>
          </cell>
        </row>
        <row r="8228">
          <cell r="A8228">
            <v>43312</v>
          </cell>
          <cell r="B8228">
            <v>69.88</v>
          </cell>
        </row>
        <row r="8229">
          <cell r="A8229">
            <v>43313</v>
          </cell>
          <cell r="B8229">
            <v>68.8</v>
          </cell>
        </row>
        <row r="8230">
          <cell r="A8230">
            <v>43314</v>
          </cell>
          <cell r="B8230">
            <v>68.95</v>
          </cell>
        </row>
        <row r="8231">
          <cell r="A8231">
            <v>43315</v>
          </cell>
          <cell r="B8231">
            <v>68.489999999999995</v>
          </cell>
        </row>
        <row r="8232">
          <cell r="A8232">
            <v>43318</v>
          </cell>
          <cell r="B8232">
            <v>69.010000000000005</v>
          </cell>
        </row>
        <row r="8233">
          <cell r="A8233">
            <v>43319</v>
          </cell>
          <cell r="B8233">
            <v>69.17</v>
          </cell>
        </row>
        <row r="8234">
          <cell r="A8234">
            <v>43320</v>
          </cell>
          <cell r="B8234">
            <v>66.92</v>
          </cell>
        </row>
        <row r="8235">
          <cell r="A8235">
            <v>43321</v>
          </cell>
          <cell r="B8235">
            <v>66.81</v>
          </cell>
        </row>
        <row r="8236">
          <cell r="A8236">
            <v>43322</v>
          </cell>
          <cell r="B8236">
            <v>67.61</v>
          </cell>
        </row>
        <row r="8237">
          <cell r="A8237">
            <v>43325</v>
          </cell>
          <cell r="B8237">
            <v>67.25</v>
          </cell>
        </row>
        <row r="8238">
          <cell r="A8238">
            <v>43326</v>
          </cell>
          <cell r="B8238">
            <v>67.040000000000006</v>
          </cell>
        </row>
        <row r="8239">
          <cell r="A8239">
            <v>43327</v>
          </cell>
          <cell r="B8239">
            <v>65.069999999999993</v>
          </cell>
        </row>
        <row r="8240">
          <cell r="A8240">
            <v>43328</v>
          </cell>
          <cell r="B8240">
            <v>65.44</v>
          </cell>
        </row>
        <row r="8241">
          <cell r="A8241">
            <v>43329</v>
          </cell>
          <cell r="B8241">
            <v>65.930000000000007</v>
          </cell>
        </row>
        <row r="8242">
          <cell r="A8242">
            <v>43332</v>
          </cell>
          <cell r="B8242">
            <v>66.5</v>
          </cell>
        </row>
        <row r="8243">
          <cell r="A8243">
            <v>43333</v>
          </cell>
          <cell r="B8243">
            <v>67.319999999999993</v>
          </cell>
        </row>
        <row r="8244">
          <cell r="A8244">
            <v>43334</v>
          </cell>
          <cell r="B8244">
            <v>67.849999999999994</v>
          </cell>
        </row>
        <row r="8245">
          <cell r="A8245">
            <v>43335</v>
          </cell>
          <cell r="B8245">
            <v>69.13</v>
          </cell>
        </row>
        <row r="8246">
          <cell r="A8246">
            <v>43336</v>
          </cell>
          <cell r="B8246">
            <v>69.709999999999994</v>
          </cell>
        </row>
        <row r="8247">
          <cell r="A8247">
            <v>43339</v>
          </cell>
          <cell r="B8247">
            <v>69.97</v>
          </cell>
        </row>
        <row r="8248">
          <cell r="A8248">
            <v>43340</v>
          </cell>
          <cell r="B8248">
            <v>68.540000000000006</v>
          </cell>
        </row>
        <row r="8249">
          <cell r="A8249">
            <v>43341</v>
          </cell>
          <cell r="B8249">
            <v>69.680000000000007</v>
          </cell>
        </row>
        <row r="8250">
          <cell r="A8250">
            <v>43342</v>
          </cell>
          <cell r="B8250">
            <v>70.25</v>
          </cell>
        </row>
        <row r="8251">
          <cell r="A8251">
            <v>43343</v>
          </cell>
          <cell r="B8251">
            <v>69.84</v>
          </cell>
        </row>
        <row r="8252">
          <cell r="A8252">
            <v>43346</v>
          </cell>
          <cell r="B8252">
            <v>70.25</v>
          </cell>
        </row>
        <row r="8253">
          <cell r="A8253">
            <v>43347</v>
          </cell>
          <cell r="B8253">
            <v>69.819999999999993</v>
          </cell>
        </row>
        <row r="8254">
          <cell r="A8254">
            <v>43348</v>
          </cell>
          <cell r="B8254">
            <v>68.69</v>
          </cell>
        </row>
        <row r="8255">
          <cell r="A8255">
            <v>43349</v>
          </cell>
          <cell r="B8255">
            <v>67.81</v>
          </cell>
        </row>
        <row r="8256">
          <cell r="A8256">
            <v>43350</v>
          </cell>
          <cell r="B8256">
            <v>67.73</v>
          </cell>
        </row>
        <row r="8257">
          <cell r="A8257">
            <v>43353</v>
          </cell>
          <cell r="B8257">
            <v>67.55</v>
          </cell>
        </row>
        <row r="8258">
          <cell r="A8258">
            <v>43354</v>
          </cell>
          <cell r="B8258">
            <v>69.290000000000006</v>
          </cell>
        </row>
        <row r="8259">
          <cell r="A8259">
            <v>43355</v>
          </cell>
          <cell r="B8259">
            <v>70.37</v>
          </cell>
        </row>
        <row r="8260">
          <cell r="A8260">
            <v>43356</v>
          </cell>
          <cell r="B8260">
            <v>68.599999999999994</v>
          </cell>
        </row>
        <row r="8261">
          <cell r="A8261">
            <v>43357</v>
          </cell>
          <cell r="B8261">
            <v>68.98</v>
          </cell>
        </row>
        <row r="8262">
          <cell r="A8262">
            <v>43360</v>
          </cell>
          <cell r="B8262">
            <v>68.86</v>
          </cell>
        </row>
        <row r="8263">
          <cell r="A8263">
            <v>43361</v>
          </cell>
          <cell r="B8263">
            <v>69.87</v>
          </cell>
        </row>
        <row r="8264">
          <cell r="A8264">
            <v>43362</v>
          </cell>
          <cell r="B8264">
            <v>71.08</v>
          </cell>
        </row>
        <row r="8265">
          <cell r="A8265">
            <v>43363</v>
          </cell>
          <cell r="B8265">
            <v>70.77</v>
          </cell>
        </row>
        <row r="8266">
          <cell r="A8266">
            <v>43364</v>
          </cell>
          <cell r="B8266">
            <v>70.8</v>
          </cell>
        </row>
        <row r="8267">
          <cell r="A8267">
            <v>43367</v>
          </cell>
          <cell r="B8267">
            <v>73.23</v>
          </cell>
        </row>
        <row r="8268">
          <cell r="A8268">
            <v>43368</v>
          </cell>
          <cell r="B8268">
            <v>73.400000000000006</v>
          </cell>
        </row>
        <row r="8269">
          <cell r="A8269">
            <v>43369</v>
          </cell>
          <cell r="B8269">
            <v>72.22</v>
          </cell>
        </row>
        <row r="8270">
          <cell r="A8270">
            <v>43370</v>
          </cell>
          <cell r="B8270">
            <v>72.180000000000007</v>
          </cell>
        </row>
        <row r="8271">
          <cell r="A8271">
            <v>43371</v>
          </cell>
          <cell r="B8271">
            <v>73.16</v>
          </cell>
        </row>
        <row r="8272">
          <cell r="A8272">
            <v>43374</v>
          </cell>
          <cell r="B8272">
            <v>75.37</v>
          </cell>
        </row>
        <row r="8273">
          <cell r="A8273">
            <v>43375</v>
          </cell>
          <cell r="B8273">
            <v>75.16</v>
          </cell>
        </row>
        <row r="8274">
          <cell r="A8274">
            <v>43376</v>
          </cell>
          <cell r="B8274">
            <v>76.400000000000006</v>
          </cell>
        </row>
        <row r="8275">
          <cell r="A8275">
            <v>43377</v>
          </cell>
          <cell r="B8275">
            <v>74.44</v>
          </cell>
        </row>
        <row r="8276">
          <cell r="A8276">
            <v>43378</v>
          </cell>
          <cell r="B8276">
            <v>74.260000000000005</v>
          </cell>
        </row>
        <row r="8277">
          <cell r="A8277">
            <v>43381</v>
          </cell>
          <cell r="B8277">
            <v>74.27</v>
          </cell>
        </row>
        <row r="8278">
          <cell r="A8278">
            <v>43382</v>
          </cell>
          <cell r="B8278">
            <v>74.95</v>
          </cell>
        </row>
        <row r="8279">
          <cell r="A8279">
            <v>43383</v>
          </cell>
          <cell r="B8279">
            <v>73.180000000000007</v>
          </cell>
        </row>
        <row r="8280">
          <cell r="A8280">
            <v>43384</v>
          </cell>
          <cell r="B8280">
            <v>70.97</v>
          </cell>
        </row>
        <row r="8281">
          <cell r="A8281">
            <v>43385</v>
          </cell>
          <cell r="B8281">
            <v>71.41</v>
          </cell>
        </row>
        <row r="8282">
          <cell r="A8282">
            <v>43388</v>
          </cell>
          <cell r="B8282">
            <v>71.84</v>
          </cell>
        </row>
        <row r="8283">
          <cell r="A8283">
            <v>43389</v>
          </cell>
          <cell r="B8283">
            <v>71.930000000000007</v>
          </cell>
        </row>
        <row r="8284">
          <cell r="A8284">
            <v>43390</v>
          </cell>
          <cell r="B8284">
            <v>69.63</v>
          </cell>
        </row>
        <row r="8285">
          <cell r="A8285">
            <v>43391</v>
          </cell>
          <cell r="B8285">
            <v>68.63</v>
          </cell>
        </row>
        <row r="8286">
          <cell r="A8286">
            <v>43392</v>
          </cell>
          <cell r="B8286">
            <v>69.16</v>
          </cell>
        </row>
        <row r="8287">
          <cell r="A8287">
            <v>43395</v>
          </cell>
          <cell r="B8287">
            <v>69.25</v>
          </cell>
        </row>
        <row r="8288">
          <cell r="A8288">
            <v>43396</v>
          </cell>
          <cell r="B8288">
            <v>66.489999999999995</v>
          </cell>
        </row>
        <row r="8289">
          <cell r="A8289">
            <v>43397</v>
          </cell>
          <cell r="B8289">
            <v>66.56</v>
          </cell>
        </row>
        <row r="8290">
          <cell r="A8290">
            <v>43398</v>
          </cell>
          <cell r="B8290">
            <v>67.25</v>
          </cell>
        </row>
        <row r="8291">
          <cell r="A8291">
            <v>43399</v>
          </cell>
          <cell r="B8291">
            <v>67.58</v>
          </cell>
        </row>
        <row r="8292">
          <cell r="A8292">
            <v>43402</v>
          </cell>
          <cell r="B8292">
            <v>67</v>
          </cell>
        </row>
        <row r="8293">
          <cell r="A8293">
            <v>43403</v>
          </cell>
          <cell r="B8293">
            <v>66.180000000000007</v>
          </cell>
        </row>
        <row r="8294">
          <cell r="A8294">
            <v>43404</v>
          </cell>
          <cell r="B8294">
            <v>65.31</v>
          </cell>
        </row>
        <row r="8295">
          <cell r="A8295">
            <v>43405</v>
          </cell>
          <cell r="B8295">
            <v>63.67</v>
          </cell>
        </row>
        <row r="8296">
          <cell r="A8296">
            <v>43406</v>
          </cell>
          <cell r="B8296">
            <v>63.12</v>
          </cell>
        </row>
        <row r="8297">
          <cell r="A8297">
            <v>43409</v>
          </cell>
          <cell r="B8297">
            <v>63.12</v>
          </cell>
        </row>
        <row r="8298">
          <cell r="A8298">
            <v>43410</v>
          </cell>
          <cell r="B8298">
            <v>62.16</v>
          </cell>
        </row>
        <row r="8299">
          <cell r="A8299">
            <v>43411</v>
          </cell>
          <cell r="B8299">
            <v>61.69</v>
          </cell>
        </row>
        <row r="8300">
          <cell r="A8300">
            <v>43412</v>
          </cell>
          <cell r="B8300">
            <v>60.71</v>
          </cell>
        </row>
        <row r="8301">
          <cell r="A8301">
            <v>43413</v>
          </cell>
          <cell r="B8301">
            <v>60.19</v>
          </cell>
        </row>
        <row r="8302">
          <cell r="A8302">
            <v>43416</v>
          </cell>
          <cell r="B8302">
            <v>59.85</v>
          </cell>
        </row>
        <row r="8303">
          <cell r="A8303">
            <v>43417</v>
          </cell>
          <cell r="B8303">
            <v>55.63</v>
          </cell>
        </row>
        <row r="8304">
          <cell r="A8304">
            <v>43418</v>
          </cell>
          <cell r="B8304">
            <v>56.16</v>
          </cell>
        </row>
        <row r="8305">
          <cell r="A8305">
            <v>43419</v>
          </cell>
          <cell r="B8305">
            <v>56.45</v>
          </cell>
        </row>
        <row r="8306">
          <cell r="A8306">
            <v>43420</v>
          </cell>
          <cell r="B8306">
            <v>56.49</v>
          </cell>
        </row>
        <row r="8307">
          <cell r="A8307">
            <v>43423</v>
          </cell>
          <cell r="B8307">
            <v>57.16</v>
          </cell>
        </row>
        <row r="8308">
          <cell r="A8308">
            <v>43424</v>
          </cell>
          <cell r="B8308">
            <v>53.39</v>
          </cell>
        </row>
        <row r="8309">
          <cell r="A8309">
            <v>43425</v>
          </cell>
          <cell r="B8309">
            <v>54.41</v>
          </cell>
        </row>
        <row r="8310">
          <cell r="A8310">
            <v>43430</v>
          </cell>
          <cell r="B8310">
            <v>51.46</v>
          </cell>
        </row>
        <row r="8311">
          <cell r="A8311">
            <v>43431</v>
          </cell>
          <cell r="B8311">
            <v>51.31</v>
          </cell>
        </row>
        <row r="8312">
          <cell r="A8312">
            <v>43432</v>
          </cell>
          <cell r="B8312">
            <v>50.06</v>
          </cell>
        </row>
        <row r="8313">
          <cell r="A8313">
            <v>43433</v>
          </cell>
          <cell r="B8313">
            <v>51.46</v>
          </cell>
        </row>
        <row r="8314">
          <cell r="A8314">
            <v>43434</v>
          </cell>
          <cell r="B8314">
            <v>50.78</v>
          </cell>
        </row>
        <row r="8315">
          <cell r="A8315">
            <v>43437</v>
          </cell>
          <cell r="B8315">
            <v>52.98</v>
          </cell>
        </row>
        <row r="8316">
          <cell r="A8316">
            <v>43438</v>
          </cell>
          <cell r="B8316">
            <v>53.21</v>
          </cell>
        </row>
        <row r="8317">
          <cell r="A8317">
            <v>43439</v>
          </cell>
          <cell r="B8317">
            <v>52.64</v>
          </cell>
        </row>
        <row r="8318">
          <cell r="A8318">
            <v>43440</v>
          </cell>
          <cell r="B8318">
            <v>51.54</v>
          </cell>
        </row>
        <row r="8319">
          <cell r="A8319">
            <v>43441</v>
          </cell>
          <cell r="B8319">
            <v>52.76</v>
          </cell>
        </row>
        <row r="8320">
          <cell r="A8320">
            <v>43444</v>
          </cell>
          <cell r="B8320">
            <v>51.07</v>
          </cell>
        </row>
        <row r="8321">
          <cell r="A8321">
            <v>43445</v>
          </cell>
          <cell r="B8321">
            <v>51.65</v>
          </cell>
        </row>
        <row r="8322">
          <cell r="A8322">
            <v>43446</v>
          </cell>
          <cell r="B8322">
            <v>51.04</v>
          </cell>
        </row>
        <row r="8323">
          <cell r="A8323">
            <v>43447</v>
          </cell>
          <cell r="B8323">
            <v>52.69</v>
          </cell>
        </row>
        <row r="8324">
          <cell r="A8324">
            <v>43448</v>
          </cell>
          <cell r="B8324">
            <v>51.26</v>
          </cell>
        </row>
        <row r="8325">
          <cell r="A8325">
            <v>43451</v>
          </cell>
          <cell r="B8325">
            <v>49.8</v>
          </cell>
        </row>
        <row r="8326">
          <cell r="A8326">
            <v>43452</v>
          </cell>
          <cell r="B8326">
            <v>46.12</v>
          </cell>
        </row>
        <row r="8327">
          <cell r="A8327">
            <v>43453</v>
          </cell>
          <cell r="B8327">
            <v>47.96</v>
          </cell>
        </row>
        <row r="8328">
          <cell r="A8328">
            <v>43454</v>
          </cell>
          <cell r="B8328">
            <v>45.64</v>
          </cell>
        </row>
        <row r="8329">
          <cell r="A8329">
            <v>43455</v>
          </cell>
          <cell r="B8329">
            <v>45.38</v>
          </cell>
        </row>
        <row r="8330">
          <cell r="A8330">
            <v>43460</v>
          </cell>
          <cell r="B8330">
            <v>46.04</v>
          </cell>
        </row>
        <row r="8331">
          <cell r="A8331">
            <v>43461</v>
          </cell>
          <cell r="B8331">
            <v>44.48</v>
          </cell>
        </row>
        <row r="8332">
          <cell r="A8332">
            <v>43462</v>
          </cell>
          <cell r="B8332">
            <v>45.15</v>
          </cell>
        </row>
        <row r="8333">
          <cell r="A8333">
            <v>43467</v>
          </cell>
          <cell r="B8333">
            <v>46.31</v>
          </cell>
        </row>
        <row r="8334">
          <cell r="A8334">
            <v>43468</v>
          </cell>
          <cell r="B8334">
            <v>46.92</v>
          </cell>
        </row>
        <row r="8335">
          <cell r="A8335">
            <v>43469</v>
          </cell>
          <cell r="B8335">
            <v>47.76</v>
          </cell>
        </row>
        <row r="8336">
          <cell r="A8336">
            <v>43472</v>
          </cell>
          <cell r="B8336">
            <v>48.27</v>
          </cell>
        </row>
        <row r="8337">
          <cell r="A8337">
            <v>43473</v>
          </cell>
          <cell r="B8337">
            <v>49.58</v>
          </cell>
        </row>
        <row r="8338">
          <cell r="A8338">
            <v>43474</v>
          </cell>
          <cell r="B8338">
            <v>52.19</v>
          </cell>
        </row>
        <row r="8339">
          <cell r="A8339">
            <v>43475</v>
          </cell>
          <cell r="B8339">
            <v>52.42</v>
          </cell>
        </row>
        <row r="8340">
          <cell r="A8340">
            <v>43476</v>
          </cell>
          <cell r="B8340">
            <v>51.44</v>
          </cell>
        </row>
        <row r="8341">
          <cell r="A8341">
            <v>43479</v>
          </cell>
          <cell r="B8341">
            <v>50.31</v>
          </cell>
        </row>
        <row r="8342">
          <cell r="A8342">
            <v>43480</v>
          </cell>
          <cell r="B8342">
            <v>51.8</v>
          </cell>
        </row>
        <row r="8343">
          <cell r="A8343">
            <v>43481</v>
          </cell>
          <cell r="B8343">
            <v>52.08</v>
          </cell>
        </row>
        <row r="8344">
          <cell r="A8344">
            <v>43482</v>
          </cell>
          <cell r="B8344">
            <v>51.83</v>
          </cell>
        </row>
        <row r="8345">
          <cell r="A8345">
            <v>43483</v>
          </cell>
          <cell r="B8345">
            <v>53.6</v>
          </cell>
        </row>
        <row r="8346">
          <cell r="A8346">
            <v>43486</v>
          </cell>
          <cell r="B8346">
            <v>51.83</v>
          </cell>
        </row>
        <row r="8347">
          <cell r="A8347">
            <v>43487</v>
          </cell>
          <cell r="B8347">
            <v>52.59</v>
          </cell>
        </row>
        <row r="8348">
          <cell r="A8348">
            <v>43488</v>
          </cell>
          <cell r="B8348">
            <v>52.44</v>
          </cell>
        </row>
        <row r="8349">
          <cell r="A8349">
            <v>43489</v>
          </cell>
          <cell r="B8349">
            <v>52.94</v>
          </cell>
        </row>
        <row r="8350">
          <cell r="A8350">
            <v>43490</v>
          </cell>
          <cell r="B8350">
            <v>53.53</v>
          </cell>
        </row>
        <row r="8351">
          <cell r="A8351">
            <v>43493</v>
          </cell>
          <cell r="B8351">
            <v>51.79</v>
          </cell>
        </row>
        <row r="8352">
          <cell r="A8352">
            <v>43494</v>
          </cell>
          <cell r="B8352">
            <v>53.07</v>
          </cell>
        </row>
        <row r="8353">
          <cell r="A8353">
            <v>43495</v>
          </cell>
          <cell r="B8353">
            <v>54.18</v>
          </cell>
        </row>
        <row r="8354">
          <cell r="A8354">
            <v>43496</v>
          </cell>
          <cell r="B8354">
            <v>53.84</v>
          </cell>
        </row>
        <row r="8355">
          <cell r="A8355">
            <v>43497</v>
          </cell>
          <cell r="B8355">
            <v>55.29</v>
          </cell>
        </row>
        <row r="8356">
          <cell r="A8356">
            <v>43500</v>
          </cell>
          <cell r="B8356">
            <v>54.57</v>
          </cell>
        </row>
        <row r="8357">
          <cell r="A8357">
            <v>43501</v>
          </cell>
          <cell r="B8357">
            <v>53.69</v>
          </cell>
        </row>
        <row r="8358">
          <cell r="A8358">
            <v>43502</v>
          </cell>
          <cell r="B8358">
            <v>53.94</v>
          </cell>
        </row>
        <row r="8359">
          <cell r="A8359">
            <v>43503</v>
          </cell>
          <cell r="B8359">
            <v>52.68</v>
          </cell>
        </row>
        <row r="8360">
          <cell r="A8360">
            <v>43504</v>
          </cell>
          <cell r="B8360">
            <v>52.75</v>
          </cell>
        </row>
        <row r="8361">
          <cell r="A8361">
            <v>43507</v>
          </cell>
          <cell r="B8361">
            <v>52.43</v>
          </cell>
        </row>
        <row r="8362">
          <cell r="A8362">
            <v>43508</v>
          </cell>
          <cell r="B8362">
            <v>53.14</v>
          </cell>
        </row>
        <row r="8363">
          <cell r="A8363">
            <v>43509</v>
          </cell>
          <cell r="B8363">
            <v>53.84</v>
          </cell>
        </row>
        <row r="8364">
          <cell r="A8364">
            <v>43510</v>
          </cell>
          <cell r="B8364">
            <v>54.4</v>
          </cell>
        </row>
        <row r="8365">
          <cell r="A8365">
            <v>43511</v>
          </cell>
          <cell r="B8365">
            <v>55.58</v>
          </cell>
        </row>
        <row r="8366">
          <cell r="A8366">
            <v>43514</v>
          </cell>
          <cell r="B8366">
            <v>55.58</v>
          </cell>
        </row>
        <row r="8367">
          <cell r="A8367">
            <v>43515</v>
          </cell>
          <cell r="B8367">
            <v>56.12</v>
          </cell>
        </row>
        <row r="8368">
          <cell r="A8368">
            <v>43516</v>
          </cell>
          <cell r="B8368">
            <v>56.9</v>
          </cell>
        </row>
        <row r="8369">
          <cell r="A8369">
            <v>43517</v>
          </cell>
          <cell r="B8369">
            <v>56.95</v>
          </cell>
        </row>
        <row r="8370">
          <cell r="A8370">
            <v>43518</v>
          </cell>
          <cell r="B8370">
            <v>57.01</v>
          </cell>
        </row>
        <row r="8371">
          <cell r="A8371">
            <v>43521</v>
          </cell>
          <cell r="B8371">
            <v>55.32</v>
          </cell>
        </row>
        <row r="8372">
          <cell r="A8372">
            <v>43522</v>
          </cell>
          <cell r="B8372">
            <v>55.4</v>
          </cell>
        </row>
        <row r="8373">
          <cell r="A8373">
            <v>43523</v>
          </cell>
          <cell r="B8373">
            <v>56.92</v>
          </cell>
        </row>
        <row r="8374">
          <cell r="A8374">
            <v>43524</v>
          </cell>
          <cell r="B8374">
            <v>57.21</v>
          </cell>
        </row>
        <row r="8375">
          <cell r="A8375">
            <v>43525</v>
          </cell>
          <cell r="B8375">
            <v>55.76</v>
          </cell>
        </row>
        <row r="8376">
          <cell r="A8376">
            <v>43528</v>
          </cell>
          <cell r="B8376">
            <v>56.6</v>
          </cell>
        </row>
        <row r="8377">
          <cell r="A8377">
            <v>43529</v>
          </cell>
          <cell r="B8377">
            <v>56.55</v>
          </cell>
        </row>
        <row r="8378">
          <cell r="A8378">
            <v>43530</v>
          </cell>
          <cell r="B8378">
            <v>56.22</v>
          </cell>
        </row>
        <row r="8379">
          <cell r="A8379">
            <v>43531</v>
          </cell>
          <cell r="B8379">
            <v>56.6</v>
          </cell>
        </row>
        <row r="8380">
          <cell r="A8380">
            <v>43532</v>
          </cell>
          <cell r="B8380">
            <v>55.77</v>
          </cell>
        </row>
        <row r="8381">
          <cell r="A8381">
            <v>43535</v>
          </cell>
          <cell r="B8381">
            <v>56.79</v>
          </cell>
        </row>
        <row r="8382">
          <cell r="A8382">
            <v>43536</v>
          </cell>
          <cell r="B8382">
            <v>56.89</v>
          </cell>
        </row>
        <row r="8383">
          <cell r="A8383">
            <v>43537</v>
          </cell>
          <cell r="B8383">
            <v>58.27</v>
          </cell>
        </row>
        <row r="8384">
          <cell r="A8384">
            <v>43538</v>
          </cell>
          <cell r="B8384">
            <v>58.59</v>
          </cell>
        </row>
        <row r="8385">
          <cell r="A8385">
            <v>43539</v>
          </cell>
          <cell r="B8385">
            <v>58.51</v>
          </cell>
        </row>
        <row r="8386">
          <cell r="A8386">
            <v>43542</v>
          </cell>
          <cell r="B8386">
            <v>59.09</v>
          </cell>
        </row>
        <row r="8387">
          <cell r="A8387">
            <v>43543</v>
          </cell>
          <cell r="B8387">
            <v>59.12</v>
          </cell>
        </row>
        <row r="8388">
          <cell r="A8388">
            <v>43544</v>
          </cell>
          <cell r="B8388">
            <v>60.12</v>
          </cell>
        </row>
        <row r="8389">
          <cell r="A8389">
            <v>43545</v>
          </cell>
          <cell r="B8389">
            <v>59.98</v>
          </cell>
        </row>
        <row r="8390">
          <cell r="A8390">
            <v>43546</v>
          </cell>
          <cell r="B8390">
            <v>58.87</v>
          </cell>
        </row>
        <row r="8391">
          <cell r="A8391">
            <v>43549</v>
          </cell>
          <cell r="B8391">
            <v>58.71</v>
          </cell>
        </row>
        <row r="8392">
          <cell r="A8392">
            <v>43550</v>
          </cell>
          <cell r="B8392">
            <v>59.87</v>
          </cell>
        </row>
        <row r="8393">
          <cell r="A8393">
            <v>43551</v>
          </cell>
          <cell r="B8393">
            <v>59.39</v>
          </cell>
        </row>
        <row r="8394">
          <cell r="A8394">
            <v>43552</v>
          </cell>
          <cell r="B8394">
            <v>59.29</v>
          </cell>
        </row>
        <row r="8395">
          <cell r="A8395">
            <v>43553</v>
          </cell>
          <cell r="B8395">
            <v>60.19</v>
          </cell>
        </row>
        <row r="8396">
          <cell r="A8396">
            <v>43556</v>
          </cell>
          <cell r="B8396">
            <v>61.59</v>
          </cell>
        </row>
        <row r="8397">
          <cell r="A8397">
            <v>43557</v>
          </cell>
          <cell r="B8397">
            <v>62.53</v>
          </cell>
        </row>
        <row r="8398">
          <cell r="A8398">
            <v>43558</v>
          </cell>
          <cell r="B8398">
            <v>62.46</v>
          </cell>
        </row>
        <row r="8399">
          <cell r="A8399">
            <v>43559</v>
          </cell>
          <cell r="B8399">
            <v>62.12</v>
          </cell>
        </row>
        <row r="8400">
          <cell r="A8400">
            <v>43560</v>
          </cell>
          <cell r="B8400">
            <v>63.1</v>
          </cell>
        </row>
        <row r="8401">
          <cell r="A8401">
            <v>43563</v>
          </cell>
          <cell r="B8401">
            <v>64.37</v>
          </cell>
        </row>
      </sheetData>
      <sheetData sheetId="1">
        <row r="4">
          <cell r="A4">
            <v>18264</v>
          </cell>
        </row>
        <row r="5">
          <cell r="A5">
            <v>18295</v>
          </cell>
        </row>
        <row r="6">
          <cell r="A6">
            <v>18323</v>
          </cell>
        </row>
        <row r="7">
          <cell r="A7">
            <v>18354</v>
          </cell>
        </row>
        <row r="8">
          <cell r="A8">
            <v>18384</v>
          </cell>
        </row>
        <row r="9">
          <cell r="A9">
            <v>18415</v>
          </cell>
        </row>
        <row r="10">
          <cell r="A10">
            <v>18445</v>
          </cell>
        </row>
        <row r="11">
          <cell r="A11">
            <v>18476</v>
          </cell>
        </row>
        <row r="12">
          <cell r="A12">
            <v>18507</v>
          </cell>
        </row>
        <row r="13">
          <cell r="A13">
            <v>18537</v>
          </cell>
        </row>
        <row r="14">
          <cell r="A14">
            <v>18568</v>
          </cell>
        </row>
        <row r="15">
          <cell r="A15">
            <v>18598</v>
          </cell>
        </row>
        <row r="16">
          <cell r="A16">
            <v>18629</v>
          </cell>
        </row>
        <row r="17">
          <cell r="A17">
            <v>18660</v>
          </cell>
        </row>
        <row r="18">
          <cell r="A18">
            <v>18688</v>
          </cell>
        </row>
        <row r="19">
          <cell r="A19">
            <v>18719</v>
          </cell>
        </row>
        <row r="20">
          <cell r="A20">
            <v>18749</v>
          </cell>
        </row>
        <row r="21">
          <cell r="A21">
            <v>18780</v>
          </cell>
        </row>
        <row r="22">
          <cell r="A22">
            <v>18810</v>
          </cell>
        </row>
        <row r="23">
          <cell r="A23">
            <v>18841</v>
          </cell>
        </row>
        <row r="24">
          <cell r="A24">
            <v>18872</v>
          </cell>
        </row>
        <row r="25">
          <cell r="A25">
            <v>18902</v>
          </cell>
        </row>
        <row r="26">
          <cell r="A26">
            <v>18933</v>
          </cell>
        </row>
        <row r="27">
          <cell r="A27">
            <v>18963</v>
          </cell>
        </row>
        <row r="28">
          <cell r="A28">
            <v>18994</v>
          </cell>
        </row>
        <row r="29">
          <cell r="A29">
            <v>19025</v>
          </cell>
        </row>
        <row r="30">
          <cell r="A30">
            <v>19054</v>
          </cell>
        </row>
        <row r="31">
          <cell r="A31">
            <v>19085</v>
          </cell>
        </row>
        <row r="32">
          <cell r="A32">
            <v>19115</v>
          </cell>
        </row>
        <row r="33">
          <cell r="A33">
            <v>19146</v>
          </cell>
        </row>
        <row r="34">
          <cell r="A34">
            <v>19176</v>
          </cell>
        </row>
        <row r="35">
          <cell r="A35">
            <v>19207</v>
          </cell>
        </row>
        <row r="36">
          <cell r="A36">
            <v>19238</v>
          </cell>
        </row>
        <row r="37">
          <cell r="A37">
            <v>19268</v>
          </cell>
        </row>
        <row r="38">
          <cell r="A38">
            <v>19299</v>
          </cell>
        </row>
        <row r="39">
          <cell r="A39">
            <v>19329</v>
          </cell>
        </row>
        <row r="40">
          <cell r="A40">
            <v>19360</v>
          </cell>
        </row>
        <row r="41">
          <cell r="A41">
            <v>19391</v>
          </cell>
        </row>
        <row r="42">
          <cell r="A42">
            <v>19419</v>
          </cell>
        </row>
        <row r="43">
          <cell r="A43">
            <v>19450</v>
          </cell>
        </row>
        <row r="44">
          <cell r="A44">
            <v>19480</v>
          </cell>
        </row>
        <row r="45">
          <cell r="A45">
            <v>19511</v>
          </cell>
        </row>
        <row r="46">
          <cell r="A46">
            <v>19541</v>
          </cell>
        </row>
        <row r="47">
          <cell r="A47">
            <v>19572</v>
          </cell>
        </row>
        <row r="48">
          <cell r="A48">
            <v>19603</v>
          </cell>
        </row>
        <row r="49">
          <cell r="A49">
            <v>19633</v>
          </cell>
        </row>
        <row r="50">
          <cell r="A50">
            <v>19664</v>
          </cell>
        </row>
        <row r="51">
          <cell r="A51">
            <v>19694</v>
          </cell>
        </row>
        <row r="52">
          <cell r="A52">
            <v>19725</v>
          </cell>
        </row>
        <row r="53">
          <cell r="A53">
            <v>19756</v>
          </cell>
        </row>
        <row r="54">
          <cell r="A54">
            <v>19784</v>
          </cell>
        </row>
        <row r="55">
          <cell r="A55">
            <v>19815</v>
          </cell>
        </row>
        <row r="56">
          <cell r="A56">
            <v>19845</v>
          </cell>
        </row>
        <row r="57">
          <cell r="A57">
            <v>19876</v>
          </cell>
        </row>
        <row r="58">
          <cell r="A58">
            <v>19906</v>
          </cell>
        </row>
        <row r="59">
          <cell r="A59">
            <v>19937</v>
          </cell>
        </row>
        <row r="60">
          <cell r="A60">
            <v>19968</v>
          </cell>
        </row>
        <row r="61">
          <cell r="A61">
            <v>19998</v>
          </cell>
        </row>
        <row r="62">
          <cell r="A62">
            <v>20029</v>
          </cell>
        </row>
        <row r="63">
          <cell r="A63">
            <v>20059</v>
          </cell>
        </row>
        <row r="64">
          <cell r="A64">
            <v>20090</v>
          </cell>
        </row>
        <row r="65">
          <cell r="A65">
            <v>20121</v>
          </cell>
        </row>
        <row r="66">
          <cell r="A66">
            <v>20149</v>
          </cell>
        </row>
        <row r="67">
          <cell r="A67">
            <v>20180</v>
          </cell>
        </row>
        <row r="68">
          <cell r="A68">
            <v>20210</v>
          </cell>
        </row>
        <row r="69">
          <cell r="A69">
            <v>20241</v>
          </cell>
        </row>
        <row r="70">
          <cell r="A70">
            <v>20271</v>
          </cell>
        </row>
        <row r="71">
          <cell r="A71">
            <v>20302</v>
          </cell>
        </row>
        <row r="72">
          <cell r="A72">
            <v>20333</v>
          </cell>
        </row>
        <row r="73">
          <cell r="A73">
            <v>20363</v>
          </cell>
        </row>
        <row r="74">
          <cell r="A74">
            <v>20394</v>
          </cell>
        </row>
        <row r="75">
          <cell r="A75">
            <v>20424</v>
          </cell>
        </row>
        <row r="76">
          <cell r="A76">
            <v>20455</v>
          </cell>
        </row>
        <row r="77">
          <cell r="A77">
            <v>20486</v>
          </cell>
        </row>
        <row r="78">
          <cell r="A78">
            <v>20515</v>
          </cell>
        </row>
        <row r="79">
          <cell r="A79">
            <v>20546</v>
          </cell>
        </row>
        <row r="80">
          <cell r="A80">
            <v>20576</v>
          </cell>
        </row>
        <row r="81">
          <cell r="A81">
            <v>20607</v>
          </cell>
        </row>
        <row r="82">
          <cell r="A82">
            <v>20637</v>
          </cell>
        </row>
        <row r="83">
          <cell r="A83">
            <v>20668</v>
          </cell>
        </row>
        <row r="84">
          <cell r="A84">
            <v>20699</v>
          </cell>
        </row>
        <row r="85">
          <cell r="A85">
            <v>20729</v>
          </cell>
        </row>
        <row r="86">
          <cell r="A86">
            <v>20760</v>
          </cell>
        </row>
        <row r="87">
          <cell r="A87">
            <v>20790</v>
          </cell>
        </row>
        <row r="88">
          <cell r="A88">
            <v>20821</v>
          </cell>
        </row>
        <row r="89">
          <cell r="A89">
            <v>20852</v>
          </cell>
        </row>
        <row r="90">
          <cell r="A90">
            <v>20880</v>
          </cell>
        </row>
        <row r="91">
          <cell r="A91">
            <v>20911</v>
          </cell>
        </row>
        <row r="92">
          <cell r="A92">
            <v>20941</v>
          </cell>
        </row>
        <row r="93">
          <cell r="A93">
            <v>20972</v>
          </cell>
        </row>
        <row r="94">
          <cell r="A94">
            <v>21002</v>
          </cell>
        </row>
        <row r="95">
          <cell r="A95">
            <v>21033</v>
          </cell>
        </row>
        <row r="96">
          <cell r="A96">
            <v>21064</v>
          </cell>
        </row>
        <row r="97">
          <cell r="A97">
            <v>21094</v>
          </cell>
        </row>
        <row r="98">
          <cell r="A98">
            <v>21125</v>
          </cell>
        </row>
        <row r="99">
          <cell r="A99">
            <v>21155</v>
          </cell>
        </row>
        <row r="100">
          <cell r="A100">
            <v>21186</v>
          </cell>
        </row>
        <row r="101">
          <cell r="A101">
            <v>21217</v>
          </cell>
        </row>
        <row r="102">
          <cell r="A102">
            <v>21245</v>
          </cell>
        </row>
        <row r="103">
          <cell r="A103">
            <v>21276</v>
          </cell>
        </row>
        <row r="104">
          <cell r="A104">
            <v>21306</v>
          </cell>
        </row>
        <row r="105">
          <cell r="A105">
            <v>21337</v>
          </cell>
        </row>
        <row r="106">
          <cell r="A106">
            <v>21367</v>
          </cell>
        </row>
        <row r="107">
          <cell r="A107">
            <v>21398</v>
          </cell>
        </row>
        <row r="108">
          <cell r="A108">
            <v>21429</v>
          </cell>
        </row>
        <row r="109">
          <cell r="A109">
            <v>21459</v>
          </cell>
        </row>
        <row r="110">
          <cell r="A110">
            <v>21490</v>
          </cell>
        </row>
        <row r="111">
          <cell r="A111">
            <v>21520</v>
          </cell>
        </row>
        <row r="112">
          <cell r="A112">
            <v>21551</v>
          </cell>
        </row>
        <row r="113">
          <cell r="A113">
            <v>21582</v>
          </cell>
        </row>
        <row r="114">
          <cell r="A114">
            <v>21610</v>
          </cell>
        </row>
        <row r="115">
          <cell r="A115">
            <v>21641</v>
          </cell>
        </row>
        <row r="116">
          <cell r="A116">
            <v>21671</v>
          </cell>
        </row>
        <row r="117">
          <cell r="A117">
            <v>21702</v>
          </cell>
        </row>
        <row r="118">
          <cell r="A118">
            <v>21732</v>
          </cell>
        </row>
        <row r="119">
          <cell r="A119">
            <v>21763</v>
          </cell>
        </row>
        <row r="120">
          <cell r="A120">
            <v>21794</v>
          </cell>
        </row>
        <row r="121">
          <cell r="A121">
            <v>21824</v>
          </cell>
        </row>
        <row r="122">
          <cell r="A122">
            <v>21855</v>
          </cell>
        </row>
        <row r="123">
          <cell r="A123">
            <v>21885</v>
          </cell>
        </row>
        <row r="124">
          <cell r="A124">
            <v>21916</v>
          </cell>
        </row>
        <row r="125">
          <cell r="A125">
            <v>21947</v>
          </cell>
        </row>
        <row r="126">
          <cell r="A126">
            <v>21976</v>
          </cell>
        </row>
        <row r="127">
          <cell r="A127">
            <v>22007</v>
          </cell>
        </row>
        <row r="128">
          <cell r="A128">
            <v>22037</v>
          </cell>
        </row>
        <row r="129">
          <cell r="A129">
            <v>22068</v>
          </cell>
        </row>
        <row r="130">
          <cell r="A130">
            <v>22098</v>
          </cell>
        </row>
        <row r="131">
          <cell r="A131">
            <v>22129</v>
          </cell>
        </row>
        <row r="132">
          <cell r="A132">
            <v>22160</v>
          </cell>
        </row>
        <row r="133">
          <cell r="A133">
            <v>22190</v>
          </cell>
        </row>
        <row r="134">
          <cell r="A134">
            <v>22221</v>
          </cell>
        </row>
        <row r="135">
          <cell r="A135">
            <v>22251</v>
          </cell>
        </row>
        <row r="136">
          <cell r="A136">
            <v>22282</v>
          </cell>
        </row>
        <row r="137">
          <cell r="A137">
            <v>22313</v>
          </cell>
        </row>
        <row r="138">
          <cell r="A138">
            <v>22341</v>
          </cell>
        </row>
        <row r="139">
          <cell r="A139">
            <v>22372</v>
          </cell>
        </row>
        <row r="140">
          <cell r="A140">
            <v>22402</v>
          </cell>
        </row>
        <row r="141">
          <cell r="A141">
            <v>22433</v>
          </cell>
        </row>
        <row r="142">
          <cell r="A142">
            <v>22463</v>
          </cell>
        </row>
        <row r="143">
          <cell r="A143">
            <v>22494</v>
          </cell>
        </row>
        <row r="144">
          <cell r="A144">
            <v>22525</v>
          </cell>
        </row>
        <row r="145">
          <cell r="A145">
            <v>22555</v>
          </cell>
        </row>
        <row r="146">
          <cell r="A146">
            <v>22586</v>
          </cell>
        </row>
        <row r="147">
          <cell r="A147">
            <v>22616</v>
          </cell>
        </row>
        <row r="148">
          <cell r="A148">
            <v>22647</v>
          </cell>
        </row>
        <row r="149">
          <cell r="A149">
            <v>22678</v>
          </cell>
        </row>
        <row r="150">
          <cell r="A150">
            <v>22706</v>
          </cell>
        </row>
        <row r="151">
          <cell r="A151">
            <v>22737</v>
          </cell>
        </row>
        <row r="152">
          <cell r="A152">
            <v>22767</v>
          </cell>
        </row>
        <row r="153">
          <cell r="A153">
            <v>22798</v>
          </cell>
        </row>
        <row r="154">
          <cell r="A154">
            <v>22828</v>
          </cell>
        </row>
        <row r="155">
          <cell r="A155">
            <v>22859</v>
          </cell>
        </row>
        <row r="156">
          <cell r="A156">
            <v>22890</v>
          </cell>
        </row>
        <row r="157">
          <cell r="A157">
            <v>22920</v>
          </cell>
        </row>
        <row r="158">
          <cell r="A158">
            <v>22951</v>
          </cell>
        </row>
        <row r="159">
          <cell r="A159">
            <v>22981</v>
          </cell>
        </row>
        <row r="160">
          <cell r="A160">
            <v>23012</v>
          </cell>
        </row>
        <row r="161">
          <cell r="A161">
            <v>23043</v>
          </cell>
        </row>
        <row r="162">
          <cell r="A162">
            <v>23071</v>
          </cell>
        </row>
        <row r="163">
          <cell r="A163">
            <v>23102</v>
          </cell>
        </row>
        <row r="164">
          <cell r="A164">
            <v>23132</v>
          </cell>
        </row>
        <row r="165">
          <cell r="A165">
            <v>23163</v>
          </cell>
        </row>
        <row r="166">
          <cell r="A166">
            <v>23193</v>
          </cell>
        </row>
        <row r="167">
          <cell r="A167">
            <v>23224</v>
          </cell>
        </row>
        <row r="168">
          <cell r="A168">
            <v>23255</v>
          </cell>
        </row>
        <row r="169">
          <cell r="A169">
            <v>23285</v>
          </cell>
        </row>
        <row r="170">
          <cell r="A170">
            <v>23316</v>
          </cell>
        </row>
        <row r="171">
          <cell r="A171">
            <v>23346</v>
          </cell>
        </row>
        <row r="172">
          <cell r="A172">
            <v>23377</v>
          </cell>
        </row>
        <row r="173">
          <cell r="A173">
            <v>23408</v>
          </cell>
        </row>
        <row r="174">
          <cell r="A174">
            <v>23437</v>
          </cell>
        </row>
        <row r="175">
          <cell r="A175">
            <v>23468</v>
          </cell>
        </row>
        <row r="176">
          <cell r="A176">
            <v>23498</v>
          </cell>
        </row>
        <row r="177">
          <cell r="A177">
            <v>23529</v>
          </cell>
        </row>
        <row r="178">
          <cell r="A178">
            <v>23559</v>
          </cell>
        </row>
        <row r="179">
          <cell r="A179">
            <v>23590</v>
          </cell>
        </row>
        <row r="180">
          <cell r="A180">
            <v>23621</v>
          </cell>
        </row>
        <row r="181">
          <cell r="A181">
            <v>23651</v>
          </cell>
        </row>
        <row r="182">
          <cell r="A182">
            <v>23682</v>
          </cell>
        </row>
        <row r="183">
          <cell r="A183">
            <v>23712</v>
          </cell>
        </row>
        <row r="184">
          <cell r="A184">
            <v>23743</v>
          </cell>
        </row>
        <row r="185">
          <cell r="A185">
            <v>23774</v>
          </cell>
        </row>
        <row r="186">
          <cell r="A186">
            <v>23802</v>
          </cell>
        </row>
        <row r="187">
          <cell r="A187">
            <v>23833</v>
          </cell>
        </row>
        <row r="188">
          <cell r="A188">
            <v>23863</v>
          </cell>
        </row>
        <row r="189">
          <cell r="A189">
            <v>23894</v>
          </cell>
        </row>
        <row r="190">
          <cell r="A190">
            <v>23924</v>
          </cell>
        </row>
        <row r="191">
          <cell r="A191">
            <v>23955</v>
          </cell>
        </row>
        <row r="192">
          <cell r="A192">
            <v>23986</v>
          </cell>
        </row>
        <row r="193">
          <cell r="A193">
            <v>24016</v>
          </cell>
        </row>
        <row r="194">
          <cell r="A194">
            <v>24047</v>
          </cell>
        </row>
        <row r="195">
          <cell r="A195">
            <v>24077</v>
          </cell>
        </row>
        <row r="196">
          <cell r="A196">
            <v>24108</v>
          </cell>
        </row>
        <row r="197">
          <cell r="A197">
            <v>24139</v>
          </cell>
        </row>
        <row r="198">
          <cell r="A198">
            <v>24167</v>
          </cell>
        </row>
        <row r="199">
          <cell r="A199">
            <v>24198</v>
          </cell>
        </row>
        <row r="200">
          <cell r="A200">
            <v>24228</v>
          </cell>
        </row>
        <row r="201">
          <cell r="A201">
            <v>24259</v>
          </cell>
        </row>
        <row r="202">
          <cell r="A202">
            <v>24289</v>
          </cell>
        </row>
        <row r="203">
          <cell r="A203">
            <v>24320</v>
          </cell>
        </row>
        <row r="204">
          <cell r="A204">
            <v>24351</v>
          </cell>
        </row>
        <row r="205">
          <cell r="A205">
            <v>24381</v>
          </cell>
        </row>
        <row r="206">
          <cell r="A206">
            <v>24412</v>
          </cell>
        </row>
        <row r="207">
          <cell r="A207">
            <v>24442</v>
          </cell>
        </row>
        <row r="208">
          <cell r="A208">
            <v>24473</v>
          </cell>
        </row>
        <row r="209">
          <cell r="A209">
            <v>24504</v>
          </cell>
        </row>
        <row r="210">
          <cell r="A210">
            <v>24532</v>
          </cell>
        </row>
        <row r="211">
          <cell r="A211">
            <v>24563</v>
          </cell>
        </row>
        <row r="212">
          <cell r="A212">
            <v>24593</v>
          </cell>
        </row>
        <row r="213">
          <cell r="A213">
            <v>24624</v>
          </cell>
        </row>
        <row r="214">
          <cell r="A214">
            <v>24654</v>
          </cell>
        </row>
        <row r="215">
          <cell r="A215">
            <v>24685</v>
          </cell>
        </row>
        <row r="216">
          <cell r="A216">
            <v>24716</v>
          </cell>
        </row>
        <row r="217">
          <cell r="A217">
            <v>24746</v>
          </cell>
        </row>
        <row r="218">
          <cell r="A218">
            <v>24777</v>
          </cell>
        </row>
        <row r="219">
          <cell r="A219">
            <v>24807</v>
          </cell>
        </row>
        <row r="220">
          <cell r="A220">
            <v>24838</v>
          </cell>
        </row>
        <row r="221">
          <cell r="A221">
            <v>24869</v>
          </cell>
        </row>
        <row r="222">
          <cell r="A222">
            <v>24898</v>
          </cell>
        </row>
        <row r="223">
          <cell r="A223">
            <v>24929</v>
          </cell>
        </row>
        <row r="224">
          <cell r="A224">
            <v>24959</v>
          </cell>
        </row>
        <row r="225">
          <cell r="A225">
            <v>24990</v>
          </cell>
        </row>
        <row r="226">
          <cell r="A226">
            <v>25020</v>
          </cell>
        </row>
        <row r="227">
          <cell r="A227">
            <v>25051</v>
          </cell>
        </row>
        <row r="228">
          <cell r="A228">
            <v>25082</v>
          </cell>
        </row>
        <row r="229">
          <cell r="A229">
            <v>25112</v>
          </cell>
        </row>
        <row r="230">
          <cell r="A230">
            <v>25143</v>
          </cell>
        </row>
        <row r="231">
          <cell r="A231">
            <v>25173</v>
          </cell>
        </row>
        <row r="232">
          <cell r="A232">
            <v>25204</v>
          </cell>
        </row>
        <row r="233">
          <cell r="A233">
            <v>25235</v>
          </cell>
        </row>
        <row r="234">
          <cell r="A234">
            <v>25263</v>
          </cell>
        </row>
        <row r="235">
          <cell r="A235">
            <v>25294</v>
          </cell>
        </row>
        <row r="236">
          <cell r="A236">
            <v>25324</v>
          </cell>
        </row>
        <row r="237">
          <cell r="A237">
            <v>25355</v>
          </cell>
        </row>
        <row r="238">
          <cell r="A238">
            <v>25385</v>
          </cell>
        </row>
        <row r="239">
          <cell r="A239">
            <v>25416</v>
          </cell>
        </row>
        <row r="240">
          <cell r="A240">
            <v>25447</v>
          </cell>
        </row>
        <row r="241">
          <cell r="A241">
            <v>25477</v>
          </cell>
        </row>
        <row r="242">
          <cell r="A242">
            <v>25508</v>
          </cell>
        </row>
        <row r="243">
          <cell r="A243">
            <v>25538</v>
          </cell>
        </row>
        <row r="244">
          <cell r="A244">
            <v>25569</v>
          </cell>
        </row>
        <row r="245">
          <cell r="A245">
            <v>25600</v>
          </cell>
        </row>
        <row r="246">
          <cell r="A246">
            <v>25628</v>
          </cell>
        </row>
        <row r="247">
          <cell r="A247">
            <v>25659</v>
          </cell>
        </row>
        <row r="248">
          <cell r="A248">
            <v>25689</v>
          </cell>
        </row>
        <row r="249">
          <cell r="A249">
            <v>25720</v>
          </cell>
        </row>
        <row r="250">
          <cell r="A250">
            <v>25750</v>
          </cell>
        </row>
        <row r="251">
          <cell r="A251">
            <v>25781</v>
          </cell>
        </row>
        <row r="252">
          <cell r="A252">
            <v>25812</v>
          </cell>
        </row>
        <row r="253">
          <cell r="A253">
            <v>25842</v>
          </cell>
        </row>
        <row r="254">
          <cell r="A254">
            <v>25873</v>
          </cell>
        </row>
        <row r="255">
          <cell r="A255">
            <v>25903</v>
          </cell>
        </row>
        <row r="256">
          <cell r="A256">
            <v>25934</v>
          </cell>
        </row>
        <row r="257">
          <cell r="A257">
            <v>25965</v>
          </cell>
        </row>
        <row r="258">
          <cell r="A258">
            <v>25993</v>
          </cell>
        </row>
        <row r="259">
          <cell r="A259">
            <v>26024</v>
          </cell>
        </row>
        <row r="260">
          <cell r="A260">
            <v>26054</v>
          </cell>
        </row>
        <row r="261">
          <cell r="A261">
            <v>26085</v>
          </cell>
        </row>
        <row r="262">
          <cell r="A262">
            <v>26115</v>
          </cell>
        </row>
        <row r="263">
          <cell r="A263">
            <v>26146</v>
          </cell>
        </row>
        <row r="264">
          <cell r="A264">
            <v>26177</v>
          </cell>
        </row>
        <row r="265">
          <cell r="A265">
            <v>26207</v>
          </cell>
        </row>
        <row r="266">
          <cell r="A266">
            <v>26238</v>
          </cell>
        </row>
        <row r="267">
          <cell r="A267">
            <v>26268</v>
          </cell>
        </row>
        <row r="268">
          <cell r="A268">
            <v>26299</v>
          </cell>
        </row>
        <row r="269">
          <cell r="A269">
            <v>26330</v>
          </cell>
        </row>
        <row r="270">
          <cell r="A270">
            <v>26359</v>
          </cell>
        </row>
        <row r="271">
          <cell r="A271">
            <v>26390</v>
          </cell>
        </row>
        <row r="272">
          <cell r="A272">
            <v>26420</v>
          </cell>
        </row>
        <row r="273">
          <cell r="A273">
            <v>26451</v>
          </cell>
        </row>
        <row r="274">
          <cell r="A274">
            <v>26481</v>
          </cell>
        </row>
        <row r="275">
          <cell r="A275">
            <v>26512</v>
          </cell>
        </row>
        <row r="276">
          <cell r="A276">
            <v>26543</v>
          </cell>
        </row>
        <row r="277">
          <cell r="A277">
            <v>26573</v>
          </cell>
        </row>
        <row r="278">
          <cell r="A278">
            <v>26604</v>
          </cell>
        </row>
        <row r="279">
          <cell r="A279">
            <v>26634</v>
          </cell>
        </row>
        <row r="280">
          <cell r="A280">
            <v>26665</v>
          </cell>
        </row>
        <row r="281">
          <cell r="A281">
            <v>26696</v>
          </cell>
        </row>
        <row r="282">
          <cell r="A282">
            <v>26724</v>
          </cell>
        </row>
        <row r="283">
          <cell r="A283">
            <v>26755</v>
          </cell>
        </row>
        <row r="284">
          <cell r="A284">
            <v>26785</v>
          </cell>
        </row>
        <row r="285">
          <cell r="A285">
            <v>26816</v>
          </cell>
        </row>
        <row r="286">
          <cell r="A286">
            <v>26846</v>
          </cell>
        </row>
        <row r="287">
          <cell r="A287">
            <v>26877</v>
          </cell>
        </row>
        <row r="288">
          <cell r="A288">
            <v>26908</v>
          </cell>
        </row>
        <row r="289">
          <cell r="A289">
            <v>26938</v>
          </cell>
        </row>
        <row r="290">
          <cell r="A290">
            <v>26969</v>
          </cell>
        </row>
        <row r="291">
          <cell r="A291">
            <v>26999</v>
          </cell>
        </row>
        <row r="292">
          <cell r="A292">
            <v>27030</v>
          </cell>
        </row>
        <row r="293">
          <cell r="A293">
            <v>27061</v>
          </cell>
        </row>
        <row r="294">
          <cell r="A294">
            <v>27089</v>
          </cell>
        </row>
        <row r="295">
          <cell r="A295">
            <v>27120</v>
          </cell>
        </row>
        <row r="296">
          <cell r="A296">
            <v>27150</v>
          </cell>
        </row>
        <row r="297">
          <cell r="A297">
            <v>27181</v>
          </cell>
        </row>
        <row r="298">
          <cell r="A298">
            <v>27211</v>
          </cell>
        </row>
        <row r="299">
          <cell r="A299">
            <v>27242</v>
          </cell>
        </row>
        <row r="300">
          <cell r="A300">
            <v>27273</v>
          </cell>
        </row>
        <row r="301">
          <cell r="A301">
            <v>27303</v>
          </cell>
        </row>
        <row r="302">
          <cell r="A302">
            <v>27334</v>
          </cell>
        </row>
        <row r="303">
          <cell r="A303">
            <v>27364</v>
          </cell>
        </row>
        <row r="304">
          <cell r="A304">
            <v>27395</v>
          </cell>
        </row>
        <row r="305">
          <cell r="A305">
            <v>27426</v>
          </cell>
        </row>
        <row r="306">
          <cell r="A306">
            <v>27454</v>
          </cell>
        </row>
        <row r="307">
          <cell r="A307">
            <v>27485</v>
          </cell>
        </row>
        <row r="308">
          <cell r="A308">
            <v>27515</v>
          </cell>
        </row>
        <row r="309">
          <cell r="A309">
            <v>27546</v>
          </cell>
        </row>
        <row r="310">
          <cell r="A310">
            <v>27576</v>
          </cell>
        </row>
        <row r="311">
          <cell r="A311">
            <v>27607</v>
          </cell>
        </row>
        <row r="312">
          <cell r="A312">
            <v>27638</v>
          </cell>
        </row>
        <row r="313">
          <cell r="A313">
            <v>27668</v>
          </cell>
        </row>
        <row r="314">
          <cell r="A314">
            <v>27699</v>
          </cell>
        </row>
        <row r="315">
          <cell r="A315">
            <v>27729</v>
          </cell>
        </row>
        <row r="316">
          <cell r="A316">
            <v>27760</v>
          </cell>
        </row>
        <row r="317">
          <cell r="A317">
            <v>27791</v>
          </cell>
        </row>
        <row r="318">
          <cell r="A318">
            <v>27820</v>
          </cell>
        </row>
        <row r="319">
          <cell r="A319">
            <v>27851</v>
          </cell>
        </row>
        <row r="320">
          <cell r="A320">
            <v>27881</v>
          </cell>
        </row>
        <row r="321">
          <cell r="A321">
            <v>27912</v>
          </cell>
        </row>
        <row r="322">
          <cell r="A322">
            <v>27942</v>
          </cell>
        </row>
        <row r="323">
          <cell r="A323">
            <v>27973</v>
          </cell>
        </row>
        <row r="324">
          <cell r="A324">
            <v>28004</v>
          </cell>
        </row>
        <row r="325">
          <cell r="A325">
            <v>28034</v>
          </cell>
        </row>
        <row r="326">
          <cell r="A326">
            <v>28065</v>
          </cell>
        </row>
        <row r="327">
          <cell r="A327">
            <v>28095</v>
          </cell>
        </row>
        <row r="328">
          <cell r="A328">
            <v>28126</v>
          </cell>
        </row>
        <row r="329">
          <cell r="A329">
            <v>28157</v>
          </cell>
        </row>
        <row r="330">
          <cell r="A330">
            <v>28185</v>
          </cell>
        </row>
        <row r="331">
          <cell r="A331">
            <v>28216</v>
          </cell>
        </row>
        <row r="332">
          <cell r="A332">
            <v>28246</v>
          </cell>
        </row>
        <row r="333">
          <cell r="A333">
            <v>28277</v>
          </cell>
        </row>
        <row r="334">
          <cell r="A334">
            <v>28307</v>
          </cell>
        </row>
        <row r="335">
          <cell r="A335">
            <v>28338</v>
          </cell>
        </row>
        <row r="336">
          <cell r="A336">
            <v>28369</v>
          </cell>
        </row>
        <row r="337">
          <cell r="A337">
            <v>28399</v>
          </cell>
        </row>
        <row r="338">
          <cell r="A338">
            <v>28430</v>
          </cell>
        </row>
        <row r="339">
          <cell r="A339">
            <v>28460</v>
          </cell>
        </row>
        <row r="340">
          <cell r="A340">
            <v>28491</v>
          </cell>
        </row>
        <row r="341">
          <cell r="A341">
            <v>28522</v>
          </cell>
        </row>
        <row r="342">
          <cell r="A342">
            <v>28550</v>
          </cell>
        </row>
        <row r="343">
          <cell r="A343">
            <v>28581</v>
          </cell>
        </row>
        <row r="344">
          <cell r="A344">
            <v>28611</v>
          </cell>
        </row>
        <row r="345">
          <cell r="A345">
            <v>28642</v>
          </cell>
        </row>
        <row r="346">
          <cell r="A346">
            <v>28672</v>
          </cell>
        </row>
        <row r="347">
          <cell r="A347">
            <v>28703</v>
          </cell>
        </row>
        <row r="348">
          <cell r="A348">
            <v>28734</v>
          </cell>
        </row>
        <row r="349">
          <cell r="A349">
            <v>28764</v>
          </cell>
        </row>
        <row r="350">
          <cell r="A350">
            <v>28795</v>
          </cell>
        </row>
        <row r="351">
          <cell r="A351">
            <v>28825</v>
          </cell>
        </row>
        <row r="352">
          <cell r="A352">
            <v>28856</v>
          </cell>
        </row>
        <row r="353">
          <cell r="A353">
            <v>28887</v>
          </cell>
        </row>
        <row r="354">
          <cell r="A354">
            <v>28915</v>
          </cell>
        </row>
        <row r="355">
          <cell r="A355">
            <v>28946</v>
          </cell>
        </row>
        <row r="356">
          <cell r="A356">
            <v>28976</v>
          </cell>
        </row>
        <row r="357">
          <cell r="A357">
            <v>29007</v>
          </cell>
        </row>
        <row r="358">
          <cell r="A358">
            <v>29037</v>
          </cell>
        </row>
        <row r="359">
          <cell r="A359">
            <v>29068</v>
          </cell>
        </row>
        <row r="360">
          <cell r="A360">
            <v>29099</v>
          </cell>
        </row>
        <row r="361">
          <cell r="A361">
            <v>29129</v>
          </cell>
        </row>
        <row r="362">
          <cell r="A362">
            <v>29160</v>
          </cell>
        </row>
        <row r="363">
          <cell r="A363">
            <v>29190</v>
          </cell>
        </row>
        <row r="364">
          <cell r="A364">
            <v>29221</v>
          </cell>
        </row>
        <row r="365">
          <cell r="A365">
            <v>29252</v>
          </cell>
        </row>
        <row r="366">
          <cell r="A366">
            <v>29281</v>
          </cell>
        </row>
        <row r="367">
          <cell r="A367">
            <v>29312</v>
          </cell>
        </row>
        <row r="368">
          <cell r="A368">
            <v>29342</v>
          </cell>
        </row>
        <row r="369">
          <cell r="A369">
            <v>29373</v>
          </cell>
        </row>
        <row r="370">
          <cell r="A370">
            <v>29403</v>
          </cell>
        </row>
        <row r="371">
          <cell r="A371">
            <v>29434</v>
          </cell>
        </row>
        <row r="372">
          <cell r="A372">
            <v>29465</v>
          </cell>
        </row>
        <row r="373">
          <cell r="A373">
            <v>29495</v>
          </cell>
        </row>
        <row r="374">
          <cell r="A374">
            <v>29526</v>
          </cell>
        </row>
        <row r="375">
          <cell r="A375">
            <v>29556</v>
          </cell>
        </row>
        <row r="376">
          <cell r="A376">
            <v>29587</v>
          </cell>
        </row>
        <row r="377">
          <cell r="A377">
            <v>29618</v>
          </cell>
        </row>
        <row r="378">
          <cell r="A378">
            <v>29646</v>
          </cell>
        </row>
        <row r="379">
          <cell r="A379">
            <v>29677</v>
          </cell>
        </row>
        <row r="380">
          <cell r="A380">
            <v>29707</v>
          </cell>
        </row>
        <row r="381">
          <cell r="A381">
            <v>29738</v>
          </cell>
        </row>
        <row r="382">
          <cell r="A382">
            <v>29768</v>
          </cell>
        </row>
        <row r="383">
          <cell r="A383">
            <v>29799</v>
          </cell>
        </row>
        <row r="384">
          <cell r="A384">
            <v>29830</v>
          </cell>
        </row>
        <row r="385">
          <cell r="A385">
            <v>29860</v>
          </cell>
        </row>
        <row r="386">
          <cell r="A386">
            <v>29891</v>
          </cell>
        </row>
        <row r="387">
          <cell r="A387">
            <v>29921</v>
          </cell>
        </row>
        <row r="388">
          <cell r="A388">
            <v>29952</v>
          </cell>
        </row>
        <row r="389">
          <cell r="A389">
            <v>29983</v>
          </cell>
        </row>
        <row r="390">
          <cell r="A390">
            <v>30011</v>
          </cell>
        </row>
        <row r="391">
          <cell r="A391">
            <v>30042</v>
          </cell>
        </row>
        <row r="392">
          <cell r="A392">
            <v>30072</v>
          </cell>
        </row>
        <row r="393">
          <cell r="A393">
            <v>30103</v>
          </cell>
        </row>
        <row r="394">
          <cell r="A394">
            <v>30133</v>
          </cell>
        </row>
        <row r="395">
          <cell r="A395">
            <v>30164</v>
          </cell>
        </row>
        <row r="396">
          <cell r="A396">
            <v>30195</v>
          </cell>
        </row>
        <row r="397">
          <cell r="A397">
            <v>30225</v>
          </cell>
        </row>
        <row r="398">
          <cell r="A398">
            <v>30256</v>
          </cell>
        </row>
        <row r="399">
          <cell r="A399">
            <v>30286</v>
          </cell>
        </row>
        <row r="400">
          <cell r="A400">
            <v>30317</v>
          </cell>
        </row>
        <row r="401">
          <cell r="A401">
            <v>30348</v>
          </cell>
        </row>
        <row r="402">
          <cell r="A402">
            <v>30376</v>
          </cell>
        </row>
        <row r="403">
          <cell r="A403">
            <v>30407</v>
          </cell>
        </row>
        <row r="404">
          <cell r="A404">
            <v>30437</v>
          </cell>
        </row>
        <row r="405">
          <cell r="A405">
            <v>30468</v>
          </cell>
        </row>
        <row r="406">
          <cell r="A406">
            <v>30498</v>
          </cell>
        </row>
        <row r="407">
          <cell r="A407">
            <v>30529</v>
          </cell>
        </row>
        <row r="408">
          <cell r="A408">
            <v>30560</v>
          </cell>
        </row>
        <row r="409">
          <cell r="A409">
            <v>30590</v>
          </cell>
        </row>
        <row r="410">
          <cell r="A410">
            <v>30621</v>
          </cell>
        </row>
        <row r="411">
          <cell r="A411">
            <v>30651</v>
          </cell>
        </row>
        <row r="412">
          <cell r="A412">
            <v>30682</v>
          </cell>
        </row>
        <row r="413">
          <cell r="A413">
            <v>30713</v>
          </cell>
        </row>
        <row r="414">
          <cell r="A414">
            <v>30742</v>
          </cell>
        </row>
        <row r="415">
          <cell r="A415">
            <v>30773</v>
          </cell>
        </row>
        <row r="416">
          <cell r="A416">
            <v>30803</v>
          </cell>
        </row>
        <row r="417">
          <cell r="A417">
            <v>30834</v>
          </cell>
        </row>
        <row r="418">
          <cell r="A418">
            <v>30864</v>
          </cell>
        </row>
        <row r="419">
          <cell r="A419">
            <v>30895</v>
          </cell>
        </row>
        <row r="420">
          <cell r="A420">
            <v>30926</v>
          </cell>
        </row>
        <row r="421">
          <cell r="A421">
            <v>30956</v>
          </cell>
        </row>
        <row r="422">
          <cell r="A422">
            <v>30987</v>
          </cell>
        </row>
        <row r="423">
          <cell r="A423">
            <v>31017</v>
          </cell>
        </row>
        <row r="424">
          <cell r="A424">
            <v>31048</v>
          </cell>
        </row>
        <row r="425">
          <cell r="A425">
            <v>31079</v>
          </cell>
        </row>
        <row r="426">
          <cell r="A426">
            <v>31107</v>
          </cell>
        </row>
        <row r="427">
          <cell r="A427">
            <v>31138</v>
          </cell>
        </row>
        <row r="428">
          <cell r="A428">
            <v>31168</v>
          </cell>
        </row>
        <row r="429">
          <cell r="A429">
            <v>31199</v>
          </cell>
        </row>
        <row r="430">
          <cell r="A430">
            <v>31229</v>
          </cell>
        </row>
        <row r="431">
          <cell r="A431">
            <v>31260</v>
          </cell>
        </row>
        <row r="432">
          <cell r="A432">
            <v>31291</v>
          </cell>
        </row>
        <row r="433">
          <cell r="A433">
            <v>31321</v>
          </cell>
        </row>
        <row r="434">
          <cell r="A434">
            <v>31352</v>
          </cell>
        </row>
        <row r="435">
          <cell r="A435">
            <v>31382</v>
          </cell>
        </row>
        <row r="436">
          <cell r="A436">
            <v>31413</v>
          </cell>
        </row>
        <row r="437">
          <cell r="A437">
            <v>31444</v>
          </cell>
        </row>
        <row r="438">
          <cell r="A438">
            <v>31472</v>
          </cell>
        </row>
        <row r="439">
          <cell r="A439">
            <v>31503</v>
          </cell>
        </row>
        <row r="440">
          <cell r="A440">
            <v>31533</v>
          </cell>
        </row>
        <row r="441">
          <cell r="A441">
            <v>31564</v>
          </cell>
        </row>
        <row r="442">
          <cell r="A442">
            <v>31594</v>
          </cell>
        </row>
        <row r="443">
          <cell r="A443">
            <v>31625</v>
          </cell>
        </row>
        <row r="444">
          <cell r="A444">
            <v>31656</v>
          </cell>
        </row>
        <row r="445">
          <cell r="A445">
            <v>31686</v>
          </cell>
        </row>
        <row r="446">
          <cell r="A446">
            <v>31717</v>
          </cell>
        </row>
        <row r="447">
          <cell r="A447">
            <v>31747</v>
          </cell>
        </row>
        <row r="448">
          <cell r="A448">
            <v>31778</v>
          </cell>
        </row>
        <row r="449">
          <cell r="A449">
            <v>31809</v>
          </cell>
        </row>
        <row r="450">
          <cell r="A450">
            <v>31837</v>
          </cell>
        </row>
        <row r="451">
          <cell r="A451">
            <v>31868</v>
          </cell>
        </row>
        <row r="452">
          <cell r="A452">
            <v>31898</v>
          </cell>
        </row>
        <row r="453">
          <cell r="A453">
            <v>31929</v>
          </cell>
        </row>
        <row r="454">
          <cell r="A454">
            <v>31959</v>
          </cell>
        </row>
        <row r="455">
          <cell r="A455">
            <v>31990</v>
          </cell>
        </row>
        <row r="456">
          <cell r="A456">
            <v>32021</v>
          </cell>
        </row>
        <row r="457">
          <cell r="A457">
            <v>32051</v>
          </cell>
        </row>
        <row r="458">
          <cell r="A458">
            <v>32082</v>
          </cell>
        </row>
        <row r="459">
          <cell r="A459">
            <v>32112</v>
          </cell>
        </row>
        <row r="460">
          <cell r="A460">
            <v>32143</v>
          </cell>
        </row>
        <row r="461">
          <cell r="A461">
            <v>32174</v>
          </cell>
        </row>
        <row r="462">
          <cell r="A462">
            <v>32203</v>
          </cell>
        </row>
        <row r="463">
          <cell r="A463">
            <v>32234</v>
          </cell>
        </row>
        <row r="464">
          <cell r="A464">
            <v>32264</v>
          </cell>
        </row>
        <row r="465">
          <cell r="A465">
            <v>32295</v>
          </cell>
        </row>
        <row r="466">
          <cell r="A466">
            <v>32325</v>
          </cell>
        </row>
        <row r="467">
          <cell r="A467">
            <v>32356</v>
          </cell>
        </row>
        <row r="468">
          <cell r="A468">
            <v>32387</v>
          </cell>
        </row>
        <row r="469">
          <cell r="A469">
            <v>32417</v>
          </cell>
        </row>
        <row r="470">
          <cell r="A470">
            <v>32448</v>
          </cell>
        </row>
        <row r="471">
          <cell r="A471">
            <v>32478</v>
          </cell>
        </row>
        <row r="472">
          <cell r="A472">
            <v>32509</v>
          </cell>
        </row>
        <row r="473">
          <cell r="A473">
            <v>32540</v>
          </cell>
        </row>
        <row r="474">
          <cell r="A474">
            <v>32568</v>
          </cell>
        </row>
        <row r="475">
          <cell r="A475">
            <v>32599</v>
          </cell>
        </row>
        <row r="476">
          <cell r="A476">
            <v>32629</v>
          </cell>
        </row>
        <row r="477">
          <cell r="A477">
            <v>32660</v>
          </cell>
        </row>
        <row r="478">
          <cell r="A478">
            <v>32690</v>
          </cell>
        </row>
        <row r="479">
          <cell r="A479">
            <v>32721</v>
          </cell>
        </row>
        <row r="480">
          <cell r="A480">
            <v>32752</v>
          </cell>
        </row>
        <row r="481">
          <cell r="A481">
            <v>32782</v>
          </cell>
        </row>
        <row r="482">
          <cell r="A482">
            <v>32813</v>
          </cell>
        </row>
        <row r="483">
          <cell r="A483">
            <v>32843</v>
          </cell>
        </row>
        <row r="484">
          <cell r="A484">
            <v>32874</v>
          </cell>
        </row>
        <row r="485">
          <cell r="A485">
            <v>32905</v>
          </cell>
        </row>
        <row r="486">
          <cell r="A486">
            <v>32933</v>
          </cell>
        </row>
        <row r="487">
          <cell r="A487">
            <v>32964</v>
          </cell>
        </row>
        <row r="488">
          <cell r="A488">
            <v>32994</v>
          </cell>
        </row>
        <row r="489">
          <cell r="A489">
            <v>33025</v>
          </cell>
        </row>
        <row r="490">
          <cell r="A490">
            <v>33055</v>
          </cell>
        </row>
        <row r="491">
          <cell r="A491">
            <v>33086</v>
          </cell>
        </row>
        <row r="492">
          <cell r="A492">
            <v>33117</v>
          </cell>
        </row>
        <row r="493">
          <cell r="A493">
            <v>33147</v>
          </cell>
        </row>
        <row r="494">
          <cell r="A494">
            <v>33178</v>
          </cell>
        </row>
        <row r="495">
          <cell r="A495">
            <v>33208</v>
          </cell>
        </row>
        <row r="496">
          <cell r="A496">
            <v>33239</v>
          </cell>
        </row>
        <row r="497">
          <cell r="A497">
            <v>33270</v>
          </cell>
        </row>
        <row r="498">
          <cell r="A498">
            <v>33298</v>
          </cell>
        </row>
        <row r="499">
          <cell r="A499">
            <v>33329</v>
          </cell>
        </row>
        <row r="500">
          <cell r="A500">
            <v>33359</v>
          </cell>
        </row>
        <row r="501">
          <cell r="A501">
            <v>33390</v>
          </cell>
        </row>
        <row r="502">
          <cell r="A502">
            <v>33420</v>
          </cell>
        </row>
        <row r="503">
          <cell r="A503">
            <v>33451</v>
          </cell>
        </row>
        <row r="504">
          <cell r="A504">
            <v>33482</v>
          </cell>
        </row>
        <row r="505">
          <cell r="A505">
            <v>33512</v>
          </cell>
        </row>
        <row r="506">
          <cell r="A506">
            <v>33543</v>
          </cell>
        </row>
        <row r="507">
          <cell r="A507">
            <v>33573</v>
          </cell>
        </row>
        <row r="508">
          <cell r="A508">
            <v>33604</v>
          </cell>
        </row>
        <row r="509">
          <cell r="A509">
            <v>33635</v>
          </cell>
        </row>
        <row r="510">
          <cell r="A510">
            <v>33664</v>
          </cell>
        </row>
        <row r="511">
          <cell r="A511">
            <v>33695</v>
          </cell>
        </row>
        <row r="512">
          <cell r="A512">
            <v>33725</v>
          </cell>
        </row>
        <row r="513">
          <cell r="A513">
            <v>33756</v>
          </cell>
        </row>
        <row r="514">
          <cell r="A514">
            <v>33786</v>
          </cell>
        </row>
        <row r="515">
          <cell r="A515">
            <v>33817</v>
          </cell>
        </row>
        <row r="516">
          <cell r="A516">
            <v>33848</v>
          </cell>
        </row>
        <row r="517">
          <cell r="A517">
            <v>33878</v>
          </cell>
        </row>
        <row r="518">
          <cell r="A518">
            <v>33909</v>
          </cell>
        </row>
        <row r="519">
          <cell r="A519">
            <v>33939</v>
          </cell>
        </row>
        <row r="520">
          <cell r="A520">
            <v>33970</v>
          </cell>
        </row>
        <row r="521">
          <cell r="A521">
            <v>34001</v>
          </cell>
        </row>
        <row r="522">
          <cell r="A522">
            <v>34029</v>
          </cell>
        </row>
        <row r="523">
          <cell r="A523">
            <v>34060</v>
          </cell>
        </row>
        <row r="524">
          <cell r="A524">
            <v>34090</v>
          </cell>
        </row>
        <row r="525">
          <cell r="A525">
            <v>34121</v>
          </cell>
        </row>
        <row r="526">
          <cell r="A526">
            <v>34151</v>
          </cell>
        </row>
        <row r="527">
          <cell r="A527">
            <v>34182</v>
          </cell>
        </row>
        <row r="528">
          <cell r="A528">
            <v>34213</v>
          </cell>
        </row>
        <row r="529">
          <cell r="A529">
            <v>34243</v>
          </cell>
        </row>
        <row r="530">
          <cell r="A530">
            <v>34274</v>
          </cell>
        </row>
        <row r="531">
          <cell r="A531">
            <v>34304</v>
          </cell>
        </row>
        <row r="532">
          <cell r="A532">
            <v>34335</v>
          </cell>
        </row>
        <row r="533">
          <cell r="A533">
            <v>34366</v>
          </cell>
        </row>
        <row r="534">
          <cell r="A534">
            <v>34394</v>
          </cell>
        </row>
        <row r="535">
          <cell r="A535">
            <v>34425</v>
          </cell>
        </row>
        <row r="536">
          <cell r="A536">
            <v>34455</v>
          </cell>
        </row>
        <row r="537">
          <cell r="A537">
            <v>34486</v>
          </cell>
        </row>
        <row r="538">
          <cell r="A538">
            <v>34516</v>
          </cell>
        </row>
        <row r="539">
          <cell r="A539">
            <v>34547</v>
          </cell>
        </row>
        <row r="540">
          <cell r="A540">
            <v>34578</v>
          </cell>
        </row>
        <row r="541">
          <cell r="A541">
            <v>34608</v>
          </cell>
        </row>
        <row r="542">
          <cell r="A542">
            <v>34639</v>
          </cell>
        </row>
        <row r="543">
          <cell r="A543">
            <v>34669</v>
          </cell>
        </row>
        <row r="544">
          <cell r="A544">
            <v>34700</v>
          </cell>
        </row>
        <row r="545">
          <cell r="A545">
            <v>34731</v>
          </cell>
        </row>
        <row r="546">
          <cell r="A546">
            <v>34759</v>
          </cell>
        </row>
        <row r="547">
          <cell r="A547">
            <v>34790</v>
          </cell>
        </row>
        <row r="548">
          <cell r="A548">
            <v>34820</v>
          </cell>
        </row>
        <row r="549">
          <cell r="A549">
            <v>34851</v>
          </cell>
        </row>
        <row r="550">
          <cell r="A550">
            <v>34881</v>
          </cell>
        </row>
        <row r="551">
          <cell r="A551">
            <v>34912</v>
          </cell>
        </row>
        <row r="552">
          <cell r="A552">
            <v>34943</v>
          </cell>
        </row>
        <row r="553">
          <cell r="A553">
            <v>34973</v>
          </cell>
        </row>
        <row r="554">
          <cell r="A554">
            <v>35004</v>
          </cell>
        </row>
        <row r="555">
          <cell r="A555">
            <v>35034</v>
          </cell>
        </row>
        <row r="556">
          <cell r="A556">
            <v>35065</v>
          </cell>
        </row>
        <row r="557">
          <cell r="A557">
            <v>35096</v>
          </cell>
        </row>
        <row r="558">
          <cell r="A558">
            <v>35125</v>
          </cell>
        </row>
        <row r="559">
          <cell r="A559">
            <v>35156</v>
          </cell>
        </row>
        <row r="560">
          <cell r="A560">
            <v>35186</v>
          </cell>
        </row>
        <row r="561">
          <cell r="A561">
            <v>35217</v>
          </cell>
        </row>
        <row r="562">
          <cell r="A562">
            <v>35247</v>
          </cell>
        </row>
        <row r="563">
          <cell r="A563">
            <v>35278</v>
          </cell>
        </row>
        <row r="564">
          <cell r="A564">
            <v>35309</v>
          </cell>
        </row>
        <row r="565">
          <cell r="A565">
            <v>35339</v>
          </cell>
        </row>
        <row r="566">
          <cell r="A566">
            <v>35370</v>
          </cell>
        </row>
        <row r="567">
          <cell r="A567">
            <v>35400</v>
          </cell>
        </row>
        <row r="568">
          <cell r="A568">
            <v>35431</v>
          </cell>
        </row>
        <row r="569">
          <cell r="A569">
            <v>35462</v>
          </cell>
        </row>
        <row r="570">
          <cell r="A570">
            <v>35490</v>
          </cell>
        </row>
        <row r="571">
          <cell r="A571">
            <v>35521</v>
          </cell>
        </row>
        <row r="572">
          <cell r="A572">
            <v>35551</v>
          </cell>
        </row>
        <row r="573">
          <cell r="A573">
            <v>35582</v>
          </cell>
        </row>
        <row r="574">
          <cell r="A574">
            <v>35612</v>
          </cell>
        </row>
        <row r="575">
          <cell r="A575">
            <v>35643</v>
          </cell>
        </row>
        <row r="576">
          <cell r="A576">
            <v>35674</v>
          </cell>
        </row>
        <row r="577">
          <cell r="A577">
            <v>35704</v>
          </cell>
        </row>
        <row r="578">
          <cell r="A578">
            <v>35735</v>
          </cell>
        </row>
        <row r="579">
          <cell r="A579">
            <v>35765</v>
          </cell>
        </row>
        <row r="580">
          <cell r="A580">
            <v>35796</v>
          </cell>
        </row>
        <row r="581">
          <cell r="A581">
            <v>35827</v>
          </cell>
        </row>
        <row r="582">
          <cell r="A582">
            <v>35855</v>
          </cell>
        </row>
        <row r="583">
          <cell r="A583">
            <v>35886</v>
          </cell>
        </row>
        <row r="584">
          <cell r="A584">
            <v>35916</v>
          </cell>
        </row>
        <row r="585">
          <cell r="A585">
            <v>35947</v>
          </cell>
        </row>
        <row r="586">
          <cell r="A586">
            <v>35977</v>
          </cell>
        </row>
        <row r="587">
          <cell r="A587">
            <v>36008</v>
          </cell>
        </row>
        <row r="588">
          <cell r="A588">
            <v>36039</v>
          </cell>
        </row>
        <row r="589">
          <cell r="A589">
            <v>36069</v>
          </cell>
        </row>
        <row r="590">
          <cell r="A590">
            <v>36100</v>
          </cell>
        </row>
        <row r="591">
          <cell r="A591">
            <v>36130</v>
          </cell>
        </row>
        <row r="592">
          <cell r="A592">
            <v>36161</v>
          </cell>
        </row>
        <row r="593">
          <cell r="A593">
            <v>36192</v>
          </cell>
        </row>
        <row r="594">
          <cell r="A594">
            <v>36220</v>
          </cell>
        </row>
        <row r="595">
          <cell r="A595">
            <v>36251</v>
          </cell>
        </row>
        <row r="596">
          <cell r="A596">
            <v>36281</v>
          </cell>
        </row>
        <row r="597">
          <cell r="A597">
            <v>36312</v>
          </cell>
        </row>
        <row r="598">
          <cell r="A598">
            <v>36342</v>
          </cell>
        </row>
        <row r="599">
          <cell r="A599">
            <v>36373</v>
          </cell>
        </row>
        <row r="600">
          <cell r="A600">
            <v>36404</v>
          </cell>
        </row>
        <row r="601">
          <cell r="A601">
            <v>36434</v>
          </cell>
        </row>
        <row r="602">
          <cell r="A602">
            <v>36465</v>
          </cell>
        </row>
        <row r="603">
          <cell r="A603">
            <v>36495</v>
          </cell>
        </row>
        <row r="604">
          <cell r="A604">
            <v>36526</v>
          </cell>
        </row>
        <row r="605">
          <cell r="A605">
            <v>36557</v>
          </cell>
        </row>
        <row r="606">
          <cell r="A606">
            <v>36586</v>
          </cell>
        </row>
        <row r="607">
          <cell r="A607">
            <v>36617</v>
          </cell>
        </row>
        <row r="608">
          <cell r="A608">
            <v>36647</v>
          </cell>
        </row>
        <row r="609">
          <cell r="A609">
            <v>36678</v>
          </cell>
        </row>
        <row r="610">
          <cell r="A610">
            <v>36708</v>
          </cell>
        </row>
        <row r="611">
          <cell r="A611">
            <v>36739</v>
          </cell>
        </row>
        <row r="612">
          <cell r="A612">
            <v>36770</v>
          </cell>
        </row>
        <row r="613">
          <cell r="A613">
            <v>36800</v>
          </cell>
        </row>
        <row r="614">
          <cell r="A614">
            <v>36831</v>
          </cell>
        </row>
        <row r="615">
          <cell r="A615">
            <v>36861</v>
          </cell>
        </row>
        <row r="616">
          <cell r="A616">
            <v>36892</v>
          </cell>
        </row>
        <row r="617">
          <cell r="A617">
            <v>36923</v>
          </cell>
        </row>
        <row r="618">
          <cell r="A618">
            <v>36951</v>
          </cell>
        </row>
        <row r="619">
          <cell r="A619">
            <v>36982</v>
          </cell>
        </row>
        <row r="620">
          <cell r="A620">
            <v>37012</v>
          </cell>
        </row>
        <row r="621">
          <cell r="A621">
            <v>37043</v>
          </cell>
        </row>
        <row r="622">
          <cell r="A622">
            <v>37073</v>
          </cell>
        </row>
        <row r="623">
          <cell r="A623">
            <v>37104</v>
          </cell>
        </row>
        <row r="624">
          <cell r="A624">
            <v>37135</v>
          </cell>
        </row>
        <row r="625">
          <cell r="A625">
            <v>37165</v>
          </cell>
        </row>
        <row r="626">
          <cell r="A626">
            <v>37196</v>
          </cell>
        </row>
        <row r="627">
          <cell r="A627">
            <v>37226</v>
          </cell>
        </row>
        <row r="628">
          <cell r="A628">
            <v>37257</v>
          </cell>
        </row>
        <row r="629">
          <cell r="A629">
            <v>37288</v>
          </cell>
        </row>
        <row r="630">
          <cell r="A630">
            <v>37316</v>
          </cell>
        </row>
        <row r="631">
          <cell r="A631">
            <v>37347</v>
          </cell>
        </row>
        <row r="632">
          <cell r="A632">
            <v>37377</v>
          </cell>
        </row>
        <row r="633">
          <cell r="A633">
            <v>37408</v>
          </cell>
        </row>
        <row r="634">
          <cell r="A634">
            <v>37438</v>
          </cell>
        </row>
        <row r="635">
          <cell r="A635">
            <v>37469</v>
          </cell>
        </row>
        <row r="636">
          <cell r="A636">
            <v>37500</v>
          </cell>
        </row>
        <row r="637">
          <cell r="A637">
            <v>37530</v>
          </cell>
        </row>
        <row r="638">
          <cell r="A638">
            <v>37561</v>
          </cell>
        </row>
        <row r="639">
          <cell r="A639">
            <v>37591</v>
          </cell>
        </row>
        <row r="640">
          <cell r="A640">
            <v>37622</v>
          </cell>
        </row>
        <row r="641">
          <cell r="A641">
            <v>37653</v>
          </cell>
        </row>
        <row r="642">
          <cell r="A642">
            <v>37681</v>
          </cell>
        </row>
        <row r="643">
          <cell r="A643">
            <v>37712</v>
          </cell>
        </row>
        <row r="644">
          <cell r="A644">
            <v>37742</v>
          </cell>
        </row>
        <row r="645">
          <cell r="A645">
            <v>37773</v>
          </cell>
        </row>
        <row r="646">
          <cell r="A646">
            <v>37803</v>
          </cell>
        </row>
        <row r="647">
          <cell r="A647">
            <v>37834</v>
          </cell>
        </row>
        <row r="648">
          <cell r="A648">
            <v>37865</v>
          </cell>
        </row>
        <row r="649">
          <cell r="A649">
            <v>37895</v>
          </cell>
        </row>
        <row r="650">
          <cell r="A650">
            <v>37926</v>
          </cell>
        </row>
        <row r="651">
          <cell r="A651">
            <v>37956</v>
          </cell>
        </row>
        <row r="652">
          <cell r="A652">
            <v>37987</v>
          </cell>
        </row>
        <row r="653">
          <cell r="A653">
            <v>38018</v>
          </cell>
        </row>
        <row r="654">
          <cell r="A654">
            <v>38047</v>
          </cell>
        </row>
        <row r="655">
          <cell r="A655">
            <v>38078</v>
          </cell>
        </row>
        <row r="656">
          <cell r="A656">
            <v>38108</v>
          </cell>
        </row>
        <row r="657">
          <cell r="A657">
            <v>38139</v>
          </cell>
        </row>
        <row r="658">
          <cell r="A658">
            <v>38169</v>
          </cell>
        </row>
        <row r="659">
          <cell r="A659">
            <v>38200</v>
          </cell>
        </row>
        <row r="660">
          <cell r="A660">
            <v>38231</v>
          </cell>
        </row>
        <row r="661">
          <cell r="A661">
            <v>38261</v>
          </cell>
        </row>
        <row r="662">
          <cell r="A662">
            <v>38292</v>
          </cell>
        </row>
        <row r="663">
          <cell r="A663">
            <v>38322</v>
          </cell>
        </row>
        <row r="664">
          <cell r="A664">
            <v>38353</v>
          </cell>
        </row>
        <row r="665">
          <cell r="A665">
            <v>38384</v>
          </cell>
        </row>
        <row r="666">
          <cell r="A666">
            <v>38412</v>
          </cell>
        </row>
        <row r="667">
          <cell r="A667">
            <v>38443</v>
          </cell>
        </row>
        <row r="668">
          <cell r="A668">
            <v>38473</v>
          </cell>
        </row>
        <row r="669">
          <cell r="A669">
            <v>38504</v>
          </cell>
        </row>
        <row r="670">
          <cell r="A670">
            <v>38534</v>
          </cell>
        </row>
        <row r="671">
          <cell r="A671">
            <v>38565</v>
          </cell>
        </row>
        <row r="672">
          <cell r="A672">
            <v>38596</v>
          </cell>
        </row>
        <row r="673">
          <cell r="A673">
            <v>38626</v>
          </cell>
        </row>
        <row r="674">
          <cell r="A674">
            <v>38657</v>
          </cell>
        </row>
        <row r="675">
          <cell r="A675">
            <v>38687</v>
          </cell>
        </row>
        <row r="676">
          <cell r="A676">
            <v>38718</v>
          </cell>
        </row>
        <row r="677">
          <cell r="A677">
            <v>38749</v>
          </cell>
        </row>
        <row r="678">
          <cell r="A678">
            <v>38777</v>
          </cell>
        </row>
        <row r="679">
          <cell r="A679">
            <v>38808</v>
          </cell>
        </row>
        <row r="680">
          <cell r="A680">
            <v>38838</v>
          </cell>
        </row>
        <row r="681">
          <cell r="A681">
            <v>38869</v>
          </cell>
        </row>
        <row r="682">
          <cell r="A682">
            <v>38899</v>
          </cell>
        </row>
        <row r="683">
          <cell r="A683">
            <v>38930</v>
          </cell>
        </row>
        <row r="684">
          <cell r="A684">
            <v>38961</v>
          </cell>
        </row>
        <row r="685">
          <cell r="A685">
            <v>38991</v>
          </cell>
        </row>
        <row r="686">
          <cell r="A686">
            <v>39022</v>
          </cell>
        </row>
        <row r="687">
          <cell r="A687">
            <v>39052</v>
          </cell>
        </row>
        <row r="688">
          <cell r="A688">
            <v>39083</v>
          </cell>
        </row>
        <row r="689">
          <cell r="A689">
            <v>39114</v>
          </cell>
        </row>
        <row r="690">
          <cell r="A690">
            <v>39142</v>
          </cell>
        </row>
        <row r="691">
          <cell r="A691">
            <v>39173</v>
          </cell>
        </row>
        <row r="692">
          <cell r="A692">
            <v>39203</v>
          </cell>
        </row>
        <row r="693">
          <cell r="A693">
            <v>39234</v>
          </cell>
        </row>
        <row r="694">
          <cell r="A694">
            <v>39264</v>
          </cell>
        </row>
        <row r="695">
          <cell r="A695">
            <v>39295</v>
          </cell>
        </row>
        <row r="696">
          <cell r="A696">
            <v>39326</v>
          </cell>
        </row>
        <row r="697">
          <cell r="A697">
            <v>39356</v>
          </cell>
        </row>
        <row r="698">
          <cell r="A698">
            <v>39387</v>
          </cell>
        </row>
        <row r="699">
          <cell r="A699">
            <v>39417</v>
          </cell>
        </row>
        <row r="700">
          <cell r="A700">
            <v>39448</v>
          </cell>
        </row>
        <row r="701">
          <cell r="A701">
            <v>39479</v>
          </cell>
        </row>
        <row r="702">
          <cell r="A702">
            <v>39508</v>
          </cell>
        </row>
        <row r="703">
          <cell r="A703">
            <v>39539</v>
          </cell>
        </row>
        <row r="704">
          <cell r="A704">
            <v>39569</v>
          </cell>
        </row>
        <row r="705">
          <cell r="A705">
            <v>39600</v>
          </cell>
        </row>
        <row r="706">
          <cell r="A706">
            <v>39630</v>
          </cell>
        </row>
        <row r="707">
          <cell r="A707">
            <v>39661</v>
          </cell>
        </row>
        <row r="708">
          <cell r="A708">
            <v>39692</v>
          </cell>
        </row>
        <row r="709">
          <cell r="A709">
            <v>39722</v>
          </cell>
        </row>
        <row r="710">
          <cell r="A710">
            <v>39753</v>
          </cell>
        </row>
        <row r="711">
          <cell r="A711">
            <v>39783</v>
          </cell>
        </row>
        <row r="712">
          <cell r="A712">
            <v>39814</v>
          </cell>
        </row>
        <row r="713">
          <cell r="A713">
            <v>39845</v>
          </cell>
        </row>
        <row r="714">
          <cell r="A714">
            <v>39873</v>
          </cell>
        </row>
        <row r="715">
          <cell r="A715">
            <v>39904</v>
          </cell>
        </row>
        <row r="716">
          <cell r="A716">
            <v>39934</v>
          </cell>
        </row>
        <row r="717">
          <cell r="A717">
            <v>39965</v>
          </cell>
        </row>
        <row r="718">
          <cell r="A718">
            <v>39995</v>
          </cell>
        </row>
        <row r="719">
          <cell r="A719">
            <v>40026</v>
          </cell>
        </row>
        <row r="720">
          <cell r="A720">
            <v>40057</v>
          </cell>
        </row>
        <row r="721">
          <cell r="A721">
            <v>40087</v>
          </cell>
        </row>
        <row r="722">
          <cell r="A722">
            <v>40118</v>
          </cell>
        </row>
        <row r="723">
          <cell r="A723">
            <v>40148</v>
          </cell>
        </row>
        <row r="724">
          <cell r="A724">
            <v>40179</v>
          </cell>
        </row>
        <row r="725">
          <cell r="A725">
            <v>40210</v>
          </cell>
        </row>
        <row r="726">
          <cell r="A726">
            <v>40238</v>
          </cell>
        </row>
        <row r="727">
          <cell r="A727">
            <v>40269</v>
          </cell>
        </row>
        <row r="728">
          <cell r="A728">
            <v>40299</v>
          </cell>
        </row>
        <row r="729">
          <cell r="A729">
            <v>40330</v>
          </cell>
        </row>
        <row r="730">
          <cell r="A730">
            <v>40360</v>
          </cell>
        </row>
        <row r="731">
          <cell r="A731">
            <v>40391</v>
          </cell>
        </row>
        <row r="732">
          <cell r="A732">
            <v>40422</v>
          </cell>
        </row>
        <row r="733">
          <cell r="A733">
            <v>40452</v>
          </cell>
        </row>
        <row r="734">
          <cell r="A734">
            <v>40483</v>
          </cell>
        </row>
        <row r="735">
          <cell r="A735">
            <v>40513</v>
          </cell>
        </row>
        <row r="736">
          <cell r="A736">
            <v>40544</v>
          </cell>
        </row>
        <row r="737">
          <cell r="A737">
            <v>40575</v>
          </cell>
        </row>
        <row r="738">
          <cell r="A738">
            <v>40603</v>
          </cell>
        </row>
        <row r="739">
          <cell r="A739">
            <v>40634</v>
          </cell>
        </row>
        <row r="740">
          <cell r="A740">
            <v>40664</v>
          </cell>
        </row>
        <row r="741">
          <cell r="A741">
            <v>40695</v>
          </cell>
        </row>
        <row r="742">
          <cell r="A742">
            <v>40725</v>
          </cell>
        </row>
        <row r="743">
          <cell r="A743">
            <v>40756</v>
          </cell>
        </row>
        <row r="744">
          <cell r="A744">
            <v>40787</v>
          </cell>
        </row>
        <row r="745">
          <cell r="A745">
            <v>40817</v>
          </cell>
        </row>
        <row r="746">
          <cell r="A746">
            <v>40848</v>
          </cell>
        </row>
        <row r="747">
          <cell r="A747">
            <v>40878</v>
          </cell>
        </row>
        <row r="748">
          <cell r="A748">
            <v>40909</v>
          </cell>
        </row>
        <row r="749">
          <cell r="A749">
            <v>40940</v>
          </cell>
        </row>
        <row r="750">
          <cell r="A750">
            <v>40969</v>
          </cell>
        </row>
        <row r="751">
          <cell r="A751">
            <v>41000</v>
          </cell>
        </row>
        <row r="752">
          <cell r="A752">
            <v>41030</v>
          </cell>
        </row>
        <row r="753">
          <cell r="A753">
            <v>41061</v>
          </cell>
        </row>
        <row r="754">
          <cell r="A754">
            <v>41091</v>
          </cell>
        </row>
        <row r="755">
          <cell r="A755">
            <v>41122</v>
          </cell>
        </row>
        <row r="756">
          <cell r="A756">
            <v>41153</v>
          </cell>
        </row>
        <row r="757">
          <cell r="A757">
            <v>41183</v>
          </cell>
        </row>
        <row r="758">
          <cell r="A758">
            <v>41214</v>
          </cell>
        </row>
        <row r="759">
          <cell r="A759">
            <v>41244</v>
          </cell>
        </row>
        <row r="760">
          <cell r="A760">
            <v>41275</v>
          </cell>
        </row>
        <row r="761">
          <cell r="A761">
            <v>41306</v>
          </cell>
        </row>
        <row r="762">
          <cell r="A762">
            <v>41334</v>
          </cell>
        </row>
        <row r="763">
          <cell r="A763">
            <v>41365</v>
          </cell>
        </row>
        <row r="764">
          <cell r="A764">
            <v>41395</v>
          </cell>
        </row>
        <row r="765">
          <cell r="A765">
            <v>41426</v>
          </cell>
        </row>
        <row r="766">
          <cell r="A766">
            <v>41456</v>
          </cell>
        </row>
        <row r="767">
          <cell r="A767">
            <v>41487</v>
          </cell>
        </row>
        <row r="768">
          <cell r="A768">
            <v>41518</v>
          </cell>
        </row>
        <row r="769">
          <cell r="A769">
            <v>41548</v>
          </cell>
        </row>
        <row r="770">
          <cell r="A770">
            <v>41579</v>
          </cell>
        </row>
        <row r="771">
          <cell r="A771">
            <v>41609</v>
          </cell>
        </row>
        <row r="772">
          <cell r="A772">
            <v>41640</v>
          </cell>
        </row>
        <row r="773">
          <cell r="A773">
            <v>41671</v>
          </cell>
        </row>
        <row r="774">
          <cell r="A774">
            <v>41699</v>
          </cell>
        </row>
        <row r="775">
          <cell r="A775">
            <v>41730</v>
          </cell>
        </row>
        <row r="776">
          <cell r="A776">
            <v>41760</v>
          </cell>
        </row>
        <row r="777">
          <cell r="A777">
            <v>41791</v>
          </cell>
        </row>
        <row r="778">
          <cell r="A778">
            <v>41821</v>
          </cell>
        </row>
        <row r="779">
          <cell r="A779">
            <v>41852</v>
          </cell>
        </row>
        <row r="780">
          <cell r="A780">
            <v>41883</v>
          </cell>
        </row>
        <row r="781">
          <cell r="A781">
            <v>41913</v>
          </cell>
        </row>
        <row r="782">
          <cell r="A782">
            <v>41944</v>
          </cell>
        </row>
        <row r="783">
          <cell r="A783">
            <v>41974</v>
          </cell>
        </row>
        <row r="784">
          <cell r="A784">
            <v>42005</v>
          </cell>
        </row>
        <row r="785">
          <cell r="A785">
            <v>42036</v>
          </cell>
        </row>
        <row r="786">
          <cell r="A786">
            <v>42064</v>
          </cell>
        </row>
        <row r="787">
          <cell r="A787">
            <v>42095</v>
          </cell>
        </row>
        <row r="788">
          <cell r="A788">
            <v>42125</v>
          </cell>
        </row>
        <row r="789">
          <cell r="A789">
            <v>42156</v>
          </cell>
        </row>
        <row r="790">
          <cell r="A790">
            <v>42186</v>
          </cell>
        </row>
        <row r="791">
          <cell r="A791">
            <v>42217</v>
          </cell>
        </row>
        <row r="792">
          <cell r="A792">
            <v>42248</v>
          </cell>
        </row>
        <row r="793">
          <cell r="A793">
            <v>42278</v>
          </cell>
        </row>
        <row r="794">
          <cell r="A794">
            <v>42309</v>
          </cell>
        </row>
        <row r="795">
          <cell r="A795">
            <v>42339</v>
          </cell>
        </row>
        <row r="796">
          <cell r="A796">
            <v>42370</v>
          </cell>
        </row>
        <row r="797">
          <cell r="A797">
            <v>42401</v>
          </cell>
        </row>
        <row r="798">
          <cell r="A798">
            <v>42430</v>
          </cell>
        </row>
        <row r="799">
          <cell r="A799">
            <v>42461</v>
          </cell>
        </row>
        <row r="800">
          <cell r="A800">
            <v>42491</v>
          </cell>
        </row>
        <row r="801">
          <cell r="A801">
            <v>42522</v>
          </cell>
        </row>
        <row r="802">
          <cell r="A802">
            <v>42552</v>
          </cell>
        </row>
        <row r="803">
          <cell r="A803">
            <v>42583</v>
          </cell>
        </row>
        <row r="804">
          <cell r="A804">
            <v>42614</v>
          </cell>
        </row>
        <row r="805">
          <cell r="A805">
            <v>42644</v>
          </cell>
        </row>
        <row r="806">
          <cell r="A806">
            <v>42675</v>
          </cell>
        </row>
        <row r="807">
          <cell r="A807">
            <v>42705</v>
          </cell>
        </row>
        <row r="808">
          <cell r="A808">
            <v>42736</v>
          </cell>
        </row>
        <row r="809">
          <cell r="A809">
            <v>42767</v>
          </cell>
        </row>
        <row r="810">
          <cell r="A810">
            <v>42795</v>
          </cell>
        </row>
        <row r="811">
          <cell r="A811">
            <v>42826</v>
          </cell>
        </row>
        <row r="812">
          <cell r="A812">
            <v>42856</v>
          </cell>
        </row>
        <row r="813">
          <cell r="A813">
            <v>42887</v>
          </cell>
        </row>
        <row r="814">
          <cell r="A814">
            <v>42917</v>
          </cell>
        </row>
        <row r="815">
          <cell r="A815">
            <v>42948</v>
          </cell>
        </row>
        <row r="816">
          <cell r="A816">
            <v>42979</v>
          </cell>
        </row>
        <row r="817">
          <cell r="A817">
            <v>43009</v>
          </cell>
        </row>
        <row r="818">
          <cell r="A818">
            <v>43040</v>
          </cell>
        </row>
        <row r="819">
          <cell r="A819">
            <v>43070</v>
          </cell>
        </row>
        <row r="820">
          <cell r="A820">
            <v>43101</v>
          </cell>
        </row>
        <row r="821">
          <cell r="A821">
            <v>43132</v>
          </cell>
        </row>
        <row r="822">
          <cell r="A822">
            <v>43160</v>
          </cell>
        </row>
        <row r="823">
          <cell r="A823">
            <v>43191</v>
          </cell>
        </row>
        <row r="824">
          <cell r="A824">
            <v>43221</v>
          </cell>
        </row>
        <row r="825">
          <cell r="A825">
            <v>43252</v>
          </cell>
        </row>
        <row r="826">
          <cell r="A826">
            <v>43282</v>
          </cell>
        </row>
        <row r="827">
          <cell r="A827">
            <v>43313</v>
          </cell>
        </row>
        <row r="828">
          <cell r="A828">
            <v>43344</v>
          </cell>
        </row>
        <row r="829">
          <cell r="A829">
            <v>43374</v>
          </cell>
        </row>
        <row r="830">
          <cell r="A830">
            <v>43405</v>
          </cell>
        </row>
        <row r="831">
          <cell r="A831">
            <v>43435</v>
          </cell>
        </row>
        <row r="832">
          <cell r="A832">
            <v>43466</v>
          </cell>
        </row>
        <row r="833">
          <cell r="A833">
            <v>43497</v>
          </cell>
        </row>
        <row r="834">
          <cell r="A834">
            <v>43525</v>
          </cell>
        </row>
        <row r="835">
          <cell r="A835">
            <v>43556</v>
          </cell>
        </row>
        <row r="836">
          <cell r="A836">
            <v>43567</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3">
          <a:schemeClr val="dk1"/>
        </a:lnRef>
        <a:fillRef idx="0">
          <a:schemeClr val="dk1"/>
        </a:fillRef>
        <a:effectRef idx="2">
          <a:schemeClr val="dk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45E1C-F740-BF47-BCCC-0C69F661FC83}">
  <dimension ref="A1:BL845"/>
  <sheetViews>
    <sheetView zoomScale="59" zoomScaleNormal="75" workbookViewId="0">
      <selection activeCell="AC758" sqref="AC758"/>
    </sheetView>
  </sheetViews>
  <sheetFormatPr baseColWidth="10" defaultRowHeight="16"/>
  <cols>
    <col min="1" max="1" width="11.5" customWidth="1"/>
    <col min="3" max="3" width="17.83203125" customWidth="1"/>
    <col min="4" max="4" width="26" customWidth="1"/>
    <col min="5" max="5" width="16.6640625" customWidth="1"/>
    <col min="6" max="6" width="16.33203125" customWidth="1"/>
    <col min="7" max="7" width="17.5" customWidth="1"/>
    <col min="8" max="9" width="17.1640625" customWidth="1"/>
    <col min="10" max="10" width="20.1640625" customWidth="1"/>
    <col min="11" max="12" width="20.6640625" customWidth="1"/>
    <col min="13" max="13" width="17.1640625" customWidth="1"/>
    <col min="23" max="23" width="11.33203125" customWidth="1"/>
    <col min="24" max="24" width="11.83203125" customWidth="1"/>
    <col min="25" max="26" width="10.83203125" style="4"/>
    <col min="28" max="28" width="11" customWidth="1"/>
    <col min="41" max="41" width="6.83203125" customWidth="1"/>
    <col min="42" max="42" width="14" customWidth="1"/>
  </cols>
  <sheetData>
    <row r="1" spans="1:64">
      <c r="A1" t="s">
        <v>0</v>
      </c>
      <c r="B1" t="s">
        <v>1</v>
      </c>
      <c r="C1" s="5" t="s">
        <v>27</v>
      </c>
      <c r="D1" s="5" t="s">
        <v>2</v>
      </c>
      <c r="E1" s="5" t="s">
        <v>26</v>
      </c>
      <c r="F1" s="5" t="s">
        <v>21</v>
      </c>
      <c r="G1" s="5" t="s">
        <v>22</v>
      </c>
      <c r="H1" s="6" t="s">
        <v>7</v>
      </c>
      <c r="I1" s="6" t="s">
        <v>8</v>
      </c>
      <c r="J1" s="6" t="s">
        <v>25</v>
      </c>
      <c r="K1" s="6" t="s">
        <v>24</v>
      </c>
      <c r="L1" s="6" t="s">
        <v>23</v>
      </c>
      <c r="W1" t="s">
        <v>0</v>
      </c>
      <c r="X1" t="s">
        <v>3</v>
      </c>
      <c r="Y1" s="4" t="s">
        <v>4</v>
      </c>
      <c r="Z1" s="4" t="s">
        <v>5</v>
      </c>
      <c r="AA1" t="s">
        <v>1</v>
      </c>
      <c r="AB1" t="s">
        <v>6</v>
      </c>
      <c r="AP1" s="74" t="s">
        <v>9</v>
      </c>
      <c r="AQ1" s="76" t="s">
        <v>10</v>
      </c>
      <c r="AR1" s="71"/>
      <c r="AS1" s="76" t="s">
        <v>11</v>
      </c>
      <c r="AT1" s="71"/>
      <c r="AU1" s="76" t="s">
        <v>12</v>
      </c>
      <c r="AV1" s="70"/>
      <c r="AW1" s="76" t="s">
        <v>13</v>
      </c>
      <c r="AX1" s="71"/>
      <c r="AY1" s="76" t="s">
        <v>14</v>
      </c>
      <c r="AZ1" s="71"/>
      <c r="BA1" s="76" t="s">
        <v>15</v>
      </c>
      <c r="BB1" s="71"/>
      <c r="BC1" s="78" t="s">
        <v>16</v>
      </c>
      <c r="BD1" s="78"/>
      <c r="BE1" s="76" t="s">
        <v>17</v>
      </c>
      <c r="BF1" s="71"/>
      <c r="BG1" s="76" t="s">
        <v>18</v>
      </c>
      <c r="BH1" s="71"/>
      <c r="BI1" s="76" t="s">
        <v>19</v>
      </c>
      <c r="BJ1" s="71"/>
      <c r="BK1" s="70" t="s">
        <v>20</v>
      </c>
      <c r="BL1" s="71"/>
    </row>
    <row r="2" spans="1:64">
      <c r="A2" s="1">
        <v>18264</v>
      </c>
      <c r="W2" s="1">
        <v>18264</v>
      </c>
      <c r="X2">
        <v>17.049999</v>
      </c>
      <c r="AP2" s="75"/>
      <c r="AQ2" s="77"/>
      <c r="AR2" s="73"/>
      <c r="AS2" s="77"/>
      <c r="AT2" s="73"/>
      <c r="AU2" s="77"/>
      <c r="AV2" s="72"/>
      <c r="AW2" s="77"/>
      <c r="AX2" s="73"/>
      <c r="AY2" s="77"/>
      <c r="AZ2" s="73"/>
      <c r="BA2" s="77"/>
      <c r="BB2" s="73"/>
      <c r="BC2" s="78"/>
      <c r="BD2" s="78"/>
      <c r="BE2" s="77"/>
      <c r="BF2" s="73"/>
      <c r="BG2" s="77"/>
      <c r="BH2" s="73"/>
      <c r="BI2" s="77"/>
      <c r="BJ2" s="73"/>
      <c r="BK2" s="72"/>
      <c r="BL2" s="73"/>
    </row>
    <row r="3" spans="1:64">
      <c r="A3" s="1">
        <v>18295</v>
      </c>
      <c r="B3">
        <v>59.1</v>
      </c>
      <c r="C3">
        <v>62.3</v>
      </c>
      <c r="D3">
        <v>57.7</v>
      </c>
      <c r="E3">
        <v>64.3</v>
      </c>
      <c r="F3">
        <v>56.3</v>
      </c>
      <c r="G3">
        <v>43.6</v>
      </c>
      <c r="I3">
        <v>62.4</v>
      </c>
      <c r="W3" s="1">
        <v>18295</v>
      </c>
      <c r="X3">
        <v>17.219999000000001</v>
      </c>
      <c r="Y3" s="4">
        <f>(X3-X2)/X2</f>
        <v>9.9706750715939461E-3</v>
      </c>
      <c r="AA3">
        <v>59.1</v>
      </c>
      <c r="AP3" s="3">
        <v>18264</v>
      </c>
      <c r="AQ3" s="2"/>
      <c r="AR3" s="7"/>
    </row>
    <row r="4" spans="1:64">
      <c r="A4" s="1">
        <v>18323</v>
      </c>
      <c r="B4">
        <v>60.5</v>
      </c>
      <c r="C4">
        <v>62.5</v>
      </c>
      <c r="D4">
        <v>51.1</v>
      </c>
      <c r="E4">
        <v>66.7</v>
      </c>
      <c r="F4">
        <v>68</v>
      </c>
      <c r="G4">
        <v>46.4</v>
      </c>
      <c r="I4">
        <v>70.900000000000006</v>
      </c>
      <c r="W4" s="1">
        <v>18323</v>
      </c>
      <c r="X4">
        <v>17.290001</v>
      </c>
      <c r="Y4" s="4">
        <f t="shared" ref="Y4:Y67" si="0">(X4-X3)/X3</f>
        <v>4.0651570304968531E-3</v>
      </c>
      <c r="AA4">
        <v>60.5</v>
      </c>
      <c r="AP4" s="3">
        <v>18295</v>
      </c>
      <c r="AQ4" s="2">
        <v>59.1</v>
      </c>
      <c r="AR4" s="8" t="str">
        <f t="shared" ref="AR4:AR12" si="1">IF(OR(AQ4&gt;AQ3,AQ4=AQ3),"+","-")</f>
        <v>+</v>
      </c>
      <c r="AS4" s="2">
        <v>62.3</v>
      </c>
      <c r="AT4" s="7"/>
      <c r="AU4" s="2">
        <v>64.3</v>
      </c>
      <c r="AV4" s="7"/>
      <c r="AW4" s="2">
        <v>57.7</v>
      </c>
      <c r="AX4" s="7"/>
      <c r="AY4" s="2">
        <v>56.3</v>
      </c>
      <c r="AZ4" s="7"/>
      <c r="BA4" s="2">
        <v>43.6</v>
      </c>
      <c r="BB4" s="7"/>
      <c r="BC4" s="2"/>
      <c r="BD4" s="7"/>
      <c r="BE4" s="2">
        <v>62.4</v>
      </c>
      <c r="BF4" s="7"/>
      <c r="BG4" s="2"/>
      <c r="BH4" s="7"/>
      <c r="BI4" s="2"/>
      <c r="BJ4" s="7"/>
      <c r="BK4" s="2"/>
      <c r="BL4" s="7"/>
    </row>
    <row r="5" spans="1:64">
      <c r="A5" s="1">
        <v>18354</v>
      </c>
      <c r="B5">
        <v>62.1</v>
      </c>
      <c r="C5">
        <v>61.8</v>
      </c>
      <c r="D5">
        <v>56.9</v>
      </c>
      <c r="E5">
        <v>65.8</v>
      </c>
      <c r="F5">
        <v>72</v>
      </c>
      <c r="G5">
        <v>48.8</v>
      </c>
      <c r="I5">
        <v>77</v>
      </c>
      <c r="W5" s="1">
        <v>18354</v>
      </c>
      <c r="X5">
        <v>18.07</v>
      </c>
      <c r="Y5" s="4">
        <f t="shared" si="0"/>
        <v>4.5112721508807324E-2</v>
      </c>
      <c r="AA5">
        <v>62.1</v>
      </c>
      <c r="AP5" s="3">
        <v>18323</v>
      </c>
      <c r="AQ5" s="2">
        <v>60.5</v>
      </c>
      <c r="AR5" s="8" t="str">
        <f t="shared" si="1"/>
        <v>+</v>
      </c>
      <c r="AS5" s="2">
        <v>62.5</v>
      </c>
      <c r="AT5" s="8" t="str">
        <f t="shared" ref="AT5:AT13" si="2">IF(OR(AS5&gt;AS4,AS5=AS4),"+","-")</f>
        <v>+</v>
      </c>
      <c r="AU5" s="2">
        <v>66.7</v>
      </c>
      <c r="AV5" s="8" t="str">
        <f t="shared" ref="AV5:AV13" si="3">IF(OR(AU5&gt;AU4,AU5=AU4),"+","-")</f>
        <v>+</v>
      </c>
      <c r="AW5" s="2">
        <v>51.1</v>
      </c>
      <c r="AX5" s="8" t="str">
        <f t="shared" ref="AX5:AX15" si="4">IF(OR(AW5&gt;AW4,AW5=AW4),"+","-")</f>
        <v>-</v>
      </c>
      <c r="AY5" s="2">
        <v>68</v>
      </c>
      <c r="AZ5" s="8" t="str">
        <f t="shared" ref="AZ5:AZ13" si="5">IF(OR(AY5&gt;AY4,AY5=AY4),"+","-")</f>
        <v>+</v>
      </c>
      <c r="BA5" s="2">
        <v>46.4</v>
      </c>
      <c r="BB5" s="8" t="str">
        <f t="shared" ref="BB5:BB13" si="6">IF(OR(BA5&gt;BA4,BA5=BA4),"+","-")</f>
        <v>+</v>
      </c>
      <c r="BC5" s="2"/>
      <c r="BD5" s="8" t="str">
        <f t="shared" ref="BD5:BD13" si="7">IF(OR(BC5&gt;BC4,BC5=BC4),"+","-")</f>
        <v>+</v>
      </c>
      <c r="BE5" s="2">
        <v>70.900000000000006</v>
      </c>
      <c r="BF5" s="8" t="str">
        <f>IF(OR(BE5&gt;BE4,BE5=BE4),"+","-")</f>
        <v>+</v>
      </c>
      <c r="BG5" s="2"/>
      <c r="BH5" s="8" t="str">
        <f t="shared" ref="BH5:BH13" si="8">IF(OR(BG5&gt;BG4,BG5=BG4),"+","-")</f>
        <v>+</v>
      </c>
      <c r="BI5" s="2"/>
      <c r="BJ5" s="8" t="str">
        <f t="shared" ref="BJ5:BJ13" si="9">IF(OR(BI5&gt;BI4,BI5=BI4),"+","-")</f>
        <v>+</v>
      </c>
      <c r="BK5" s="2"/>
      <c r="BL5" s="8" t="str">
        <f t="shared" ref="BL5:BL13" si="10">IF(OR(BK5&gt;BK4,BK5=BK4),"+","-")</f>
        <v>+</v>
      </c>
    </row>
    <row r="6" spans="1:64">
      <c r="A6" s="1">
        <v>18384</v>
      </c>
      <c r="B6">
        <v>68.099999999999994</v>
      </c>
      <c r="C6">
        <v>71</v>
      </c>
      <c r="D6">
        <v>63.4</v>
      </c>
      <c r="E6">
        <v>74.8</v>
      </c>
      <c r="F6">
        <v>68.8</v>
      </c>
      <c r="G6">
        <v>50.6</v>
      </c>
      <c r="I6">
        <v>80.2</v>
      </c>
      <c r="W6" s="1">
        <v>18384</v>
      </c>
      <c r="X6">
        <v>18.780000999999999</v>
      </c>
      <c r="Y6" s="4">
        <f t="shared" si="0"/>
        <v>3.9291698948533391E-2</v>
      </c>
      <c r="AA6">
        <v>68.099999999999994</v>
      </c>
      <c r="AP6" s="3">
        <v>18354</v>
      </c>
      <c r="AQ6" s="2">
        <v>62.1</v>
      </c>
      <c r="AR6" s="8" t="str">
        <f t="shared" si="1"/>
        <v>+</v>
      </c>
      <c r="AS6" s="2">
        <v>61.8</v>
      </c>
      <c r="AT6" s="8" t="str">
        <f t="shared" si="2"/>
        <v>-</v>
      </c>
      <c r="AU6" s="2">
        <v>65.8</v>
      </c>
      <c r="AV6" s="8" t="str">
        <f t="shared" si="3"/>
        <v>-</v>
      </c>
      <c r="AW6" s="2">
        <v>56.9</v>
      </c>
      <c r="AX6" s="8" t="str">
        <f t="shared" si="4"/>
        <v>+</v>
      </c>
      <c r="AY6" s="2">
        <v>72</v>
      </c>
      <c r="AZ6" s="8" t="str">
        <f t="shared" si="5"/>
        <v>+</v>
      </c>
      <c r="BA6" s="2">
        <v>48.8</v>
      </c>
      <c r="BB6" s="8" t="str">
        <f t="shared" si="6"/>
        <v>+</v>
      </c>
      <c r="BC6" s="2"/>
      <c r="BD6" s="8" t="str">
        <f t="shared" si="7"/>
        <v>+</v>
      </c>
      <c r="BE6" s="2">
        <v>77</v>
      </c>
      <c r="BF6" s="8" t="str">
        <f t="shared" ref="BF6:BF69" si="11">IF(OR(BE6&gt;BE5,BE6=BE5),"+","-")</f>
        <v>+</v>
      </c>
      <c r="BG6" s="2"/>
      <c r="BH6" s="8" t="str">
        <f t="shared" si="8"/>
        <v>+</v>
      </c>
      <c r="BI6" s="2"/>
      <c r="BJ6" s="8" t="str">
        <f t="shared" si="9"/>
        <v>+</v>
      </c>
      <c r="BK6" s="2"/>
      <c r="BL6" s="8" t="str">
        <f t="shared" si="10"/>
        <v>+</v>
      </c>
    </row>
    <row r="7" spans="1:64">
      <c r="A7" s="1">
        <v>18415</v>
      </c>
      <c r="B7">
        <v>74.7</v>
      </c>
      <c r="C7">
        <v>76.599999999999994</v>
      </c>
      <c r="D7">
        <v>69.8</v>
      </c>
      <c r="E7">
        <v>78.099999999999994</v>
      </c>
      <c r="F7">
        <v>82.9</v>
      </c>
      <c r="G7">
        <v>58.2</v>
      </c>
      <c r="I7">
        <v>98.2</v>
      </c>
      <c r="W7" s="1">
        <v>18415</v>
      </c>
      <c r="X7">
        <v>17.690000999999999</v>
      </c>
      <c r="Y7" s="4">
        <f t="shared" si="0"/>
        <v>-5.8040465493052952E-2</v>
      </c>
      <c r="AA7">
        <v>74.7</v>
      </c>
      <c r="AP7" s="3">
        <v>18384</v>
      </c>
      <c r="AQ7" s="2">
        <v>68.099999999999994</v>
      </c>
      <c r="AR7" s="8" t="str">
        <f t="shared" si="1"/>
        <v>+</v>
      </c>
      <c r="AS7" s="2">
        <v>71</v>
      </c>
      <c r="AT7" s="8" t="str">
        <f t="shared" si="2"/>
        <v>+</v>
      </c>
      <c r="AU7" s="2">
        <v>74.8</v>
      </c>
      <c r="AV7" s="8" t="str">
        <f t="shared" si="3"/>
        <v>+</v>
      </c>
      <c r="AW7" s="2">
        <v>63.4</v>
      </c>
      <c r="AX7" s="8" t="str">
        <f t="shared" si="4"/>
        <v>+</v>
      </c>
      <c r="AY7" s="2">
        <v>68.8</v>
      </c>
      <c r="AZ7" s="8" t="str">
        <f t="shared" si="5"/>
        <v>-</v>
      </c>
      <c r="BA7" s="2">
        <v>50.6</v>
      </c>
      <c r="BB7" s="8" t="str">
        <f t="shared" si="6"/>
        <v>+</v>
      </c>
      <c r="BC7" s="2"/>
      <c r="BD7" s="8" t="str">
        <f t="shared" si="7"/>
        <v>+</v>
      </c>
      <c r="BE7" s="2">
        <v>80.2</v>
      </c>
      <c r="BF7" s="8" t="str">
        <f t="shared" si="11"/>
        <v>+</v>
      </c>
      <c r="BG7" s="2"/>
      <c r="BH7" s="8" t="str">
        <f t="shared" si="8"/>
        <v>+</v>
      </c>
      <c r="BI7" s="2"/>
      <c r="BJ7" s="8" t="str">
        <f t="shared" si="9"/>
        <v>+</v>
      </c>
      <c r="BK7" s="2"/>
      <c r="BL7" s="8" t="str">
        <f t="shared" si="10"/>
        <v>+</v>
      </c>
    </row>
    <row r="8" spans="1:64">
      <c r="A8" s="1">
        <v>18445</v>
      </c>
      <c r="B8">
        <v>76.599999999999994</v>
      </c>
      <c r="C8">
        <v>82.6</v>
      </c>
      <c r="D8">
        <v>71.900000000000006</v>
      </c>
      <c r="E8">
        <v>79.099999999999994</v>
      </c>
      <c r="F8">
        <v>76.5</v>
      </c>
      <c r="G8">
        <v>62.1</v>
      </c>
      <c r="I8">
        <v>100</v>
      </c>
      <c r="W8" s="1">
        <v>18445</v>
      </c>
      <c r="X8">
        <v>17.84</v>
      </c>
      <c r="Y8" s="4">
        <f t="shared" si="0"/>
        <v>8.4793098654997873E-3</v>
      </c>
      <c r="AA8">
        <v>76.599999999999994</v>
      </c>
      <c r="AP8" s="3">
        <v>18415</v>
      </c>
      <c r="AQ8" s="2">
        <v>74.7</v>
      </c>
      <c r="AR8" s="8" t="str">
        <f t="shared" si="1"/>
        <v>+</v>
      </c>
      <c r="AS8" s="2">
        <v>76.599999999999994</v>
      </c>
      <c r="AT8" s="8" t="str">
        <f t="shared" si="2"/>
        <v>+</v>
      </c>
      <c r="AU8" s="2">
        <v>78.099999999999994</v>
      </c>
      <c r="AV8" s="8" t="str">
        <f t="shared" si="3"/>
        <v>+</v>
      </c>
      <c r="AW8" s="2">
        <v>69.8</v>
      </c>
      <c r="AX8" s="8" t="str">
        <f t="shared" si="4"/>
        <v>+</v>
      </c>
      <c r="AY8" s="2">
        <v>82.9</v>
      </c>
      <c r="AZ8" s="8" t="str">
        <f t="shared" si="5"/>
        <v>+</v>
      </c>
      <c r="BA8" s="2">
        <v>58.2</v>
      </c>
      <c r="BB8" s="8" t="str">
        <f t="shared" si="6"/>
        <v>+</v>
      </c>
      <c r="BC8" s="2"/>
      <c r="BD8" s="8" t="str">
        <f t="shared" si="7"/>
        <v>+</v>
      </c>
      <c r="BE8" s="2">
        <v>98.2</v>
      </c>
      <c r="BF8" s="8" t="str">
        <f t="shared" si="11"/>
        <v>+</v>
      </c>
      <c r="BG8" s="2"/>
      <c r="BH8" s="8" t="str">
        <f t="shared" si="8"/>
        <v>+</v>
      </c>
      <c r="BI8" s="2"/>
      <c r="BJ8" s="8" t="str">
        <f t="shared" si="9"/>
        <v>+</v>
      </c>
      <c r="BK8" s="2"/>
      <c r="BL8" s="8" t="str">
        <f t="shared" si="10"/>
        <v>+</v>
      </c>
    </row>
    <row r="9" spans="1:64">
      <c r="A9" s="1">
        <v>18476</v>
      </c>
      <c r="B9">
        <v>77.5</v>
      </c>
      <c r="C9">
        <v>80.3</v>
      </c>
      <c r="D9">
        <v>72.5</v>
      </c>
      <c r="E9">
        <v>77.099999999999994</v>
      </c>
      <c r="F9">
        <v>89.4</v>
      </c>
      <c r="G9">
        <v>62.7</v>
      </c>
      <c r="I9">
        <v>90.7</v>
      </c>
      <c r="W9" s="1">
        <v>18476</v>
      </c>
      <c r="X9">
        <v>18.420000000000002</v>
      </c>
      <c r="Y9" s="4">
        <f t="shared" si="0"/>
        <v>3.2511210762331939E-2</v>
      </c>
      <c r="AA9">
        <v>77.5</v>
      </c>
      <c r="AP9" s="3">
        <v>18445</v>
      </c>
      <c r="AQ9" s="2">
        <v>76.599999999999994</v>
      </c>
      <c r="AR9" s="8" t="str">
        <f t="shared" si="1"/>
        <v>+</v>
      </c>
      <c r="AS9" s="2">
        <v>82.6</v>
      </c>
      <c r="AT9" s="8" t="str">
        <f t="shared" si="2"/>
        <v>+</v>
      </c>
      <c r="AU9" s="2">
        <v>79.099999999999994</v>
      </c>
      <c r="AV9" s="8" t="str">
        <f t="shared" si="3"/>
        <v>+</v>
      </c>
      <c r="AW9" s="2">
        <v>71.900000000000006</v>
      </c>
      <c r="AX9" s="8" t="str">
        <f t="shared" si="4"/>
        <v>+</v>
      </c>
      <c r="AY9" s="2">
        <v>76.5</v>
      </c>
      <c r="AZ9" s="8" t="str">
        <f t="shared" si="5"/>
        <v>-</v>
      </c>
      <c r="BA9" s="2">
        <v>62.1</v>
      </c>
      <c r="BB9" s="8" t="str">
        <f t="shared" si="6"/>
        <v>+</v>
      </c>
      <c r="BC9" s="2"/>
      <c r="BD9" s="8" t="str">
        <f t="shared" si="7"/>
        <v>+</v>
      </c>
      <c r="BE9" s="2">
        <v>100</v>
      </c>
      <c r="BF9" s="8" t="str">
        <f t="shared" si="11"/>
        <v>+</v>
      </c>
      <c r="BG9" s="2"/>
      <c r="BH9" s="8" t="str">
        <f t="shared" si="8"/>
        <v>+</v>
      </c>
      <c r="BI9" s="2"/>
      <c r="BJ9" s="8" t="str">
        <f t="shared" si="9"/>
        <v>+</v>
      </c>
      <c r="BK9" s="2"/>
      <c r="BL9" s="8" t="str">
        <f t="shared" si="10"/>
        <v>+</v>
      </c>
    </row>
    <row r="10" spans="1:64">
      <c r="A10" s="1">
        <v>18507</v>
      </c>
      <c r="B10">
        <v>75.8</v>
      </c>
      <c r="C10">
        <v>77.099999999999994</v>
      </c>
      <c r="D10">
        <v>72.3</v>
      </c>
      <c r="E10">
        <v>78.7</v>
      </c>
      <c r="F10">
        <v>81.7</v>
      </c>
      <c r="G10">
        <v>62.3</v>
      </c>
      <c r="I10">
        <v>84.8</v>
      </c>
      <c r="W10" s="1">
        <v>18507</v>
      </c>
      <c r="X10">
        <v>19.450001</v>
      </c>
      <c r="Y10" s="4">
        <f t="shared" si="0"/>
        <v>5.5917535287730649E-2</v>
      </c>
      <c r="AA10">
        <v>75.8</v>
      </c>
      <c r="AP10" s="3">
        <v>18476</v>
      </c>
      <c r="AQ10" s="2">
        <v>77.5</v>
      </c>
      <c r="AR10" s="8" t="str">
        <f t="shared" si="1"/>
        <v>+</v>
      </c>
      <c r="AS10" s="2">
        <v>80.3</v>
      </c>
      <c r="AT10" s="8" t="str">
        <f t="shared" si="2"/>
        <v>-</v>
      </c>
      <c r="AU10" s="2">
        <v>77.099999999999994</v>
      </c>
      <c r="AV10" s="8" t="str">
        <f t="shared" si="3"/>
        <v>-</v>
      </c>
      <c r="AW10" s="2">
        <v>72.5</v>
      </c>
      <c r="AX10" s="8" t="str">
        <f t="shared" si="4"/>
        <v>+</v>
      </c>
      <c r="AY10" s="2">
        <v>89.4</v>
      </c>
      <c r="AZ10" s="8" t="str">
        <f t="shared" si="5"/>
        <v>+</v>
      </c>
      <c r="BA10" s="2">
        <v>62.7</v>
      </c>
      <c r="BB10" s="8" t="str">
        <f t="shared" si="6"/>
        <v>+</v>
      </c>
      <c r="BC10" s="2"/>
      <c r="BD10" s="8" t="str">
        <f t="shared" si="7"/>
        <v>+</v>
      </c>
      <c r="BE10" s="2">
        <v>90.7</v>
      </c>
      <c r="BF10" s="8" t="str">
        <f t="shared" si="11"/>
        <v>-</v>
      </c>
      <c r="BG10" s="2"/>
      <c r="BH10" s="8" t="str">
        <f t="shared" si="8"/>
        <v>+</v>
      </c>
      <c r="BI10" s="2"/>
      <c r="BJ10" s="8" t="str">
        <f t="shared" si="9"/>
        <v>+</v>
      </c>
      <c r="BK10" s="2"/>
      <c r="BL10" s="8" t="str">
        <f t="shared" si="10"/>
        <v>+</v>
      </c>
    </row>
    <row r="11" spans="1:64">
      <c r="A11" s="1">
        <v>18537</v>
      </c>
      <c r="B11">
        <v>68.099999999999994</v>
      </c>
      <c r="C11">
        <v>66.400000000000006</v>
      </c>
      <c r="D11">
        <v>72.2</v>
      </c>
      <c r="E11">
        <v>68.599999999999994</v>
      </c>
      <c r="F11">
        <v>73.7</v>
      </c>
      <c r="G11">
        <v>55.2</v>
      </c>
      <c r="I11">
        <v>84.4</v>
      </c>
      <c r="W11" s="1">
        <v>18537</v>
      </c>
      <c r="X11">
        <v>19.530000999999999</v>
      </c>
      <c r="Y11" s="4">
        <f t="shared" si="0"/>
        <v>4.113110328374703E-3</v>
      </c>
      <c r="AA11">
        <v>68.099999999999994</v>
      </c>
      <c r="AP11" s="3">
        <v>18507</v>
      </c>
      <c r="AQ11" s="2">
        <v>75.8</v>
      </c>
      <c r="AR11" s="8" t="str">
        <f t="shared" si="1"/>
        <v>-</v>
      </c>
      <c r="AS11" s="2">
        <v>77.099999999999994</v>
      </c>
      <c r="AT11" s="8" t="str">
        <f t="shared" si="2"/>
        <v>-</v>
      </c>
      <c r="AU11" s="2">
        <v>78.7</v>
      </c>
      <c r="AV11" s="8" t="str">
        <f t="shared" si="3"/>
        <v>+</v>
      </c>
      <c r="AW11" s="2">
        <v>72.3</v>
      </c>
      <c r="AX11" s="8" t="str">
        <f t="shared" si="4"/>
        <v>-</v>
      </c>
      <c r="AY11" s="2">
        <v>81.7</v>
      </c>
      <c r="AZ11" s="8" t="str">
        <f t="shared" si="5"/>
        <v>-</v>
      </c>
      <c r="BA11" s="2">
        <v>62.3</v>
      </c>
      <c r="BB11" s="8" t="str">
        <f t="shared" si="6"/>
        <v>-</v>
      </c>
      <c r="BC11" s="2"/>
      <c r="BD11" s="8" t="str">
        <f t="shared" si="7"/>
        <v>+</v>
      </c>
      <c r="BE11" s="2">
        <v>84.8</v>
      </c>
      <c r="BF11" s="8" t="str">
        <f t="shared" si="11"/>
        <v>-</v>
      </c>
      <c r="BG11" s="2"/>
      <c r="BH11" s="8" t="str">
        <f t="shared" si="8"/>
        <v>+</v>
      </c>
      <c r="BI11" s="2"/>
      <c r="BJ11" s="8" t="str">
        <f t="shared" si="9"/>
        <v>+</v>
      </c>
      <c r="BK11" s="2"/>
      <c r="BL11" s="8" t="str">
        <f t="shared" si="10"/>
        <v>+</v>
      </c>
    </row>
    <row r="12" spans="1:64">
      <c r="A12" s="1">
        <v>18568</v>
      </c>
      <c r="B12">
        <v>59.2</v>
      </c>
      <c r="C12">
        <v>49</v>
      </c>
      <c r="D12">
        <v>65.599999999999994</v>
      </c>
      <c r="E12">
        <v>62.9</v>
      </c>
      <c r="F12">
        <v>70.3</v>
      </c>
      <c r="G12">
        <v>50.6</v>
      </c>
      <c r="I12">
        <v>84.8</v>
      </c>
      <c r="W12" s="1">
        <v>18568</v>
      </c>
      <c r="X12">
        <v>19.510000000000002</v>
      </c>
      <c r="Y12" s="4">
        <f t="shared" si="0"/>
        <v>-1.0241166910333005E-3</v>
      </c>
      <c r="AA12">
        <v>59.2</v>
      </c>
      <c r="AP12" s="3">
        <v>18537</v>
      </c>
      <c r="AQ12" s="2">
        <v>68.099999999999994</v>
      </c>
      <c r="AR12" s="8" t="str">
        <f t="shared" si="1"/>
        <v>-</v>
      </c>
      <c r="AS12" s="2">
        <v>66.400000000000006</v>
      </c>
      <c r="AT12" s="8" t="str">
        <f t="shared" si="2"/>
        <v>-</v>
      </c>
      <c r="AU12" s="2">
        <v>68.599999999999994</v>
      </c>
      <c r="AV12" s="8" t="str">
        <f t="shared" si="3"/>
        <v>-</v>
      </c>
      <c r="AW12" s="2">
        <v>72.2</v>
      </c>
      <c r="AX12" s="8" t="str">
        <f t="shared" si="4"/>
        <v>-</v>
      </c>
      <c r="AY12" s="2">
        <v>73.7</v>
      </c>
      <c r="AZ12" s="8" t="str">
        <f t="shared" si="5"/>
        <v>-</v>
      </c>
      <c r="BA12" s="2">
        <v>55.2</v>
      </c>
      <c r="BB12" s="8" t="str">
        <f t="shared" si="6"/>
        <v>-</v>
      </c>
      <c r="BC12" s="2"/>
      <c r="BD12" s="8" t="str">
        <f t="shared" si="7"/>
        <v>+</v>
      </c>
      <c r="BE12" s="2">
        <v>84.4</v>
      </c>
      <c r="BF12" s="8" t="str">
        <f t="shared" si="11"/>
        <v>-</v>
      </c>
      <c r="BG12" s="2"/>
      <c r="BH12" s="8" t="str">
        <f t="shared" si="8"/>
        <v>+</v>
      </c>
      <c r="BI12" s="2"/>
      <c r="BJ12" s="8" t="str">
        <f t="shared" si="9"/>
        <v>+</v>
      </c>
      <c r="BK12" s="2"/>
      <c r="BL12" s="8" t="str">
        <f t="shared" si="10"/>
        <v>+</v>
      </c>
    </row>
    <row r="13" spans="1:64">
      <c r="A13" s="1">
        <v>18598</v>
      </c>
      <c r="B13">
        <v>63.1</v>
      </c>
      <c r="C13">
        <v>57.2</v>
      </c>
      <c r="D13">
        <v>66.7</v>
      </c>
      <c r="E13">
        <v>63.6</v>
      </c>
      <c r="F13">
        <v>79.099999999999994</v>
      </c>
      <c r="G13">
        <v>48.3</v>
      </c>
      <c r="I13">
        <v>85.1</v>
      </c>
      <c r="W13" s="1">
        <v>18598</v>
      </c>
      <c r="X13">
        <v>20.41</v>
      </c>
      <c r="Y13" s="4">
        <f t="shared" si="0"/>
        <v>4.6130189646335133E-2</v>
      </c>
      <c r="AA13">
        <v>63.1</v>
      </c>
      <c r="AP13" s="3">
        <v>18568</v>
      </c>
      <c r="AQ13" s="2">
        <v>59.2</v>
      </c>
      <c r="AR13" s="8" t="str">
        <f>IF(OR(AQ13&gt;AQ12,AQ13=AQ12),"+","-")</f>
        <v>-</v>
      </c>
      <c r="AS13" s="2">
        <v>49</v>
      </c>
      <c r="AT13" s="8" t="str">
        <f t="shared" si="2"/>
        <v>-</v>
      </c>
      <c r="AU13" s="2">
        <v>62.9</v>
      </c>
      <c r="AV13" s="8" t="str">
        <f t="shared" si="3"/>
        <v>-</v>
      </c>
      <c r="AW13" s="2">
        <v>65.599999999999994</v>
      </c>
      <c r="AX13" s="8" t="str">
        <f t="shared" si="4"/>
        <v>-</v>
      </c>
      <c r="AY13" s="2">
        <v>70.3</v>
      </c>
      <c r="AZ13" s="8" t="str">
        <f t="shared" si="5"/>
        <v>-</v>
      </c>
      <c r="BA13" s="2">
        <v>50.6</v>
      </c>
      <c r="BB13" s="8" t="str">
        <f t="shared" si="6"/>
        <v>-</v>
      </c>
      <c r="BC13" s="2"/>
      <c r="BD13" s="8" t="str">
        <f t="shared" si="7"/>
        <v>+</v>
      </c>
      <c r="BE13" s="2">
        <v>84.8</v>
      </c>
      <c r="BF13" s="8" t="str">
        <f t="shared" si="11"/>
        <v>+</v>
      </c>
      <c r="BG13" s="2"/>
      <c r="BH13" s="8" t="str">
        <f t="shared" si="8"/>
        <v>+</v>
      </c>
      <c r="BI13" s="2"/>
      <c r="BJ13" s="8" t="str">
        <f t="shared" si="9"/>
        <v>+</v>
      </c>
      <c r="BK13" s="2"/>
      <c r="BL13" s="8" t="str">
        <f t="shared" si="10"/>
        <v>+</v>
      </c>
    </row>
    <row r="14" spans="1:64">
      <c r="A14" s="1">
        <v>18629</v>
      </c>
      <c r="B14">
        <v>67.099999999999994</v>
      </c>
      <c r="C14">
        <v>67.7</v>
      </c>
      <c r="D14">
        <v>65.099999999999994</v>
      </c>
      <c r="E14">
        <v>62.5</v>
      </c>
      <c r="F14">
        <v>87.5</v>
      </c>
      <c r="G14">
        <v>49.7</v>
      </c>
      <c r="I14">
        <v>91.1</v>
      </c>
      <c r="W14" s="1">
        <v>18629</v>
      </c>
      <c r="X14">
        <v>21.66</v>
      </c>
      <c r="Y14" s="4">
        <f t="shared" si="0"/>
        <v>6.124448799608035E-2</v>
      </c>
      <c r="Z14" s="4">
        <f>(X14-X2)/X2</f>
        <v>0.27038130618072181</v>
      </c>
      <c r="AA14">
        <v>67.099999999999994</v>
      </c>
      <c r="AP14" s="3">
        <v>18598</v>
      </c>
      <c r="AQ14" s="2">
        <v>63.1</v>
      </c>
      <c r="AR14" s="8" t="str">
        <f>IF(OR(AQ14&gt;AQ13,AQ14=AQ13),"+","-")</f>
        <v>+</v>
      </c>
      <c r="AS14" s="2">
        <v>57.2</v>
      </c>
      <c r="AT14" s="8" t="str">
        <f>IF(OR(AS14&gt;AS13,AS14=AS13),"+","-")</f>
        <v>+</v>
      </c>
      <c r="AU14" s="2">
        <v>63.6</v>
      </c>
      <c r="AV14" s="8" t="str">
        <f>IF(OR(AU14&gt;AU13,AU14=AU13),"+","-")</f>
        <v>+</v>
      </c>
      <c r="AW14" s="2">
        <v>66.7</v>
      </c>
      <c r="AX14" s="8" t="str">
        <f t="shared" si="4"/>
        <v>+</v>
      </c>
      <c r="AY14" s="2">
        <v>79.099999999999994</v>
      </c>
      <c r="AZ14" s="8" t="str">
        <f>IF(OR(AY14&gt;AY13,AY14=AY13),"+","-")</f>
        <v>+</v>
      </c>
      <c r="BA14" s="2">
        <v>48.3</v>
      </c>
      <c r="BB14" s="8" t="str">
        <f>IF(OR(BA14&gt;BA13,BA14=BA13),"+","-")</f>
        <v>-</v>
      </c>
      <c r="BC14" s="2"/>
      <c r="BD14" s="8" t="str">
        <f>IF(OR(BC14&gt;BC13,BC14=BC13),"+","-")</f>
        <v>+</v>
      </c>
      <c r="BE14" s="2">
        <v>85.1</v>
      </c>
      <c r="BF14" s="8" t="str">
        <f t="shared" si="11"/>
        <v>+</v>
      </c>
      <c r="BG14" s="2"/>
      <c r="BH14" s="8" t="str">
        <f>IF(OR(BG14&gt;BG13,BG14=BG13),"+","-")</f>
        <v>+</v>
      </c>
      <c r="BI14" s="2"/>
      <c r="BJ14" s="8" t="str">
        <f>IF(OR(BI14&gt;BI13,BI14=BI13),"+","-")</f>
        <v>+</v>
      </c>
      <c r="BK14" s="2"/>
      <c r="BL14" s="8" t="str">
        <f>IF(OR(BK14&gt;BK13,BK14=BK13),"+","-")</f>
        <v>+</v>
      </c>
    </row>
    <row r="15" spans="1:64">
      <c r="A15" s="1">
        <v>18660</v>
      </c>
      <c r="B15">
        <v>67.8</v>
      </c>
      <c r="C15">
        <v>67.900000000000006</v>
      </c>
      <c r="D15">
        <v>67.8</v>
      </c>
      <c r="E15">
        <v>63</v>
      </c>
      <c r="F15">
        <v>88.7</v>
      </c>
      <c r="G15">
        <v>48</v>
      </c>
      <c r="I15">
        <v>85.1</v>
      </c>
      <c r="W15" s="1">
        <v>18660</v>
      </c>
      <c r="X15">
        <v>21.799999</v>
      </c>
      <c r="Y15" s="4">
        <f t="shared" si="0"/>
        <v>6.463481071098778E-3</v>
      </c>
      <c r="Z15" s="4">
        <f t="shared" ref="Z15:Z78" si="12">(X15-X3)/X3</f>
        <v>0.26596981800057001</v>
      </c>
      <c r="AA15">
        <v>67.8</v>
      </c>
      <c r="AB15">
        <f t="shared" ref="AB15:AB78" si="13">AA3</f>
        <v>59.1</v>
      </c>
      <c r="AP15" s="3">
        <v>18629</v>
      </c>
      <c r="AQ15" s="2">
        <v>67.099999999999994</v>
      </c>
      <c r="AR15" s="8" t="str">
        <f>IF(OR(AQ15&gt;AQ14,AQ15=AQ14),"+","-")</f>
        <v>+</v>
      </c>
      <c r="AS15" s="2">
        <v>67.7</v>
      </c>
      <c r="AT15" s="8" t="str">
        <f>IF(OR(AS15&gt;AS14,AS15=AS14),"+","-")</f>
        <v>+</v>
      </c>
      <c r="AU15" s="2">
        <v>62.5</v>
      </c>
      <c r="AV15" s="8" t="str">
        <f>IF(OR(AU15&gt;AU14,AU15=AU14),"+","-")</f>
        <v>-</v>
      </c>
      <c r="AW15" s="2">
        <v>65.099999999999994</v>
      </c>
      <c r="AX15" s="8" t="str">
        <f t="shared" si="4"/>
        <v>-</v>
      </c>
      <c r="AY15" s="2">
        <v>87.5</v>
      </c>
      <c r="AZ15" s="8" t="str">
        <f>IF(OR(AY15&gt;AY14,AY15=AY14),"+","-")</f>
        <v>+</v>
      </c>
      <c r="BA15" s="2">
        <v>49.7</v>
      </c>
      <c r="BB15" s="8" t="str">
        <f>IF(OR(BA15&gt;BA14,BA15=BA14),"+","-")</f>
        <v>+</v>
      </c>
      <c r="BC15" s="2"/>
      <c r="BD15" s="8" t="str">
        <f>IF(OR(BC15&gt;BC14,BC15=BC14),"+","-")</f>
        <v>+</v>
      </c>
      <c r="BE15" s="2">
        <v>91.1</v>
      </c>
      <c r="BF15" s="8" t="str">
        <f t="shared" si="11"/>
        <v>+</v>
      </c>
      <c r="BG15" s="2"/>
      <c r="BH15" s="8" t="str">
        <f>IF(OR(BG15&gt;BG14,BG15=BG14),"+","-")</f>
        <v>+</v>
      </c>
      <c r="BI15" s="2"/>
      <c r="BJ15" s="8" t="str">
        <f>IF(OR(BI15&gt;BI14,BI15=BI14),"+","-")</f>
        <v>+</v>
      </c>
      <c r="BK15" s="2"/>
      <c r="BL15" s="8" t="str">
        <f>IF(OR(BK15&gt;BK14,BK15=BK14),"+","-")</f>
        <v>+</v>
      </c>
    </row>
    <row r="16" spans="1:64">
      <c r="A16" s="1">
        <v>18688</v>
      </c>
      <c r="B16">
        <v>69.3</v>
      </c>
      <c r="C16">
        <v>70</v>
      </c>
      <c r="D16">
        <v>73.7</v>
      </c>
      <c r="E16">
        <v>61.4</v>
      </c>
      <c r="F16">
        <v>93.3</v>
      </c>
      <c r="G16">
        <v>42.1</v>
      </c>
      <c r="I16">
        <v>86.5</v>
      </c>
      <c r="W16" s="1">
        <v>18688</v>
      </c>
      <c r="X16">
        <v>21.4</v>
      </c>
      <c r="Y16" s="4">
        <f t="shared" si="0"/>
        <v>-1.8348578823329353E-2</v>
      </c>
      <c r="Z16" s="4">
        <f t="shared" si="12"/>
        <v>0.23770958717700469</v>
      </c>
      <c r="AA16">
        <v>69.3</v>
      </c>
      <c r="AB16">
        <f t="shared" si="13"/>
        <v>60.5</v>
      </c>
      <c r="AP16" s="3">
        <v>18660</v>
      </c>
      <c r="AQ16" s="2">
        <v>67.8</v>
      </c>
      <c r="AR16" s="8" t="str">
        <f t="shared" ref="AR16:AR34" si="14">IF(OR(AQ16&gt;AQ15,AQ16=AQ15),"+","-")</f>
        <v>+</v>
      </c>
      <c r="AS16" s="2">
        <v>67.900000000000006</v>
      </c>
      <c r="AT16" s="8" t="str">
        <f>IF(OR(AS16&gt;AS15,AS16=AS15),"+","-")</f>
        <v>+</v>
      </c>
      <c r="AU16" s="2">
        <v>63</v>
      </c>
      <c r="AV16" s="8" t="str">
        <f>IF(OR(AU16&gt;AU15,AU16=AU15),"+","-")</f>
        <v>+</v>
      </c>
      <c r="AW16" s="2">
        <v>67.8</v>
      </c>
      <c r="AX16" s="8" t="str">
        <f>IF(OR(AW16&gt;AW15,AW16=AW15),"+","-")</f>
        <v>+</v>
      </c>
      <c r="AY16" s="2">
        <v>88.7</v>
      </c>
      <c r="AZ16" s="8" t="str">
        <f>IF(OR(AY16&gt;AY15,AY16=AY15),"+","-")</f>
        <v>+</v>
      </c>
      <c r="BA16" s="2">
        <v>48</v>
      </c>
      <c r="BB16" s="8" t="str">
        <f>IF(OR(BA16&gt;BA15,BA16=BA15),"+","-")</f>
        <v>-</v>
      </c>
      <c r="BC16" s="2"/>
      <c r="BD16" s="8" t="str">
        <f>IF(OR(BC16&gt;BC15,BC16=BC15),"+","-")</f>
        <v>+</v>
      </c>
      <c r="BE16" s="2">
        <v>85.1</v>
      </c>
      <c r="BF16" s="8" t="str">
        <f t="shared" si="11"/>
        <v>-</v>
      </c>
      <c r="BG16" s="2"/>
      <c r="BH16" s="8" t="str">
        <f>IF(OR(BG16&gt;BG15,BG16=BG15),"+","-")</f>
        <v>+</v>
      </c>
      <c r="BI16" s="2"/>
      <c r="BJ16" s="8" t="str">
        <f>IF(OR(BI16&gt;BI15,BI16=BI15),"+","-")</f>
        <v>+</v>
      </c>
      <c r="BK16" s="2"/>
      <c r="BL16" s="8" t="str">
        <f>IF(OR(BK16&gt;BK15,BK16=BK15),"+","-")</f>
        <v>+</v>
      </c>
    </row>
    <row r="17" spans="1:64">
      <c r="A17" s="1">
        <v>18719</v>
      </c>
      <c r="B17">
        <v>65.5</v>
      </c>
      <c r="C17">
        <v>61</v>
      </c>
      <c r="D17">
        <v>72</v>
      </c>
      <c r="E17">
        <v>61.2</v>
      </c>
      <c r="F17">
        <v>85.1</v>
      </c>
      <c r="G17">
        <v>47.4</v>
      </c>
      <c r="I17">
        <v>76.599999999999994</v>
      </c>
      <c r="W17" s="1">
        <v>18719</v>
      </c>
      <c r="X17">
        <v>22.43</v>
      </c>
      <c r="Y17" s="4">
        <f t="shared" si="0"/>
        <v>4.8130841121495384E-2</v>
      </c>
      <c r="Z17" s="4">
        <f t="shared" si="12"/>
        <v>0.24128389596015493</v>
      </c>
      <c r="AA17">
        <v>65.5</v>
      </c>
      <c r="AB17">
        <f t="shared" si="13"/>
        <v>62.1</v>
      </c>
      <c r="AP17" s="3">
        <v>18688</v>
      </c>
      <c r="AQ17" s="2">
        <v>69.3</v>
      </c>
      <c r="AR17" s="8" t="str">
        <f t="shared" si="14"/>
        <v>+</v>
      </c>
      <c r="AS17" s="2">
        <v>70</v>
      </c>
      <c r="AT17" s="8" t="str">
        <f t="shared" ref="AT17:AT35" si="15">IF(OR(AS17&gt;AS16,AS17=AS16),"+","-")</f>
        <v>+</v>
      </c>
      <c r="AU17" s="2">
        <v>61.4</v>
      </c>
      <c r="AV17" s="8" t="str">
        <f t="shared" ref="AV17:AV35" si="16">IF(OR(AU17&gt;AU16,AU17=AU16),"+","-")</f>
        <v>-</v>
      </c>
      <c r="AW17" s="2">
        <v>73.7</v>
      </c>
      <c r="AX17" s="8" t="str">
        <f t="shared" ref="AX17:AX35" si="17">IF(OR(AW17&gt;AW16,AW17=AW16),"+","-")</f>
        <v>+</v>
      </c>
      <c r="AY17" s="2">
        <v>93.3</v>
      </c>
      <c r="AZ17" s="8" t="str">
        <f t="shared" ref="AZ17:AZ35" si="18">IF(OR(AY17&gt;AY16,AY17=AY16),"+","-")</f>
        <v>+</v>
      </c>
      <c r="BA17" s="2">
        <v>42.1</v>
      </c>
      <c r="BB17" s="8" t="str">
        <f t="shared" ref="BB17:BB35" si="19">IF(OR(BA17&gt;BA16,BA17=BA16),"+","-")</f>
        <v>-</v>
      </c>
      <c r="BC17" s="2"/>
      <c r="BD17" s="8" t="str">
        <f t="shared" ref="BD17:BD35" si="20">IF(OR(BC17&gt;BC16,BC17=BC16),"+","-")</f>
        <v>+</v>
      </c>
      <c r="BE17" s="2">
        <v>86.5</v>
      </c>
      <c r="BF17" s="8" t="str">
        <f t="shared" si="11"/>
        <v>+</v>
      </c>
      <c r="BG17" s="2"/>
      <c r="BH17" s="8" t="str">
        <f t="shared" ref="BH17:BH35" si="21">IF(OR(BG17&gt;BG16,BG17=BG16),"+","-")</f>
        <v>+</v>
      </c>
      <c r="BI17" s="2"/>
      <c r="BJ17" s="8" t="str">
        <f t="shared" ref="BJ17:BJ35" si="22">IF(OR(BI17&gt;BI16,BI17=BI16),"+","-")</f>
        <v>+</v>
      </c>
      <c r="BK17" s="2"/>
      <c r="BL17" s="8" t="str">
        <f t="shared" ref="BL17:BL35" si="23">IF(OR(BK17&gt;BK16,BK17=BK16),"+","-")</f>
        <v>+</v>
      </c>
    </row>
    <row r="18" spans="1:64">
      <c r="A18" s="1">
        <v>18749</v>
      </c>
      <c r="B18">
        <v>53.5</v>
      </c>
      <c r="C18">
        <v>42.3</v>
      </c>
      <c r="D18">
        <v>61.9</v>
      </c>
      <c r="E18">
        <v>53.5</v>
      </c>
      <c r="F18">
        <v>65.7</v>
      </c>
      <c r="G18">
        <v>51.8</v>
      </c>
      <c r="I18">
        <v>68.5</v>
      </c>
      <c r="W18" s="1">
        <v>18749</v>
      </c>
      <c r="X18">
        <v>21.52</v>
      </c>
      <c r="Y18" s="4">
        <f t="shared" si="0"/>
        <v>-4.05706642888988E-2</v>
      </c>
      <c r="Z18" s="4">
        <f t="shared" si="12"/>
        <v>0.14589983248669694</v>
      </c>
      <c r="AA18">
        <v>53.5</v>
      </c>
      <c r="AB18">
        <f t="shared" si="13"/>
        <v>68.099999999999994</v>
      </c>
      <c r="AP18" s="3">
        <v>18719</v>
      </c>
      <c r="AQ18" s="2">
        <v>65.5</v>
      </c>
      <c r="AR18" s="8" t="str">
        <f t="shared" si="14"/>
        <v>-</v>
      </c>
      <c r="AS18" s="2">
        <v>61</v>
      </c>
      <c r="AT18" s="8" t="str">
        <f t="shared" si="15"/>
        <v>-</v>
      </c>
      <c r="AU18" s="2">
        <v>61.2</v>
      </c>
      <c r="AV18" s="8" t="str">
        <f t="shared" si="16"/>
        <v>-</v>
      </c>
      <c r="AW18" s="2">
        <v>72</v>
      </c>
      <c r="AX18" s="8" t="str">
        <f t="shared" si="17"/>
        <v>-</v>
      </c>
      <c r="AY18" s="2">
        <v>85.1</v>
      </c>
      <c r="AZ18" s="8" t="str">
        <f t="shared" si="18"/>
        <v>-</v>
      </c>
      <c r="BA18" s="2">
        <v>47.4</v>
      </c>
      <c r="BB18" s="8" t="str">
        <f t="shared" si="19"/>
        <v>+</v>
      </c>
      <c r="BC18" s="2"/>
      <c r="BD18" s="8" t="str">
        <f t="shared" si="20"/>
        <v>+</v>
      </c>
      <c r="BE18" s="2">
        <v>76.599999999999994</v>
      </c>
      <c r="BF18" s="8" t="str">
        <f t="shared" si="11"/>
        <v>-</v>
      </c>
      <c r="BG18" s="2"/>
      <c r="BH18" s="8" t="str">
        <f t="shared" si="21"/>
        <v>+</v>
      </c>
      <c r="BI18" s="2"/>
      <c r="BJ18" s="8" t="str">
        <f t="shared" si="22"/>
        <v>+</v>
      </c>
      <c r="BK18" s="2"/>
      <c r="BL18" s="8" t="str">
        <f t="shared" si="23"/>
        <v>+</v>
      </c>
    </row>
    <row r="19" spans="1:64">
      <c r="A19" s="1">
        <v>18780</v>
      </c>
      <c r="B19">
        <v>50.7</v>
      </c>
      <c r="C19">
        <v>45.2</v>
      </c>
      <c r="D19">
        <v>58.8</v>
      </c>
      <c r="E19">
        <v>54.2</v>
      </c>
      <c r="F19">
        <v>45</v>
      </c>
      <c r="G19">
        <v>51.2</v>
      </c>
      <c r="I19">
        <v>63.6</v>
      </c>
      <c r="W19" s="1">
        <v>18780</v>
      </c>
      <c r="X19">
        <v>20.959999</v>
      </c>
      <c r="Y19" s="4">
        <f t="shared" si="0"/>
        <v>-2.6022351301115229E-2</v>
      </c>
      <c r="Z19" s="4">
        <f t="shared" si="12"/>
        <v>0.18485007434425815</v>
      </c>
      <c r="AA19">
        <v>50.7</v>
      </c>
      <c r="AB19">
        <f t="shared" si="13"/>
        <v>74.7</v>
      </c>
      <c r="AP19" s="3">
        <v>18749</v>
      </c>
      <c r="AQ19" s="2">
        <v>53.5</v>
      </c>
      <c r="AR19" s="8" t="str">
        <f t="shared" si="14"/>
        <v>-</v>
      </c>
      <c r="AS19" s="2">
        <v>42.3</v>
      </c>
      <c r="AT19" s="8" t="str">
        <f t="shared" si="15"/>
        <v>-</v>
      </c>
      <c r="AU19" s="2">
        <v>53.5</v>
      </c>
      <c r="AV19" s="8" t="str">
        <f t="shared" si="16"/>
        <v>-</v>
      </c>
      <c r="AW19" s="2">
        <v>61.9</v>
      </c>
      <c r="AX19" s="8" t="str">
        <f t="shared" si="17"/>
        <v>-</v>
      </c>
      <c r="AY19" s="2">
        <v>65.7</v>
      </c>
      <c r="AZ19" s="8" t="str">
        <f t="shared" si="18"/>
        <v>-</v>
      </c>
      <c r="BA19" s="2">
        <v>51.8</v>
      </c>
      <c r="BB19" s="8" t="str">
        <f t="shared" si="19"/>
        <v>+</v>
      </c>
      <c r="BC19" s="2"/>
      <c r="BD19" s="8" t="str">
        <f t="shared" si="20"/>
        <v>+</v>
      </c>
      <c r="BE19" s="2">
        <v>68.5</v>
      </c>
      <c r="BF19" s="8" t="str">
        <f t="shared" si="11"/>
        <v>-</v>
      </c>
      <c r="BG19" s="2"/>
      <c r="BH19" s="8" t="str">
        <f t="shared" si="21"/>
        <v>+</v>
      </c>
      <c r="BI19" s="2"/>
      <c r="BJ19" s="8" t="str">
        <f t="shared" si="22"/>
        <v>+</v>
      </c>
      <c r="BK19" s="2"/>
      <c r="BL19" s="8" t="str">
        <f t="shared" si="23"/>
        <v>+</v>
      </c>
    </row>
    <row r="20" spans="1:64">
      <c r="A20" s="1">
        <v>18810</v>
      </c>
      <c r="B20">
        <v>45.5</v>
      </c>
      <c r="C20">
        <v>39.1</v>
      </c>
      <c r="D20">
        <v>56.4</v>
      </c>
      <c r="E20">
        <v>48.6</v>
      </c>
      <c r="F20">
        <v>36.700000000000003</v>
      </c>
      <c r="G20">
        <v>48.4</v>
      </c>
      <c r="I20">
        <v>52.1</v>
      </c>
      <c r="W20" s="1">
        <v>18810</v>
      </c>
      <c r="X20">
        <v>22.4</v>
      </c>
      <c r="Y20" s="4">
        <f t="shared" si="0"/>
        <v>6.8702341064042938E-2</v>
      </c>
      <c r="Z20" s="4">
        <f t="shared" si="12"/>
        <v>0.25560538116591919</v>
      </c>
      <c r="AA20">
        <v>45.5</v>
      </c>
      <c r="AB20">
        <f t="shared" si="13"/>
        <v>76.599999999999994</v>
      </c>
      <c r="AP20" s="3">
        <v>18780</v>
      </c>
      <c r="AQ20" s="2">
        <v>50.7</v>
      </c>
      <c r="AR20" s="8" t="str">
        <f t="shared" si="14"/>
        <v>-</v>
      </c>
      <c r="AS20" s="2">
        <v>45.2</v>
      </c>
      <c r="AT20" s="8" t="str">
        <f t="shared" si="15"/>
        <v>+</v>
      </c>
      <c r="AU20" s="2">
        <v>54.2</v>
      </c>
      <c r="AV20" s="8" t="str">
        <f t="shared" si="16"/>
        <v>+</v>
      </c>
      <c r="AW20" s="2">
        <v>58.8</v>
      </c>
      <c r="AX20" s="8" t="str">
        <f t="shared" si="17"/>
        <v>-</v>
      </c>
      <c r="AY20" s="2">
        <v>45</v>
      </c>
      <c r="AZ20" s="8" t="str">
        <f t="shared" si="18"/>
        <v>-</v>
      </c>
      <c r="BA20" s="2">
        <v>51.2</v>
      </c>
      <c r="BB20" s="8" t="str">
        <f t="shared" si="19"/>
        <v>-</v>
      </c>
      <c r="BC20" s="2"/>
      <c r="BD20" s="8" t="str">
        <f t="shared" si="20"/>
        <v>+</v>
      </c>
      <c r="BE20" s="2">
        <v>63.6</v>
      </c>
      <c r="BF20" s="8" t="str">
        <f t="shared" si="11"/>
        <v>-</v>
      </c>
      <c r="BG20" s="2"/>
      <c r="BH20" s="8" t="str">
        <f t="shared" si="21"/>
        <v>+</v>
      </c>
      <c r="BI20" s="2"/>
      <c r="BJ20" s="8" t="str">
        <f t="shared" si="22"/>
        <v>+</v>
      </c>
      <c r="BK20" s="2"/>
      <c r="BL20" s="8" t="str">
        <f t="shared" si="23"/>
        <v>+</v>
      </c>
    </row>
    <row r="21" spans="1:64">
      <c r="A21" s="1">
        <v>18841</v>
      </c>
      <c r="B21">
        <v>42.1</v>
      </c>
      <c r="C21">
        <v>38.200000000000003</v>
      </c>
      <c r="D21">
        <v>53.2</v>
      </c>
      <c r="E21">
        <v>41.6</v>
      </c>
      <c r="F21">
        <v>32.200000000000003</v>
      </c>
      <c r="G21">
        <v>47.8</v>
      </c>
      <c r="I21">
        <v>46.4</v>
      </c>
      <c r="W21" s="1">
        <v>18841</v>
      </c>
      <c r="X21">
        <v>23.280000999999999</v>
      </c>
      <c r="Y21" s="4">
        <f t="shared" si="0"/>
        <v>3.9285758928571432E-2</v>
      </c>
      <c r="Z21" s="4">
        <f t="shared" si="12"/>
        <v>0.26384370249728539</v>
      </c>
      <c r="AA21">
        <v>42.1</v>
      </c>
      <c r="AB21">
        <f t="shared" si="13"/>
        <v>77.5</v>
      </c>
      <c r="AP21" s="3">
        <v>18810</v>
      </c>
      <c r="AQ21" s="2">
        <v>45.5</v>
      </c>
      <c r="AR21" s="8" t="str">
        <f t="shared" si="14"/>
        <v>-</v>
      </c>
      <c r="AS21" s="2">
        <v>39.1</v>
      </c>
      <c r="AT21" s="8" t="str">
        <f t="shared" si="15"/>
        <v>-</v>
      </c>
      <c r="AU21" s="2">
        <v>48.6</v>
      </c>
      <c r="AV21" s="8" t="str">
        <f t="shared" si="16"/>
        <v>-</v>
      </c>
      <c r="AW21" s="2">
        <v>56.4</v>
      </c>
      <c r="AX21" s="8" t="str">
        <f t="shared" si="17"/>
        <v>-</v>
      </c>
      <c r="AY21" s="2">
        <v>36.700000000000003</v>
      </c>
      <c r="AZ21" s="8" t="str">
        <f t="shared" si="18"/>
        <v>-</v>
      </c>
      <c r="BA21" s="2">
        <v>48.4</v>
      </c>
      <c r="BB21" s="8" t="str">
        <f t="shared" si="19"/>
        <v>-</v>
      </c>
      <c r="BC21" s="2"/>
      <c r="BD21" s="8" t="str">
        <f t="shared" si="20"/>
        <v>+</v>
      </c>
      <c r="BE21" s="2">
        <v>52.1</v>
      </c>
      <c r="BF21" s="8" t="str">
        <f t="shared" si="11"/>
        <v>-</v>
      </c>
      <c r="BG21" s="2"/>
      <c r="BH21" s="8" t="str">
        <f t="shared" si="21"/>
        <v>+</v>
      </c>
      <c r="BI21" s="2"/>
      <c r="BJ21" s="8" t="str">
        <f t="shared" si="22"/>
        <v>+</v>
      </c>
      <c r="BK21" s="2"/>
      <c r="BL21" s="8" t="str">
        <f t="shared" si="23"/>
        <v>+</v>
      </c>
    </row>
    <row r="22" spans="1:64">
      <c r="A22" s="1">
        <v>18872</v>
      </c>
      <c r="B22">
        <v>43.6</v>
      </c>
      <c r="C22">
        <v>38.5</v>
      </c>
      <c r="D22">
        <v>51.7</v>
      </c>
      <c r="E22">
        <v>48.4</v>
      </c>
      <c r="F22">
        <v>32</v>
      </c>
      <c r="G22">
        <v>46.7</v>
      </c>
      <c r="I22">
        <v>43.2</v>
      </c>
      <c r="W22" s="1">
        <v>18872</v>
      </c>
      <c r="X22">
        <v>23.26</v>
      </c>
      <c r="Y22" s="4">
        <f t="shared" si="0"/>
        <v>-8.5914944763091077E-4</v>
      </c>
      <c r="Z22" s="4">
        <f t="shared" si="12"/>
        <v>0.19588682797497034</v>
      </c>
      <c r="AA22">
        <v>43.6</v>
      </c>
      <c r="AB22">
        <f t="shared" si="13"/>
        <v>75.8</v>
      </c>
      <c r="AP22" s="3">
        <v>18841</v>
      </c>
      <c r="AQ22" s="2">
        <v>42.1</v>
      </c>
      <c r="AR22" s="8" t="str">
        <f t="shared" si="14"/>
        <v>-</v>
      </c>
      <c r="AS22" s="2">
        <v>38.200000000000003</v>
      </c>
      <c r="AT22" s="8" t="str">
        <f t="shared" si="15"/>
        <v>-</v>
      </c>
      <c r="AU22" s="2">
        <v>41.6</v>
      </c>
      <c r="AV22" s="8" t="str">
        <f t="shared" si="16"/>
        <v>-</v>
      </c>
      <c r="AW22" s="2">
        <v>53.2</v>
      </c>
      <c r="AX22" s="8" t="str">
        <f t="shared" si="17"/>
        <v>-</v>
      </c>
      <c r="AY22" s="2">
        <v>32.200000000000003</v>
      </c>
      <c r="AZ22" s="8" t="str">
        <f t="shared" si="18"/>
        <v>-</v>
      </c>
      <c r="BA22" s="2">
        <v>47.8</v>
      </c>
      <c r="BB22" s="8" t="str">
        <f t="shared" si="19"/>
        <v>-</v>
      </c>
      <c r="BC22" s="2"/>
      <c r="BD22" s="8" t="str">
        <f t="shared" si="20"/>
        <v>+</v>
      </c>
      <c r="BE22" s="2">
        <v>46.4</v>
      </c>
      <c r="BF22" s="8" t="str">
        <f t="shared" si="11"/>
        <v>-</v>
      </c>
      <c r="BG22" s="2"/>
      <c r="BH22" s="8" t="str">
        <f t="shared" si="21"/>
        <v>+</v>
      </c>
      <c r="BI22" s="2"/>
      <c r="BJ22" s="8" t="str">
        <f t="shared" si="22"/>
        <v>+</v>
      </c>
      <c r="BK22" s="2"/>
      <c r="BL22" s="8" t="str">
        <f t="shared" si="23"/>
        <v>+</v>
      </c>
    </row>
    <row r="23" spans="1:64">
      <c r="A23" s="1">
        <v>18902</v>
      </c>
      <c r="B23">
        <v>48.1</v>
      </c>
      <c r="C23">
        <v>48.2</v>
      </c>
      <c r="D23">
        <v>48.6</v>
      </c>
      <c r="E23">
        <v>50.2</v>
      </c>
      <c r="F23">
        <v>46.4</v>
      </c>
      <c r="G23">
        <v>43.8</v>
      </c>
      <c r="I23">
        <v>45.7</v>
      </c>
      <c r="W23" s="1">
        <v>18902</v>
      </c>
      <c r="X23">
        <v>22.940000999999999</v>
      </c>
      <c r="Y23" s="4">
        <f t="shared" si="0"/>
        <v>-1.3757480653482493E-2</v>
      </c>
      <c r="Z23" s="4">
        <f t="shared" si="12"/>
        <v>0.17460316566292036</v>
      </c>
      <c r="AA23">
        <v>48.1</v>
      </c>
      <c r="AB23">
        <f t="shared" si="13"/>
        <v>68.099999999999994</v>
      </c>
      <c r="AP23" s="3">
        <v>18872</v>
      </c>
      <c r="AQ23" s="2">
        <v>43.6</v>
      </c>
      <c r="AR23" s="8" t="str">
        <f t="shared" si="14"/>
        <v>+</v>
      </c>
      <c r="AS23" s="2">
        <v>38.5</v>
      </c>
      <c r="AT23" s="8" t="str">
        <f t="shared" si="15"/>
        <v>+</v>
      </c>
      <c r="AU23" s="2">
        <v>48.4</v>
      </c>
      <c r="AV23" s="8" t="str">
        <f t="shared" si="16"/>
        <v>+</v>
      </c>
      <c r="AW23" s="2">
        <v>51.7</v>
      </c>
      <c r="AX23" s="8" t="str">
        <f t="shared" si="17"/>
        <v>-</v>
      </c>
      <c r="AY23" s="2">
        <v>32</v>
      </c>
      <c r="AZ23" s="8" t="str">
        <f t="shared" si="18"/>
        <v>-</v>
      </c>
      <c r="BA23" s="2">
        <v>46.7</v>
      </c>
      <c r="BB23" s="8" t="str">
        <f t="shared" si="19"/>
        <v>-</v>
      </c>
      <c r="BC23" s="2"/>
      <c r="BD23" s="8" t="str">
        <f t="shared" si="20"/>
        <v>+</v>
      </c>
      <c r="BE23" s="2">
        <v>43.2</v>
      </c>
      <c r="BF23" s="8" t="str">
        <f t="shared" si="11"/>
        <v>-</v>
      </c>
      <c r="BG23" s="2"/>
      <c r="BH23" s="8" t="str">
        <f t="shared" si="21"/>
        <v>+</v>
      </c>
      <c r="BI23" s="2"/>
      <c r="BJ23" s="8" t="str">
        <f t="shared" si="22"/>
        <v>+</v>
      </c>
      <c r="BK23" s="2"/>
      <c r="BL23" s="8" t="str">
        <f t="shared" si="23"/>
        <v>+</v>
      </c>
    </row>
    <row r="24" spans="1:64">
      <c r="A24" s="1">
        <v>18933</v>
      </c>
      <c r="B24">
        <v>49.6</v>
      </c>
      <c r="C24">
        <v>51.7</v>
      </c>
      <c r="D24">
        <v>51.1</v>
      </c>
      <c r="E24">
        <v>50.3</v>
      </c>
      <c r="F24">
        <v>47.2</v>
      </c>
      <c r="G24">
        <v>42</v>
      </c>
      <c r="I24">
        <v>54.4</v>
      </c>
      <c r="W24" s="1">
        <v>18933</v>
      </c>
      <c r="X24">
        <v>22.879999000000002</v>
      </c>
      <c r="Y24" s="4">
        <f t="shared" si="0"/>
        <v>-2.6156058144895995E-3</v>
      </c>
      <c r="Z24" s="4">
        <f t="shared" si="12"/>
        <v>0.17273188108662224</v>
      </c>
      <c r="AA24">
        <v>49.6</v>
      </c>
      <c r="AB24">
        <f t="shared" si="13"/>
        <v>59.2</v>
      </c>
      <c r="AP24" s="3">
        <v>18902</v>
      </c>
      <c r="AQ24" s="2">
        <v>48.1</v>
      </c>
      <c r="AR24" s="8" t="str">
        <f t="shared" si="14"/>
        <v>+</v>
      </c>
      <c r="AS24" s="2">
        <v>48.2</v>
      </c>
      <c r="AT24" s="8" t="str">
        <f t="shared" si="15"/>
        <v>+</v>
      </c>
      <c r="AU24" s="2">
        <v>50.2</v>
      </c>
      <c r="AV24" s="8" t="str">
        <f t="shared" si="16"/>
        <v>+</v>
      </c>
      <c r="AW24" s="2">
        <v>48.6</v>
      </c>
      <c r="AX24" s="8" t="str">
        <f t="shared" si="17"/>
        <v>-</v>
      </c>
      <c r="AY24" s="2">
        <v>46.4</v>
      </c>
      <c r="AZ24" s="8" t="str">
        <f t="shared" si="18"/>
        <v>+</v>
      </c>
      <c r="BA24" s="2">
        <v>43.8</v>
      </c>
      <c r="BB24" s="8" t="str">
        <f t="shared" si="19"/>
        <v>-</v>
      </c>
      <c r="BC24" s="2"/>
      <c r="BD24" s="8" t="str">
        <f t="shared" si="20"/>
        <v>+</v>
      </c>
      <c r="BE24" s="2">
        <v>45.7</v>
      </c>
      <c r="BF24" s="8" t="str">
        <f t="shared" si="11"/>
        <v>+</v>
      </c>
      <c r="BG24" s="2"/>
      <c r="BH24" s="8" t="str">
        <f t="shared" si="21"/>
        <v>+</v>
      </c>
      <c r="BI24" s="2"/>
      <c r="BJ24" s="8" t="str">
        <f t="shared" si="22"/>
        <v>+</v>
      </c>
      <c r="BK24" s="2"/>
      <c r="BL24" s="8" t="str">
        <f t="shared" si="23"/>
        <v>+</v>
      </c>
    </row>
    <row r="25" spans="1:64">
      <c r="A25" s="1">
        <v>18963</v>
      </c>
      <c r="B25">
        <v>47.2</v>
      </c>
      <c r="C25">
        <v>49.3</v>
      </c>
      <c r="D25">
        <v>50.2</v>
      </c>
      <c r="E25">
        <v>50.9</v>
      </c>
      <c r="F25">
        <v>34.9</v>
      </c>
      <c r="G25">
        <v>44.5</v>
      </c>
      <c r="I25">
        <v>55.6</v>
      </c>
      <c r="W25" s="1">
        <v>18963</v>
      </c>
      <c r="X25">
        <v>23.77</v>
      </c>
      <c r="Y25" s="4">
        <f t="shared" si="0"/>
        <v>3.8898646805010699E-2</v>
      </c>
      <c r="Z25" s="4">
        <f t="shared" si="12"/>
        <v>0.16462518373346396</v>
      </c>
      <c r="AA25">
        <v>47.2</v>
      </c>
      <c r="AB25">
        <f t="shared" si="13"/>
        <v>63.1</v>
      </c>
      <c r="AP25" s="3">
        <v>18933</v>
      </c>
      <c r="AQ25" s="2">
        <v>49.6</v>
      </c>
      <c r="AR25" s="8" t="str">
        <f t="shared" si="14"/>
        <v>+</v>
      </c>
      <c r="AS25" s="2">
        <v>51.7</v>
      </c>
      <c r="AT25" s="8" t="str">
        <f t="shared" si="15"/>
        <v>+</v>
      </c>
      <c r="AU25" s="2">
        <v>50.3</v>
      </c>
      <c r="AV25" s="8" t="str">
        <f t="shared" si="16"/>
        <v>+</v>
      </c>
      <c r="AW25" s="2">
        <v>51.1</v>
      </c>
      <c r="AX25" s="8" t="str">
        <f t="shared" si="17"/>
        <v>+</v>
      </c>
      <c r="AY25" s="2">
        <v>47.2</v>
      </c>
      <c r="AZ25" s="8" t="str">
        <f t="shared" si="18"/>
        <v>+</v>
      </c>
      <c r="BA25" s="2">
        <v>42</v>
      </c>
      <c r="BB25" s="8" t="str">
        <f t="shared" si="19"/>
        <v>-</v>
      </c>
      <c r="BC25" s="2"/>
      <c r="BD25" s="8" t="str">
        <f t="shared" si="20"/>
        <v>+</v>
      </c>
      <c r="BE25" s="2">
        <v>54.4</v>
      </c>
      <c r="BF25" s="8" t="str">
        <f t="shared" si="11"/>
        <v>+</v>
      </c>
      <c r="BG25" s="2"/>
      <c r="BH25" s="8" t="str">
        <f t="shared" si="21"/>
        <v>+</v>
      </c>
      <c r="BI25" s="2"/>
      <c r="BJ25" s="8" t="str">
        <f t="shared" si="22"/>
        <v>+</v>
      </c>
      <c r="BK25" s="2"/>
      <c r="BL25" s="8" t="str">
        <f t="shared" si="23"/>
        <v>+</v>
      </c>
    </row>
    <row r="26" spans="1:64">
      <c r="A26" s="1">
        <v>18994</v>
      </c>
      <c r="B26">
        <v>46.5</v>
      </c>
      <c r="C26">
        <v>45.3</v>
      </c>
      <c r="D26">
        <v>51.8</v>
      </c>
      <c r="E26">
        <v>52.8</v>
      </c>
      <c r="F26">
        <v>33.6</v>
      </c>
      <c r="G26">
        <v>42.6</v>
      </c>
      <c r="I26">
        <v>56.6</v>
      </c>
      <c r="W26" s="1">
        <v>18994</v>
      </c>
      <c r="X26">
        <v>24.139999</v>
      </c>
      <c r="Y26" s="4">
        <f t="shared" si="0"/>
        <v>1.5565797223390828E-2</v>
      </c>
      <c r="Z26" s="4">
        <f t="shared" si="12"/>
        <v>0.11449672206832869</v>
      </c>
      <c r="AA26">
        <v>46.5</v>
      </c>
      <c r="AB26">
        <f t="shared" si="13"/>
        <v>67.099999999999994</v>
      </c>
      <c r="AP26" s="3">
        <v>18963</v>
      </c>
      <c r="AQ26" s="2">
        <v>47.2</v>
      </c>
      <c r="AR26" s="8" t="str">
        <f t="shared" si="14"/>
        <v>-</v>
      </c>
      <c r="AS26" s="2">
        <v>49.3</v>
      </c>
      <c r="AT26" s="8" t="str">
        <f t="shared" si="15"/>
        <v>-</v>
      </c>
      <c r="AU26" s="2">
        <v>50.9</v>
      </c>
      <c r="AV26" s="8" t="str">
        <f t="shared" si="16"/>
        <v>+</v>
      </c>
      <c r="AW26" s="2">
        <v>50.2</v>
      </c>
      <c r="AX26" s="8" t="str">
        <f t="shared" si="17"/>
        <v>-</v>
      </c>
      <c r="AY26" s="2">
        <v>34.9</v>
      </c>
      <c r="AZ26" s="8" t="str">
        <f t="shared" si="18"/>
        <v>-</v>
      </c>
      <c r="BA26" s="2">
        <v>44.5</v>
      </c>
      <c r="BB26" s="8" t="str">
        <f t="shared" si="19"/>
        <v>+</v>
      </c>
      <c r="BC26" s="2"/>
      <c r="BD26" s="8" t="str">
        <f t="shared" si="20"/>
        <v>+</v>
      </c>
      <c r="BE26" s="2">
        <v>55.6</v>
      </c>
      <c r="BF26" s="8" t="str">
        <f t="shared" si="11"/>
        <v>+</v>
      </c>
      <c r="BG26" s="2"/>
      <c r="BH26" s="8" t="str">
        <f t="shared" si="21"/>
        <v>+</v>
      </c>
      <c r="BI26" s="2"/>
      <c r="BJ26" s="8" t="str">
        <f t="shared" si="22"/>
        <v>+</v>
      </c>
      <c r="BK26" s="2"/>
      <c r="BL26" s="8" t="str">
        <f t="shared" si="23"/>
        <v>+</v>
      </c>
    </row>
    <row r="27" spans="1:64">
      <c r="A27" s="1">
        <v>19025</v>
      </c>
      <c r="B27">
        <v>44.7</v>
      </c>
      <c r="C27">
        <v>46.8</v>
      </c>
      <c r="D27">
        <v>46.9</v>
      </c>
      <c r="E27">
        <v>49.5</v>
      </c>
      <c r="F27">
        <v>31.3</v>
      </c>
      <c r="G27">
        <v>42.5</v>
      </c>
      <c r="I27">
        <v>51.8</v>
      </c>
      <c r="W27" s="1">
        <v>19025</v>
      </c>
      <c r="X27">
        <v>23.26</v>
      </c>
      <c r="Y27" s="4">
        <f t="shared" si="0"/>
        <v>-3.6453978312095126E-2</v>
      </c>
      <c r="Z27" s="4">
        <f t="shared" si="12"/>
        <v>6.6972526007914118E-2</v>
      </c>
      <c r="AA27">
        <v>44.7</v>
      </c>
      <c r="AB27">
        <f t="shared" si="13"/>
        <v>67.8</v>
      </c>
      <c r="AP27" s="3">
        <v>18994</v>
      </c>
      <c r="AQ27" s="2">
        <v>46.5</v>
      </c>
      <c r="AR27" s="8" t="str">
        <f t="shared" si="14"/>
        <v>-</v>
      </c>
      <c r="AS27" s="2">
        <v>45.3</v>
      </c>
      <c r="AT27" s="8" t="str">
        <f t="shared" si="15"/>
        <v>-</v>
      </c>
      <c r="AU27" s="2">
        <v>52.8</v>
      </c>
      <c r="AV27" s="8" t="str">
        <f t="shared" si="16"/>
        <v>+</v>
      </c>
      <c r="AW27" s="2">
        <v>51.8</v>
      </c>
      <c r="AX27" s="8" t="str">
        <f t="shared" si="17"/>
        <v>+</v>
      </c>
      <c r="AY27" s="2">
        <v>33.6</v>
      </c>
      <c r="AZ27" s="8" t="str">
        <f t="shared" si="18"/>
        <v>-</v>
      </c>
      <c r="BA27" s="2">
        <v>42.6</v>
      </c>
      <c r="BB27" s="8" t="str">
        <f t="shared" si="19"/>
        <v>-</v>
      </c>
      <c r="BC27" s="2"/>
      <c r="BD27" s="8" t="str">
        <f t="shared" si="20"/>
        <v>+</v>
      </c>
      <c r="BE27" s="2">
        <v>56.6</v>
      </c>
      <c r="BF27" s="8" t="str">
        <f t="shared" si="11"/>
        <v>+</v>
      </c>
      <c r="BG27" s="2"/>
      <c r="BH27" s="8" t="str">
        <f t="shared" si="21"/>
        <v>+</v>
      </c>
      <c r="BI27" s="2"/>
      <c r="BJ27" s="8" t="str">
        <f t="shared" si="22"/>
        <v>+</v>
      </c>
      <c r="BK27" s="2"/>
      <c r="BL27" s="8" t="str">
        <f t="shared" si="23"/>
        <v>+</v>
      </c>
    </row>
    <row r="28" spans="1:64">
      <c r="A28" s="1">
        <v>19054</v>
      </c>
      <c r="B28">
        <v>41.8</v>
      </c>
      <c r="C28">
        <v>42.3</v>
      </c>
      <c r="D28">
        <v>44.8</v>
      </c>
      <c r="E28">
        <v>49.9</v>
      </c>
      <c r="F28">
        <v>24.9</v>
      </c>
      <c r="G28">
        <v>39.299999999999997</v>
      </c>
      <c r="I28">
        <v>52.7</v>
      </c>
      <c r="W28" s="1">
        <v>19054</v>
      </c>
      <c r="X28">
        <v>24.370000999999998</v>
      </c>
      <c r="Y28" s="4">
        <f t="shared" si="0"/>
        <v>4.7721453138434948E-2</v>
      </c>
      <c r="Z28" s="4">
        <f t="shared" si="12"/>
        <v>0.13878509345794393</v>
      </c>
      <c r="AA28">
        <v>41.8</v>
      </c>
      <c r="AB28">
        <f t="shared" si="13"/>
        <v>69.3</v>
      </c>
      <c r="AP28" s="3">
        <v>19025</v>
      </c>
      <c r="AQ28" s="2">
        <v>44.7</v>
      </c>
      <c r="AR28" s="8" t="str">
        <f t="shared" si="14"/>
        <v>-</v>
      </c>
      <c r="AS28" s="2">
        <v>46.8</v>
      </c>
      <c r="AT28" s="8" t="str">
        <f t="shared" si="15"/>
        <v>+</v>
      </c>
      <c r="AU28" s="2">
        <v>49.5</v>
      </c>
      <c r="AV28" s="8" t="str">
        <f t="shared" si="16"/>
        <v>-</v>
      </c>
      <c r="AW28" s="2">
        <v>46.9</v>
      </c>
      <c r="AX28" s="8" t="str">
        <f t="shared" si="17"/>
        <v>-</v>
      </c>
      <c r="AY28" s="2">
        <v>31.3</v>
      </c>
      <c r="AZ28" s="8" t="str">
        <f t="shared" si="18"/>
        <v>-</v>
      </c>
      <c r="BA28" s="2">
        <v>42.5</v>
      </c>
      <c r="BB28" s="8" t="str">
        <f t="shared" si="19"/>
        <v>-</v>
      </c>
      <c r="BC28" s="2"/>
      <c r="BD28" s="8" t="str">
        <f t="shared" si="20"/>
        <v>+</v>
      </c>
      <c r="BE28" s="2">
        <v>51.8</v>
      </c>
      <c r="BF28" s="8" t="str">
        <f t="shared" si="11"/>
        <v>-</v>
      </c>
      <c r="BG28" s="2"/>
      <c r="BH28" s="8" t="str">
        <f t="shared" si="21"/>
        <v>+</v>
      </c>
      <c r="BI28" s="2"/>
      <c r="BJ28" s="8" t="str">
        <f t="shared" si="22"/>
        <v>+</v>
      </c>
      <c r="BK28" s="2"/>
      <c r="BL28" s="8" t="str">
        <f t="shared" si="23"/>
        <v>+</v>
      </c>
    </row>
    <row r="29" spans="1:64">
      <c r="A29" s="1">
        <v>19085</v>
      </c>
      <c r="B29">
        <v>40</v>
      </c>
      <c r="C29">
        <v>43.7</v>
      </c>
      <c r="D29">
        <v>41.8</v>
      </c>
      <c r="E29">
        <v>48.7</v>
      </c>
      <c r="F29">
        <v>18.8</v>
      </c>
      <c r="G29">
        <v>35.6</v>
      </c>
      <c r="I29">
        <v>44.7</v>
      </c>
      <c r="W29" s="1">
        <v>19085</v>
      </c>
      <c r="X29">
        <v>23.32</v>
      </c>
      <c r="Y29" s="4">
        <f t="shared" si="0"/>
        <v>-4.3085800447853831E-2</v>
      </c>
      <c r="Z29" s="4">
        <f t="shared" si="12"/>
        <v>3.9679001337494454E-2</v>
      </c>
      <c r="AA29">
        <v>40</v>
      </c>
      <c r="AB29">
        <f t="shared" si="13"/>
        <v>65.5</v>
      </c>
      <c r="AP29" s="3">
        <v>19054</v>
      </c>
      <c r="AQ29" s="2">
        <v>41.8</v>
      </c>
      <c r="AR29" s="8" t="str">
        <f t="shared" si="14"/>
        <v>-</v>
      </c>
      <c r="AS29" s="2">
        <v>42.3</v>
      </c>
      <c r="AT29" s="8" t="str">
        <f t="shared" si="15"/>
        <v>-</v>
      </c>
      <c r="AU29" s="2">
        <v>49.9</v>
      </c>
      <c r="AV29" s="8" t="str">
        <f t="shared" si="16"/>
        <v>+</v>
      </c>
      <c r="AW29" s="2">
        <v>44.8</v>
      </c>
      <c r="AX29" s="8" t="str">
        <f t="shared" si="17"/>
        <v>-</v>
      </c>
      <c r="AY29" s="2">
        <v>24.9</v>
      </c>
      <c r="AZ29" s="8" t="str">
        <f t="shared" si="18"/>
        <v>-</v>
      </c>
      <c r="BA29" s="2">
        <v>39.299999999999997</v>
      </c>
      <c r="BB29" s="8" t="str">
        <f t="shared" si="19"/>
        <v>-</v>
      </c>
      <c r="BC29" s="2"/>
      <c r="BD29" s="8" t="str">
        <f t="shared" si="20"/>
        <v>+</v>
      </c>
      <c r="BE29" s="2">
        <v>52.7</v>
      </c>
      <c r="BF29" s="8" t="str">
        <f t="shared" si="11"/>
        <v>+</v>
      </c>
      <c r="BG29" s="2"/>
      <c r="BH29" s="8" t="str">
        <f t="shared" si="21"/>
        <v>+</v>
      </c>
      <c r="BI29" s="2"/>
      <c r="BJ29" s="8" t="str">
        <f t="shared" si="22"/>
        <v>+</v>
      </c>
      <c r="BK29" s="2"/>
      <c r="BL29" s="8" t="str">
        <f t="shared" si="23"/>
        <v>+</v>
      </c>
    </row>
    <row r="30" spans="1:64">
      <c r="A30" s="1">
        <v>19115</v>
      </c>
      <c r="B30">
        <v>36.700000000000003</v>
      </c>
      <c r="C30">
        <v>35.799999999999997</v>
      </c>
      <c r="D30">
        <v>43.3</v>
      </c>
      <c r="E30">
        <v>43.5</v>
      </c>
      <c r="F30">
        <v>19.399999999999999</v>
      </c>
      <c r="G30">
        <v>35.4</v>
      </c>
      <c r="I30">
        <v>42.6</v>
      </c>
      <c r="W30" s="1">
        <v>19115</v>
      </c>
      <c r="X30">
        <v>23.860001</v>
      </c>
      <c r="Y30" s="4">
        <f t="shared" si="0"/>
        <v>2.3156132075471705E-2</v>
      </c>
      <c r="Z30" s="4">
        <f t="shared" si="12"/>
        <v>0.10873610594795544</v>
      </c>
      <c r="AA30">
        <v>36.700000000000003</v>
      </c>
      <c r="AB30">
        <f t="shared" si="13"/>
        <v>53.5</v>
      </c>
      <c r="AP30" s="3">
        <v>19085</v>
      </c>
      <c r="AQ30" s="2">
        <v>40</v>
      </c>
      <c r="AR30" s="8" t="str">
        <f t="shared" si="14"/>
        <v>-</v>
      </c>
      <c r="AS30" s="2">
        <v>43.7</v>
      </c>
      <c r="AT30" s="8" t="str">
        <f t="shared" si="15"/>
        <v>+</v>
      </c>
      <c r="AU30" s="2">
        <v>48.7</v>
      </c>
      <c r="AV30" s="8" t="str">
        <f t="shared" si="16"/>
        <v>-</v>
      </c>
      <c r="AW30" s="2">
        <v>41.8</v>
      </c>
      <c r="AX30" s="8" t="str">
        <f t="shared" si="17"/>
        <v>-</v>
      </c>
      <c r="AY30" s="2">
        <v>18.8</v>
      </c>
      <c r="AZ30" s="8" t="str">
        <f t="shared" si="18"/>
        <v>-</v>
      </c>
      <c r="BA30" s="2">
        <v>35.6</v>
      </c>
      <c r="BB30" s="8" t="str">
        <f t="shared" si="19"/>
        <v>-</v>
      </c>
      <c r="BC30" s="2"/>
      <c r="BD30" s="8" t="str">
        <f t="shared" si="20"/>
        <v>+</v>
      </c>
      <c r="BE30" s="2">
        <v>44.7</v>
      </c>
      <c r="BF30" s="8" t="str">
        <f t="shared" si="11"/>
        <v>-</v>
      </c>
      <c r="BG30" s="2"/>
      <c r="BH30" s="8" t="str">
        <f t="shared" si="21"/>
        <v>+</v>
      </c>
      <c r="BI30" s="2"/>
      <c r="BJ30" s="8" t="str">
        <f t="shared" si="22"/>
        <v>+</v>
      </c>
      <c r="BK30" s="2"/>
      <c r="BL30" s="8" t="str">
        <f t="shared" si="23"/>
        <v>+</v>
      </c>
    </row>
    <row r="31" spans="1:64">
      <c r="A31" s="1">
        <v>19146</v>
      </c>
      <c r="B31">
        <v>39.5</v>
      </c>
      <c r="C31">
        <v>43.9</v>
      </c>
      <c r="D31">
        <v>42.7</v>
      </c>
      <c r="E31">
        <v>45.7</v>
      </c>
      <c r="F31">
        <v>22.4</v>
      </c>
      <c r="G31">
        <v>30.3</v>
      </c>
      <c r="I31">
        <v>38.799999999999997</v>
      </c>
      <c r="W31" s="1">
        <v>19146</v>
      </c>
      <c r="X31">
        <v>24.959999</v>
      </c>
      <c r="Y31" s="4">
        <f t="shared" si="0"/>
        <v>4.6102177447519779E-2</v>
      </c>
      <c r="Z31" s="4">
        <f t="shared" si="12"/>
        <v>0.19083970376143625</v>
      </c>
      <c r="AA31">
        <v>39.5</v>
      </c>
      <c r="AB31">
        <f t="shared" si="13"/>
        <v>50.7</v>
      </c>
      <c r="AP31" s="3">
        <v>19115</v>
      </c>
      <c r="AQ31" s="2">
        <v>36.700000000000003</v>
      </c>
      <c r="AR31" s="8" t="str">
        <f t="shared" si="14"/>
        <v>-</v>
      </c>
      <c r="AS31" s="2">
        <v>35.799999999999997</v>
      </c>
      <c r="AT31" s="8" t="str">
        <f t="shared" si="15"/>
        <v>-</v>
      </c>
      <c r="AU31" s="2">
        <v>43.5</v>
      </c>
      <c r="AV31" s="8" t="str">
        <f t="shared" si="16"/>
        <v>-</v>
      </c>
      <c r="AW31" s="2">
        <v>43.3</v>
      </c>
      <c r="AX31" s="8" t="str">
        <f t="shared" si="17"/>
        <v>+</v>
      </c>
      <c r="AY31" s="2">
        <v>19.399999999999999</v>
      </c>
      <c r="AZ31" s="8" t="str">
        <f t="shared" si="18"/>
        <v>+</v>
      </c>
      <c r="BA31" s="2">
        <v>35.4</v>
      </c>
      <c r="BB31" s="8" t="str">
        <f t="shared" si="19"/>
        <v>-</v>
      </c>
      <c r="BC31" s="2"/>
      <c r="BD31" s="8" t="str">
        <f t="shared" si="20"/>
        <v>+</v>
      </c>
      <c r="BE31" s="2">
        <v>42.6</v>
      </c>
      <c r="BF31" s="8" t="str">
        <f t="shared" si="11"/>
        <v>-</v>
      </c>
      <c r="BG31" s="2"/>
      <c r="BH31" s="8" t="str">
        <f t="shared" si="21"/>
        <v>+</v>
      </c>
      <c r="BI31" s="2"/>
      <c r="BJ31" s="8" t="str">
        <f t="shared" si="22"/>
        <v>+</v>
      </c>
      <c r="BK31" s="2"/>
      <c r="BL31" s="8" t="str">
        <f t="shared" si="23"/>
        <v>+</v>
      </c>
    </row>
    <row r="32" spans="1:64">
      <c r="A32" s="1">
        <v>19176</v>
      </c>
      <c r="B32">
        <v>43.3</v>
      </c>
      <c r="C32">
        <v>46.3</v>
      </c>
      <c r="D32">
        <v>43.5</v>
      </c>
      <c r="E32">
        <v>49.5</v>
      </c>
      <c r="F32">
        <v>33</v>
      </c>
      <c r="G32">
        <v>33.799999999999997</v>
      </c>
      <c r="I32">
        <v>40.4</v>
      </c>
      <c r="W32" s="1">
        <v>19176</v>
      </c>
      <c r="X32">
        <v>25.4</v>
      </c>
      <c r="Y32" s="4">
        <f t="shared" si="0"/>
        <v>1.7628245898567495E-2</v>
      </c>
      <c r="Z32" s="4">
        <f t="shared" si="12"/>
        <v>0.13392857142857142</v>
      </c>
      <c r="AA32">
        <v>43.3</v>
      </c>
      <c r="AB32">
        <f t="shared" si="13"/>
        <v>45.5</v>
      </c>
      <c r="AP32" s="3">
        <v>19146</v>
      </c>
      <c r="AQ32" s="2">
        <v>39.5</v>
      </c>
      <c r="AR32" s="8" t="str">
        <f t="shared" si="14"/>
        <v>+</v>
      </c>
      <c r="AS32" s="2">
        <v>43.9</v>
      </c>
      <c r="AT32" s="8" t="str">
        <f t="shared" si="15"/>
        <v>+</v>
      </c>
      <c r="AU32" s="2">
        <v>45.7</v>
      </c>
      <c r="AV32" s="8" t="str">
        <f t="shared" si="16"/>
        <v>+</v>
      </c>
      <c r="AW32" s="2">
        <v>42.7</v>
      </c>
      <c r="AX32" s="8" t="str">
        <f t="shared" si="17"/>
        <v>-</v>
      </c>
      <c r="AY32" s="2">
        <v>22.4</v>
      </c>
      <c r="AZ32" s="8" t="str">
        <f t="shared" si="18"/>
        <v>+</v>
      </c>
      <c r="BA32" s="2">
        <v>30.3</v>
      </c>
      <c r="BB32" s="8" t="str">
        <f t="shared" si="19"/>
        <v>-</v>
      </c>
      <c r="BC32" s="2"/>
      <c r="BD32" s="8" t="str">
        <f t="shared" si="20"/>
        <v>+</v>
      </c>
      <c r="BE32" s="2">
        <v>38.799999999999997</v>
      </c>
      <c r="BF32" s="8" t="str">
        <f t="shared" si="11"/>
        <v>-</v>
      </c>
      <c r="BG32" s="2"/>
      <c r="BH32" s="8" t="str">
        <f t="shared" si="21"/>
        <v>+</v>
      </c>
      <c r="BI32" s="2"/>
      <c r="BJ32" s="8" t="str">
        <f t="shared" si="22"/>
        <v>+</v>
      </c>
      <c r="BK32" s="2"/>
      <c r="BL32" s="8" t="str">
        <f t="shared" si="23"/>
        <v>+</v>
      </c>
    </row>
    <row r="33" spans="1:64">
      <c r="A33" s="1">
        <v>19207</v>
      </c>
      <c r="B33">
        <v>48.3</v>
      </c>
      <c r="C33">
        <v>69.400000000000006</v>
      </c>
      <c r="D33">
        <v>39.5</v>
      </c>
      <c r="E33">
        <v>37.200000000000003</v>
      </c>
      <c r="F33">
        <v>47.4</v>
      </c>
      <c r="G33">
        <v>31.6</v>
      </c>
      <c r="I33">
        <v>60.1</v>
      </c>
      <c r="W33" s="1">
        <v>19207</v>
      </c>
      <c r="X33">
        <v>25.030000999999999</v>
      </c>
      <c r="Y33" s="4">
        <f t="shared" si="0"/>
        <v>-1.4566889763779527E-2</v>
      </c>
      <c r="Z33" s="4">
        <f t="shared" si="12"/>
        <v>7.5171818076811947E-2</v>
      </c>
      <c r="AA33">
        <v>48.3</v>
      </c>
      <c r="AB33">
        <f t="shared" si="13"/>
        <v>42.1</v>
      </c>
      <c r="AP33" s="3">
        <v>19176</v>
      </c>
      <c r="AQ33" s="2">
        <v>43.3</v>
      </c>
      <c r="AR33" s="8" t="str">
        <f t="shared" si="14"/>
        <v>+</v>
      </c>
      <c r="AS33" s="2">
        <v>46.3</v>
      </c>
      <c r="AT33" s="8" t="str">
        <f t="shared" si="15"/>
        <v>+</v>
      </c>
      <c r="AU33" s="2">
        <v>49.5</v>
      </c>
      <c r="AV33" s="8" t="str">
        <f t="shared" si="16"/>
        <v>+</v>
      </c>
      <c r="AW33" s="2">
        <v>43.5</v>
      </c>
      <c r="AX33" s="8" t="str">
        <f t="shared" si="17"/>
        <v>+</v>
      </c>
      <c r="AY33" s="2">
        <v>33</v>
      </c>
      <c r="AZ33" s="8" t="str">
        <f t="shared" si="18"/>
        <v>+</v>
      </c>
      <c r="BA33" s="2">
        <v>33.799999999999997</v>
      </c>
      <c r="BB33" s="8" t="str">
        <f t="shared" si="19"/>
        <v>+</v>
      </c>
      <c r="BC33" s="2"/>
      <c r="BD33" s="8" t="str">
        <f t="shared" si="20"/>
        <v>+</v>
      </c>
      <c r="BE33" s="2">
        <v>40.4</v>
      </c>
      <c r="BF33" s="8" t="str">
        <f t="shared" si="11"/>
        <v>+</v>
      </c>
      <c r="BG33" s="2"/>
      <c r="BH33" s="8" t="str">
        <f t="shared" si="21"/>
        <v>+</v>
      </c>
      <c r="BI33" s="2"/>
      <c r="BJ33" s="8" t="str">
        <f t="shared" si="22"/>
        <v>+</v>
      </c>
      <c r="BK33" s="2"/>
      <c r="BL33" s="8" t="str">
        <f t="shared" si="23"/>
        <v>+</v>
      </c>
    </row>
    <row r="34" spans="1:64">
      <c r="A34" s="1">
        <v>19238</v>
      </c>
      <c r="B34">
        <v>60.4</v>
      </c>
      <c r="C34">
        <v>58.5</v>
      </c>
      <c r="D34">
        <v>63.1</v>
      </c>
      <c r="E34">
        <v>84</v>
      </c>
      <c r="F34">
        <v>41.2</v>
      </c>
      <c r="G34">
        <v>30.5</v>
      </c>
      <c r="I34">
        <v>54.7</v>
      </c>
      <c r="W34" s="1">
        <v>19238</v>
      </c>
      <c r="X34">
        <v>24.540001</v>
      </c>
      <c r="Y34" s="4">
        <f t="shared" si="0"/>
        <v>-1.9576507408049983E-2</v>
      </c>
      <c r="Z34" s="4">
        <f t="shared" si="12"/>
        <v>5.5030137575236393E-2</v>
      </c>
      <c r="AA34">
        <v>60.4</v>
      </c>
      <c r="AB34">
        <f t="shared" si="13"/>
        <v>43.6</v>
      </c>
      <c r="AP34" s="3">
        <v>19207</v>
      </c>
      <c r="AQ34" s="2">
        <v>48.3</v>
      </c>
      <c r="AR34" s="8" t="str">
        <f t="shared" si="14"/>
        <v>+</v>
      </c>
      <c r="AS34" s="2">
        <v>69.400000000000006</v>
      </c>
      <c r="AT34" s="8" t="str">
        <f t="shared" si="15"/>
        <v>+</v>
      </c>
      <c r="AU34" s="2">
        <v>37.200000000000003</v>
      </c>
      <c r="AV34" s="8" t="str">
        <f t="shared" si="16"/>
        <v>-</v>
      </c>
      <c r="AW34" s="2">
        <v>39.5</v>
      </c>
      <c r="AX34" s="8" t="str">
        <f t="shared" si="17"/>
        <v>-</v>
      </c>
      <c r="AY34" s="2">
        <v>47.4</v>
      </c>
      <c r="AZ34" s="8" t="str">
        <f t="shared" si="18"/>
        <v>+</v>
      </c>
      <c r="BA34" s="2">
        <v>31.6</v>
      </c>
      <c r="BB34" s="8" t="str">
        <f t="shared" si="19"/>
        <v>-</v>
      </c>
      <c r="BC34" s="2"/>
      <c r="BD34" s="8" t="str">
        <f t="shared" si="20"/>
        <v>+</v>
      </c>
      <c r="BE34" s="2">
        <v>60.1</v>
      </c>
      <c r="BF34" s="8" t="str">
        <f t="shared" si="11"/>
        <v>+</v>
      </c>
      <c r="BG34" s="2"/>
      <c r="BH34" s="8" t="str">
        <f t="shared" si="21"/>
        <v>+</v>
      </c>
      <c r="BI34" s="2"/>
      <c r="BJ34" s="8" t="str">
        <f t="shared" si="22"/>
        <v>+</v>
      </c>
      <c r="BK34" s="2"/>
      <c r="BL34" s="8" t="str">
        <f t="shared" si="23"/>
        <v>+</v>
      </c>
    </row>
    <row r="35" spans="1:64">
      <c r="A35" s="1">
        <v>19268</v>
      </c>
      <c r="B35">
        <v>56.1</v>
      </c>
      <c r="C35">
        <v>60.3</v>
      </c>
      <c r="D35">
        <v>56.2</v>
      </c>
      <c r="E35">
        <v>66</v>
      </c>
      <c r="F35">
        <v>42.7</v>
      </c>
      <c r="G35">
        <v>38.6</v>
      </c>
      <c r="I35">
        <v>57.9</v>
      </c>
      <c r="W35" s="1">
        <v>19268</v>
      </c>
      <c r="X35">
        <v>24.52</v>
      </c>
      <c r="Y35" s="4">
        <f t="shared" si="0"/>
        <v>-8.1503664160407336E-4</v>
      </c>
      <c r="Z35" s="4">
        <f t="shared" si="12"/>
        <v>6.8875280345454259E-2</v>
      </c>
      <c r="AA35">
        <v>56.1</v>
      </c>
      <c r="AB35">
        <f t="shared" si="13"/>
        <v>48.1</v>
      </c>
      <c r="AP35" s="3">
        <v>19238</v>
      </c>
      <c r="AQ35" s="2">
        <v>60.4</v>
      </c>
      <c r="AR35" s="8" t="str">
        <f>IF(OR(AQ35&gt;AQ34,AQ35=AQ34),"+","-")</f>
        <v>+</v>
      </c>
      <c r="AS35" s="2">
        <v>58.5</v>
      </c>
      <c r="AT35" s="8" t="str">
        <f t="shared" si="15"/>
        <v>-</v>
      </c>
      <c r="AU35" s="2">
        <v>84</v>
      </c>
      <c r="AV35" s="8" t="str">
        <f t="shared" si="16"/>
        <v>+</v>
      </c>
      <c r="AW35" s="2">
        <v>63.1</v>
      </c>
      <c r="AX35" s="8" t="str">
        <f t="shared" si="17"/>
        <v>+</v>
      </c>
      <c r="AY35" s="2">
        <v>41.2</v>
      </c>
      <c r="AZ35" s="8" t="str">
        <f t="shared" si="18"/>
        <v>-</v>
      </c>
      <c r="BA35" s="2">
        <v>30.5</v>
      </c>
      <c r="BB35" s="8" t="str">
        <f t="shared" si="19"/>
        <v>-</v>
      </c>
      <c r="BC35" s="2"/>
      <c r="BD35" s="8" t="str">
        <f t="shared" si="20"/>
        <v>+</v>
      </c>
      <c r="BE35" s="2">
        <v>54.7</v>
      </c>
      <c r="BF35" s="8" t="str">
        <f t="shared" si="11"/>
        <v>-</v>
      </c>
      <c r="BG35" s="2"/>
      <c r="BH35" s="8" t="str">
        <f t="shared" si="21"/>
        <v>+</v>
      </c>
      <c r="BI35" s="2"/>
      <c r="BJ35" s="8" t="str">
        <f t="shared" si="22"/>
        <v>+</v>
      </c>
      <c r="BK35" s="2"/>
      <c r="BL35" s="8" t="str">
        <f t="shared" si="23"/>
        <v>+</v>
      </c>
    </row>
    <row r="36" spans="1:64">
      <c r="A36" s="1">
        <v>19299</v>
      </c>
      <c r="B36">
        <v>56.2</v>
      </c>
      <c r="C36">
        <v>59.9</v>
      </c>
      <c r="D36">
        <v>57.8</v>
      </c>
      <c r="E36">
        <v>65.3</v>
      </c>
      <c r="F36">
        <v>43.3</v>
      </c>
      <c r="G36">
        <v>38.200000000000003</v>
      </c>
      <c r="I36">
        <v>54.1</v>
      </c>
      <c r="W36" s="1">
        <v>19299</v>
      </c>
      <c r="X36">
        <v>25.66</v>
      </c>
      <c r="Y36" s="4">
        <f t="shared" si="0"/>
        <v>4.6492659053833631E-2</v>
      </c>
      <c r="Z36" s="4">
        <f t="shared" si="12"/>
        <v>0.12150354552025978</v>
      </c>
      <c r="AA36">
        <v>56.2</v>
      </c>
      <c r="AB36">
        <f t="shared" si="13"/>
        <v>49.6</v>
      </c>
      <c r="AP36" s="3">
        <v>19268</v>
      </c>
      <c r="AQ36" s="2">
        <v>56.1</v>
      </c>
      <c r="AR36" s="8" t="str">
        <f>IF(OR(AQ36&gt;AQ35,AQ36=AQ35),"+","-")</f>
        <v>-</v>
      </c>
      <c r="AS36" s="2">
        <v>60.3</v>
      </c>
      <c r="AT36" s="8" t="str">
        <f>IF(OR(AS36&gt;AS35,AS36=AS35),"+","-")</f>
        <v>+</v>
      </c>
      <c r="AU36" s="2">
        <v>66</v>
      </c>
      <c r="AV36" s="8" t="str">
        <f>IF(OR(AU36&gt;AU35,AU36=AU35),"+","-")</f>
        <v>-</v>
      </c>
      <c r="AW36" s="2">
        <v>56.2</v>
      </c>
      <c r="AX36" s="8" t="str">
        <f>IF(OR(AW36&gt;AW35,AW36=AW35),"+","-")</f>
        <v>-</v>
      </c>
      <c r="AY36" s="2">
        <v>42.7</v>
      </c>
      <c r="AZ36" s="8" t="str">
        <f>IF(OR(AY36&gt;AY35,AY36=AY35),"+","-")</f>
        <v>+</v>
      </c>
      <c r="BA36" s="2">
        <v>38.6</v>
      </c>
      <c r="BB36" s="8" t="str">
        <f>IF(OR(BA36&gt;BA35,BA36=BA35),"+","-")</f>
        <v>+</v>
      </c>
      <c r="BC36" s="2"/>
      <c r="BD36" s="8" t="str">
        <f>IF(OR(BC36&gt;BC35,BC36=BC35),"+","-")</f>
        <v>+</v>
      </c>
      <c r="BE36" s="2">
        <v>57.9</v>
      </c>
      <c r="BF36" s="8" t="str">
        <f t="shared" si="11"/>
        <v>+</v>
      </c>
      <c r="BG36" s="2"/>
      <c r="BH36" s="8" t="str">
        <f>IF(OR(BG36&gt;BG35,BG36=BG35),"+","-")</f>
        <v>+</v>
      </c>
      <c r="BI36" s="2"/>
      <c r="BJ36" s="8" t="str">
        <f>IF(OR(BI36&gt;BI35,BI36=BI35),"+","-")</f>
        <v>+</v>
      </c>
      <c r="BK36" s="2"/>
      <c r="BL36" s="8" t="str">
        <f>IF(OR(BK36&gt;BK35,BK36=BK35),"+","-")</f>
        <v>+</v>
      </c>
    </row>
    <row r="37" spans="1:64">
      <c r="A37" s="1">
        <v>19329</v>
      </c>
      <c r="B37">
        <v>56.8</v>
      </c>
      <c r="C37">
        <v>58.8</v>
      </c>
      <c r="D37">
        <v>60.9</v>
      </c>
      <c r="E37">
        <v>65</v>
      </c>
      <c r="F37">
        <v>45</v>
      </c>
      <c r="G37">
        <v>39.9</v>
      </c>
      <c r="I37">
        <v>49.7</v>
      </c>
      <c r="W37" s="1">
        <v>19329</v>
      </c>
      <c r="X37">
        <v>26.57</v>
      </c>
      <c r="Y37" s="4">
        <f t="shared" si="0"/>
        <v>3.5463756819953243E-2</v>
      </c>
      <c r="Z37" s="4">
        <f t="shared" si="12"/>
        <v>0.1177955405973917</v>
      </c>
      <c r="AA37">
        <v>56.8</v>
      </c>
      <c r="AB37">
        <f t="shared" si="13"/>
        <v>47.2</v>
      </c>
      <c r="AP37" s="3">
        <v>19299</v>
      </c>
      <c r="AQ37" s="2">
        <v>56.2</v>
      </c>
      <c r="AR37" s="8" t="str">
        <f>IF(OR(AQ37&gt;AQ36,AQ37=AQ36),"+","-")</f>
        <v>+</v>
      </c>
      <c r="AS37" s="2">
        <v>59.9</v>
      </c>
      <c r="AT37" s="8" t="str">
        <f>IF(OR(AS37&gt;AS36,AS37=AS36),"+","-")</f>
        <v>-</v>
      </c>
      <c r="AU37" s="2">
        <v>65.3</v>
      </c>
      <c r="AV37" s="8" t="str">
        <f>IF(OR(AU37&gt;AU36,AU37=AU36),"+","-")</f>
        <v>-</v>
      </c>
      <c r="AW37" s="2">
        <v>57.8</v>
      </c>
      <c r="AX37" s="8" t="str">
        <f>IF(OR(AW37&gt;AW36,AW37=AW36),"+","-")</f>
        <v>+</v>
      </c>
      <c r="AY37" s="2">
        <v>43.3</v>
      </c>
      <c r="AZ37" s="8" t="str">
        <f>IF(OR(AY37&gt;AY36,AY37=AY36),"+","-")</f>
        <v>+</v>
      </c>
      <c r="BA37" s="2">
        <v>38.200000000000003</v>
      </c>
      <c r="BB37" s="8" t="str">
        <f>IF(OR(BA37&gt;BA36,BA37=BA36),"+","-")</f>
        <v>-</v>
      </c>
      <c r="BC37" s="2"/>
      <c r="BD37" s="8" t="str">
        <f>IF(OR(BC37&gt;BC36,BC37=BC36),"+","-")</f>
        <v>+</v>
      </c>
      <c r="BE37" s="2">
        <v>54.1</v>
      </c>
      <c r="BF37" s="8" t="str">
        <f t="shared" si="11"/>
        <v>-</v>
      </c>
      <c r="BG37" s="2"/>
      <c r="BH37" s="8" t="str">
        <f>IF(OR(BG37&gt;BG36,BG37=BG36),"+","-")</f>
        <v>+</v>
      </c>
      <c r="BI37" s="2"/>
      <c r="BJ37" s="8" t="str">
        <f>IF(OR(BI37&gt;BI36,BI37=BI36),"+","-")</f>
        <v>+</v>
      </c>
      <c r="BK37" s="2"/>
      <c r="BL37" s="8" t="str">
        <f>IF(OR(BK37&gt;BK36,BK37=BK36),"+","-")</f>
        <v>+</v>
      </c>
    </row>
    <row r="38" spans="1:64">
      <c r="A38" s="1">
        <v>19360</v>
      </c>
      <c r="B38">
        <v>55.8</v>
      </c>
      <c r="C38">
        <v>60.4</v>
      </c>
      <c r="D38">
        <v>55.6</v>
      </c>
      <c r="E38">
        <v>64.3</v>
      </c>
      <c r="F38">
        <v>43.5</v>
      </c>
      <c r="G38">
        <v>40</v>
      </c>
      <c r="I38">
        <v>48.2</v>
      </c>
      <c r="W38" s="1">
        <v>19360</v>
      </c>
      <c r="X38">
        <v>26.379999000000002</v>
      </c>
      <c r="Y38" s="4">
        <f t="shared" si="0"/>
        <v>-7.1509597290176424E-3</v>
      </c>
      <c r="Z38" s="4">
        <f t="shared" si="12"/>
        <v>9.2792050239935892E-2</v>
      </c>
      <c r="AA38">
        <v>55.8</v>
      </c>
      <c r="AB38">
        <f t="shared" si="13"/>
        <v>46.5</v>
      </c>
      <c r="AP38" s="3">
        <v>19329</v>
      </c>
      <c r="AQ38" s="2">
        <v>56.8</v>
      </c>
      <c r="AR38" s="2" t="str">
        <f t="shared" ref="AR38:AR101" si="24">IF(OR(AQ38&gt;AQ37,AQ38=AQ37),"+","-")</f>
        <v>+</v>
      </c>
      <c r="AS38" s="2">
        <v>58.8</v>
      </c>
      <c r="AT38" s="8" t="str">
        <f>IF(OR(AS38&gt;AS37,AS38=AS37),"+","-")</f>
        <v>-</v>
      </c>
      <c r="AU38" s="2">
        <v>65</v>
      </c>
      <c r="AV38" s="8" t="str">
        <f>IF(OR(AU38&gt;AU37,AU38=AU37),"+","-")</f>
        <v>-</v>
      </c>
      <c r="AW38" s="2">
        <v>60.9</v>
      </c>
      <c r="AX38" s="8" t="str">
        <f>IF(OR(AW38&gt;AW37,AW38=AW37),"+","-")</f>
        <v>+</v>
      </c>
      <c r="AY38" s="2">
        <v>45</v>
      </c>
      <c r="AZ38" s="8" t="str">
        <f>IF(OR(AY38&gt;AY37,AY38=AY37),"+","-")</f>
        <v>+</v>
      </c>
      <c r="BA38" s="2">
        <v>39.9</v>
      </c>
      <c r="BB38" s="8" t="str">
        <f>IF(OR(BA38&gt;BA37,BA38=BA37),"+","-")</f>
        <v>+</v>
      </c>
      <c r="BC38" s="2"/>
      <c r="BD38" s="8" t="str">
        <f>IF(OR(BC38&gt;BC37,BC38=BC37),"+","-")</f>
        <v>+</v>
      </c>
      <c r="BE38" s="2">
        <v>49.7</v>
      </c>
      <c r="BF38" s="8" t="str">
        <f t="shared" si="11"/>
        <v>-</v>
      </c>
      <c r="BG38" s="2"/>
      <c r="BH38" s="8" t="str">
        <f>IF(OR(BG38&gt;BG37,BG38=BG37),"+","-")</f>
        <v>+</v>
      </c>
      <c r="BI38" s="2"/>
      <c r="BJ38" s="8" t="str">
        <f>IF(OR(BI38&gt;BI37,BI38=BI37),"+","-")</f>
        <v>+</v>
      </c>
      <c r="BK38" s="2"/>
      <c r="BL38" s="8" t="str">
        <f>IF(OR(BK38&gt;BK37,BK38=BK37),"+","-")</f>
        <v>+</v>
      </c>
    </row>
    <row r="39" spans="1:64">
      <c r="A39" s="1">
        <v>19391</v>
      </c>
      <c r="B39">
        <v>59.4</v>
      </c>
      <c r="C39">
        <v>64.599999999999994</v>
      </c>
      <c r="D39">
        <v>61.5</v>
      </c>
      <c r="E39">
        <v>69.8</v>
      </c>
      <c r="F39">
        <v>41.5</v>
      </c>
      <c r="G39">
        <v>40.9</v>
      </c>
      <c r="I39">
        <v>45.1</v>
      </c>
      <c r="W39" s="1">
        <v>19391</v>
      </c>
      <c r="X39">
        <v>25.9</v>
      </c>
      <c r="Y39" s="4">
        <f t="shared" si="0"/>
        <v>-1.8195565511583339E-2</v>
      </c>
      <c r="Z39" s="4">
        <f t="shared" si="12"/>
        <v>0.11349957007738594</v>
      </c>
      <c r="AA39">
        <v>59.4</v>
      </c>
      <c r="AB39">
        <f t="shared" si="13"/>
        <v>44.7</v>
      </c>
      <c r="AP39" s="3">
        <v>19360</v>
      </c>
      <c r="AQ39" s="2">
        <v>55.8</v>
      </c>
      <c r="AR39" s="2" t="str">
        <f t="shared" si="24"/>
        <v>-</v>
      </c>
      <c r="AS39" s="2">
        <v>60.4</v>
      </c>
      <c r="AT39" s="8" t="str">
        <f t="shared" ref="AT39:AT102" si="25">IF(OR(AS39&gt;AS38,AS39=AS38),"+","-")</f>
        <v>+</v>
      </c>
      <c r="AU39" s="2">
        <v>64.3</v>
      </c>
      <c r="AV39" s="8" t="str">
        <f t="shared" ref="AV39:AV102" si="26">IF(OR(AU39&gt;AU38,AU39=AU38),"+","-")</f>
        <v>-</v>
      </c>
      <c r="AW39" s="2">
        <v>55.6</v>
      </c>
      <c r="AX39" s="8" t="str">
        <f t="shared" ref="AX39:AX102" si="27">IF(OR(AW39&gt;AW38,AW39=AW38),"+","-")</f>
        <v>-</v>
      </c>
      <c r="AY39" s="2">
        <v>43.5</v>
      </c>
      <c r="AZ39" s="8" t="str">
        <f t="shared" ref="AZ39:AZ102" si="28">IF(OR(AY39&gt;AY38,AY39=AY38),"+","-")</f>
        <v>-</v>
      </c>
      <c r="BA39" s="2">
        <v>40</v>
      </c>
      <c r="BB39" s="8" t="str">
        <f t="shared" ref="BB39:BB102" si="29">IF(OR(BA39&gt;BA38,BA39=BA38),"+","-")</f>
        <v>+</v>
      </c>
      <c r="BC39" s="2"/>
      <c r="BD39" s="8" t="str">
        <f t="shared" ref="BD39:BD102" si="30">IF(OR(BC39&gt;BC38,BC39=BC38),"+","-")</f>
        <v>+</v>
      </c>
      <c r="BE39" s="2">
        <v>48.2</v>
      </c>
      <c r="BF39" s="8" t="str">
        <f t="shared" si="11"/>
        <v>-</v>
      </c>
      <c r="BG39" s="2"/>
      <c r="BH39" s="8" t="str">
        <f t="shared" ref="BH39:BH102" si="31">IF(OR(BG39&gt;BG38,BG39=BG38),"+","-")</f>
        <v>+</v>
      </c>
      <c r="BI39" s="2"/>
      <c r="BJ39" s="8" t="str">
        <f t="shared" ref="BJ39:BJ102" si="32">IF(OR(BI39&gt;BI38,BI39=BI38),"+","-")</f>
        <v>+</v>
      </c>
      <c r="BK39" s="2"/>
      <c r="BL39" s="8" t="str">
        <f t="shared" ref="BL39:BL102" si="33">IF(OR(BK39&gt;BK38,BK39=BK38),"+","-")</f>
        <v>+</v>
      </c>
    </row>
    <row r="40" spans="1:64">
      <c r="A40" s="1">
        <v>19419</v>
      </c>
      <c r="B40">
        <v>55.4</v>
      </c>
      <c r="C40">
        <v>56</v>
      </c>
      <c r="D40">
        <v>61.7</v>
      </c>
      <c r="E40">
        <v>62.4</v>
      </c>
      <c r="F40">
        <v>41.8</v>
      </c>
      <c r="G40">
        <v>44.3</v>
      </c>
      <c r="I40">
        <v>54.5</v>
      </c>
      <c r="W40" s="1">
        <v>19419</v>
      </c>
      <c r="X40">
        <v>25.290001</v>
      </c>
      <c r="Y40" s="4">
        <f t="shared" si="0"/>
        <v>-2.3552084942084883E-2</v>
      </c>
      <c r="Z40" s="4">
        <f t="shared" si="12"/>
        <v>3.7751332057803434E-2</v>
      </c>
      <c r="AA40">
        <v>55.4</v>
      </c>
      <c r="AB40">
        <f t="shared" si="13"/>
        <v>41.8</v>
      </c>
      <c r="AP40" s="3">
        <v>19391</v>
      </c>
      <c r="AQ40" s="2">
        <v>59.4</v>
      </c>
      <c r="AR40" s="2" t="str">
        <f t="shared" si="24"/>
        <v>+</v>
      </c>
      <c r="AS40" s="2">
        <v>64.599999999999994</v>
      </c>
      <c r="AT40" s="8" t="str">
        <f t="shared" si="25"/>
        <v>+</v>
      </c>
      <c r="AU40" s="2">
        <v>69.8</v>
      </c>
      <c r="AV40" s="8" t="str">
        <f t="shared" si="26"/>
        <v>+</v>
      </c>
      <c r="AW40" s="2">
        <v>61.5</v>
      </c>
      <c r="AX40" s="8" t="str">
        <f t="shared" si="27"/>
        <v>+</v>
      </c>
      <c r="AY40" s="2">
        <v>41.5</v>
      </c>
      <c r="AZ40" s="8" t="str">
        <f t="shared" si="28"/>
        <v>-</v>
      </c>
      <c r="BA40" s="2">
        <v>40.9</v>
      </c>
      <c r="BB40" s="8" t="str">
        <f t="shared" si="29"/>
        <v>+</v>
      </c>
      <c r="BC40" s="2"/>
      <c r="BD40" s="8" t="str">
        <f t="shared" si="30"/>
        <v>+</v>
      </c>
      <c r="BE40" s="2">
        <v>45.1</v>
      </c>
      <c r="BF40" s="8" t="str">
        <f t="shared" si="11"/>
        <v>-</v>
      </c>
      <c r="BG40" s="2"/>
      <c r="BH40" s="8" t="str">
        <f t="shared" si="31"/>
        <v>+</v>
      </c>
      <c r="BI40" s="2"/>
      <c r="BJ40" s="8" t="str">
        <f t="shared" si="32"/>
        <v>+</v>
      </c>
      <c r="BK40" s="2"/>
      <c r="BL40" s="8" t="str">
        <f t="shared" si="33"/>
        <v>+</v>
      </c>
    </row>
    <row r="41" spans="1:64">
      <c r="A41" s="1">
        <v>19450</v>
      </c>
      <c r="B41">
        <v>50.5</v>
      </c>
      <c r="C41">
        <v>47.2</v>
      </c>
      <c r="D41">
        <v>59.4</v>
      </c>
      <c r="E41">
        <v>54</v>
      </c>
      <c r="F41">
        <v>41.8</v>
      </c>
      <c r="G41">
        <v>46.4</v>
      </c>
      <c r="I41">
        <v>73.3</v>
      </c>
      <c r="W41" s="1">
        <v>19450</v>
      </c>
      <c r="X41">
        <v>24.620000999999998</v>
      </c>
      <c r="Y41" s="4">
        <f t="shared" si="0"/>
        <v>-2.649268380811854E-2</v>
      </c>
      <c r="Z41" s="4">
        <f t="shared" si="12"/>
        <v>5.5746183533447603E-2</v>
      </c>
      <c r="AA41">
        <v>50.5</v>
      </c>
      <c r="AB41">
        <f t="shared" si="13"/>
        <v>40</v>
      </c>
      <c r="AP41" s="3">
        <v>19419</v>
      </c>
      <c r="AQ41" s="2">
        <v>55.4</v>
      </c>
      <c r="AR41" s="2" t="str">
        <f t="shared" si="24"/>
        <v>-</v>
      </c>
      <c r="AS41" s="2">
        <v>56</v>
      </c>
      <c r="AT41" s="8" t="str">
        <f t="shared" si="25"/>
        <v>-</v>
      </c>
      <c r="AU41" s="2">
        <v>62.4</v>
      </c>
      <c r="AV41" s="8" t="str">
        <f t="shared" si="26"/>
        <v>-</v>
      </c>
      <c r="AW41" s="2">
        <v>61.7</v>
      </c>
      <c r="AX41" s="8" t="str">
        <f t="shared" si="27"/>
        <v>+</v>
      </c>
      <c r="AY41" s="2">
        <v>41.8</v>
      </c>
      <c r="AZ41" s="8" t="str">
        <f t="shared" si="28"/>
        <v>+</v>
      </c>
      <c r="BA41" s="2">
        <v>44.3</v>
      </c>
      <c r="BB41" s="8" t="str">
        <f t="shared" si="29"/>
        <v>+</v>
      </c>
      <c r="BC41" s="2"/>
      <c r="BD41" s="8" t="str">
        <f t="shared" si="30"/>
        <v>+</v>
      </c>
      <c r="BE41" s="2">
        <v>54.5</v>
      </c>
      <c r="BF41" s="8" t="str">
        <f t="shared" si="11"/>
        <v>+</v>
      </c>
      <c r="BG41" s="2"/>
      <c r="BH41" s="8" t="str">
        <f t="shared" si="31"/>
        <v>+</v>
      </c>
      <c r="BI41" s="2"/>
      <c r="BJ41" s="8" t="str">
        <f t="shared" si="32"/>
        <v>+</v>
      </c>
      <c r="BK41" s="2"/>
      <c r="BL41" s="8" t="str">
        <f t="shared" si="33"/>
        <v>+</v>
      </c>
    </row>
    <row r="42" spans="1:64">
      <c r="A42" s="1">
        <v>19480</v>
      </c>
      <c r="B42">
        <v>51.1</v>
      </c>
      <c r="C42">
        <v>52</v>
      </c>
      <c r="D42">
        <v>55</v>
      </c>
      <c r="E42">
        <v>57.3</v>
      </c>
      <c r="F42">
        <v>38.6</v>
      </c>
      <c r="G42">
        <v>43.8</v>
      </c>
      <c r="I42">
        <v>69.3</v>
      </c>
      <c r="W42" s="1">
        <v>19480</v>
      </c>
      <c r="X42">
        <v>24.540001</v>
      </c>
      <c r="Y42" s="4">
        <f t="shared" si="0"/>
        <v>-3.2493906072545774E-3</v>
      </c>
      <c r="Z42" s="4">
        <f t="shared" si="12"/>
        <v>2.8499579694066218E-2</v>
      </c>
      <c r="AA42">
        <v>51.1</v>
      </c>
      <c r="AB42">
        <f t="shared" si="13"/>
        <v>36.700000000000003</v>
      </c>
      <c r="AP42" s="3">
        <v>19450</v>
      </c>
      <c r="AQ42" s="2">
        <v>50.5</v>
      </c>
      <c r="AR42" s="2" t="str">
        <f t="shared" si="24"/>
        <v>-</v>
      </c>
      <c r="AS42" s="2">
        <v>47.2</v>
      </c>
      <c r="AT42" s="8" t="str">
        <f t="shared" si="25"/>
        <v>-</v>
      </c>
      <c r="AU42" s="2">
        <v>54</v>
      </c>
      <c r="AV42" s="8" t="str">
        <f t="shared" si="26"/>
        <v>-</v>
      </c>
      <c r="AW42" s="2">
        <v>59.4</v>
      </c>
      <c r="AX42" s="8" t="str">
        <f t="shared" si="27"/>
        <v>-</v>
      </c>
      <c r="AY42" s="2">
        <v>41.8</v>
      </c>
      <c r="AZ42" s="8" t="str">
        <f t="shared" si="28"/>
        <v>+</v>
      </c>
      <c r="BA42" s="2">
        <v>46.4</v>
      </c>
      <c r="BB42" s="8" t="str">
        <f t="shared" si="29"/>
        <v>+</v>
      </c>
      <c r="BC42" s="2"/>
      <c r="BD42" s="8" t="str">
        <f t="shared" si="30"/>
        <v>+</v>
      </c>
      <c r="BE42" s="2">
        <v>73.3</v>
      </c>
      <c r="BF42" s="8" t="str">
        <f t="shared" si="11"/>
        <v>+</v>
      </c>
      <c r="BG42" s="2"/>
      <c r="BH42" s="8" t="str">
        <f t="shared" si="31"/>
        <v>+</v>
      </c>
      <c r="BI42" s="2"/>
      <c r="BJ42" s="8" t="str">
        <f t="shared" si="32"/>
        <v>+</v>
      </c>
      <c r="BK42" s="2"/>
      <c r="BL42" s="8" t="str">
        <f t="shared" si="33"/>
        <v>+</v>
      </c>
    </row>
    <row r="43" spans="1:64">
      <c r="A43" s="1">
        <v>19511</v>
      </c>
      <c r="B43">
        <v>48.9</v>
      </c>
      <c r="C43">
        <v>49.3</v>
      </c>
      <c r="D43">
        <v>52.3</v>
      </c>
      <c r="E43">
        <v>57.1</v>
      </c>
      <c r="F43">
        <v>35.1</v>
      </c>
      <c r="G43">
        <v>41.2</v>
      </c>
      <c r="I43">
        <v>72.3</v>
      </c>
      <c r="W43" s="1">
        <v>19511</v>
      </c>
      <c r="X43">
        <v>24.139999</v>
      </c>
      <c r="Y43" s="4">
        <f t="shared" si="0"/>
        <v>-1.6299999335778373E-2</v>
      </c>
      <c r="Z43" s="4">
        <f t="shared" si="12"/>
        <v>-3.2852565418772663E-2</v>
      </c>
      <c r="AA43">
        <v>48.9</v>
      </c>
      <c r="AB43">
        <f t="shared" si="13"/>
        <v>39.5</v>
      </c>
      <c r="AP43" s="3">
        <v>19480</v>
      </c>
      <c r="AQ43" s="2">
        <v>51.1</v>
      </c>
      <c r="AR43" s="2" t="str">
        <f t="shared" si="24"/>
        <v>+</v>
      </c>
      <c r="AS43" s="2">
        <v>52</v>
      </c>
      <c r="AT43" s="8" t="str">
        <f t="shared" si="25"/>
        <v>+</v>
      </c>
      <c r="AU43" s="2">
        <v>57.3</v>
      </c>
      <c r="AV43" s="8" t="str">
        <f t="shared" si="26"/>
        <v>+</v>
      </c>
      <c r="AW43" s="2">
        <v>55</v>
      </c>
      <c r="AX43" s="8" t="str">
        <f t="shared" si="27"/>
        <v>-</v>
      </c>
      <c r="AY43" s="2">
        <v>38.6</v>
      </c>
      <c r="AZ43" s="8" t="str">
        <f t="shared" si="28"/>
        <v>-</v>
      </c>
      <c r="BA43" s="2">
        <v>43.8</v>
      </c>
      <c r="BB43" s="8" t="str">
        <f t="shared" si="29"/>
        <v>-</v>
      </c>
      <c r="BC43" s="2"/>
      <c r="BD43" s="8" t="str">
        <f t="shared" si="30"/>
        <v>+</v>
      </c>
      <c r="BE43" s="2">
        <v>69.3</v>
      </c>
      <c r="BF43" s="8" t="str">
        <f t="shared" si="11"/>
        <v>-</v>
      </c>
      <c r="BG43" s="2"/>
      <c r="BH43" s="8" t="str">
        <f t="shared" si="31"/>
        <v>+</v>
      </c>
      <c r="BI43" s="2"/>
      <c r="BJ43" s="8" t="str">
        <f t="shared" si="32"/>
        <v>+</v>
      </c>
      <c r="BK43" s="2"/>
      <c r="BL43" s="8" t="str">
        <f t="shared" si="33"/>
        <v>+</v>
      </c>
    </row>
    <row r="44" spans="1:64">
      <c r="A44" s="1">
        <v>19541</v>
      </c>
      <c r="B44">
        <v>48.5</v>
      </c>
      <c r="C44">
        <v>48.3</v>
      </c>
      <c r="D44">
        <v>53.8</v>
      </c>
      <c r="E44">
        <v>55.2</v>
      </c>
      <c r="F44">
        <v>33.299999999999997</v>
      </c>
      <c r="G44">
        <v>44.6</v>
      </c>
      <c r="I44">
        <v>69.7</v>
      </c>
      <c r="W44" s="1">
        <v>19541</v>
      </c>
      <c r="X44">
        <v>24.75</v>
      </c>
      <c r="Y44" s="4">
        <f t="shared" si="0"/>
        <v>2.5269305106433538E-2</v>
      </c>
      <c r="Z44" s="4">
        <f t="shared" si="12"/>
        <v>-2.5590551181102306E-2</v>
      </c>
      <c r="AA44">
        <v>48.5</v>
      </c>
      <c r="AB44">
        <f t="shared" si="13"/>
        <v>43.3</v>
      </c>
      <c r="AP44" s="3">
        <v>19511</v>
      </c>
      <c r="AQ44" s="2">
        <v>48.9</v>
      </c>
      <c r="AR44" s="2" t="str">
        <f t="shared" si="24"/>
        <v>-</v>
      </c>
      <c r="AS44" s="2">
        <v>49.3</v>
      </c>
      <c r="AT44" s="8" t="str">
        <f t="shared" si="25"/>
        <v>-</v>
      </c>
      <c r="AU44" s="2">
        <v>57.1</v>
      </c>
      <c r="AV44" s="8" t="str">
        <f t="shared" si="26"/>
        <v>-</v>
      </c>
      <c r="AW44" s="2">
        <v>52.3</v>
      </c>
      <c r="AX44" s="8" t="str">
        <f t="shared" si="27"/>
        <v>-</v>
      </c>
      <c r="AY44" s="2">
        <v>35.1</v>
      </c>
      <c r="AZ44" s="8" t="str">
        <f t="shared" si="28"/>
        <v>-</v>
      </c>
      <c r="BA44" s="2">
        <v>41.2</v>
      </c>
      <c r="BB44" s="8" t="str">
        <f t="shared" si="29"/>
        <v>-</v>
      </c>
      <c r="BC44" s="2"/>
      <c r="BD44" s="8" t="str">
        <f t="shared" si="30"/>
        <v>+</v>
      </c>
      <c r="BE44" s="2">
        <v>72.3</v>
      </c>
      <c r="BF44" s="8" t="str">
        <f t="shared" si="11"/>
        <v>+</v>
      </c>
      <c r="BG44" s="2"/>
      <c r="BH44" s="8" t="str">
        <f t="shared" si="31"/>
        <v>+</v>
      </c>
      <c r="BI44" s="2"/>
      <c r="BJ44" s="8" t="str">
        <f t="shared" si="32"/>
        <v>+</v>
      </c>
      <c r="BK44" s="2"/>
      <c r="BL44" s="8" t="str">
        <f t="shared" si="33"/>
        <v>+</v>
      </c>
    </row>
    <row r="45" spans="1:64">
      <c r="A45" s="1">
        <v>19572</v>
      </c>
      <c r="B45">
        <v>46.3</v>
      </c>
      <c r="C45">
        <v>44.2</v>
      </c>
      <c r="D45">
        <v>54.4</v>
      </c>
      <c r="E45">
        <v>53.1</v>
      </c>
      <c r="F45">
        <v>28.5</v>
      </c>
      <c r="G45">
        <v>45.6</v>
      </c>
      <c r="I45">
        <v>62</v>
      </c>
      <c r="W45" s="1">
        <v>19572</v>
      </c>
      <c r="X45">
        <v>23.32</v>
      </c>
      <c r="Y45" s="4">
        <f t="shared" si="0"/>
        <v>-5.7777777777777768E-2</v>
      </c>
      <c r="Z45" s="4">
        <f t="shared" si="12"/>
        <v>-6.8318055600557051E-2</v>
      </c>
      <c r="AA45">
        <v>46.3</v>
      </c>
      <c r="AB45">
        <f t="shared" si="13"/>
        <v>48.3</v>
      </c>
      <c r="AP45" s="3">
        <v>19541</v>
      </c>
      <c r="AQ45" s="2">
        <v>48.5</v>
      </c>
      <c r="AR45" s="2" t="str">
        <f t="shared" si="24"/>
        <v>-</v>
      </c>
      <c r="AS45" s="2">
        <v>48.3</v>
      </c>
      <c r="AT45" s="8" t="str">
        <f t="shared" si="25"/>
        <v>-</v>
      </c>
      <c r="AU45" s="2">
        <v>55.2</v>
      </c>
      <c r="AV45" s="8" t="str">
        <f t="shared" si="26"/>
        <v>-</v>
      </c>
      <c r="AW45" s="2">
        <v>53.8</v>
      </c>
      <c r="AX45" s="8" t="str">
        <f t="shared" si="27"/>
        <v>+</v>
      </c>
      <c r="AY45" s="2">
        <v>33.299999999999997</v>
      </c>
      <c r="AZ45" s="8" t="str">
        <f t="shared" si="28"/>
        <v>-</v>
      </c>
      <c r="BA45" s="2">
        <v>44.6</v>
      </c>
      <c r="BB45" s="8" t="str">
        <f t="shared" si="29"/>
        <v>+</v>
      </c>
      <c r="BC45" s="2"/>
      <c r="BD45" s="8" t="str">
        <f t="shared" si="30"/>
        <v>+</v>
      </c>
      <c r="BE45" s="2">
        <v>69.7</v>
      </c>
      <c r="BF45" s="8" t="str">
        <f t="shared" si="11"/>
        <v>-</v>
      </c>
      <c r="BG45" s="2"/>
      <c r="BH45" s="8" t="str">
        <f t="shared" si="31"/>
        <v>+</v>
      </c>
      <c r="BI45" s="2"/>
      <c r="BJ45" s="8" t="str">
        <f t="shared" si="32"/>
        <v>+</v>
      </c>
      <c r="BK45" s="2"/>
      <c r="BL45" s="8" t="str">
        <f t="shared" si="33"/>
        <v>+</v>
      </c>
    </row>
    <row r="46" spans="1:64">
      <c r="A46" s="1">
        <v>19603</v>
      </c>
      <c r="B46">
        <v>43.5</v>
      </c>
      <c r="C46">
        <v>42.1</v>
      </c>
      <c r="D46">
        <v>48.1</v>
      </c>
      <c r="E46">
        <v>50.7</v>
      </c>
      <c r="F46">
        <v>26.5</v>
      </c>
      <c r="G46">
        <v>46.2</v>
      </c>
      <c r="I46">
        <v>55.8</v>
      </c>
      <c r="W46" s="1">
        <v>19603</v>
      </c>
      <c r="X46">
        <v>23.35</v>
      </c>
      <c r="Y46" s="4">
        <f t="shared" si="0"/>
        <v>1.2864493996569955E-3</v>
      </c>
      <c r="Z46" s="4">
        <f t="shared" si="12"/>
        <v>-4.8492296312457314E-2</v>
      </c>
      <c r="AA46">
        <v>43.5</v>
      </c>
      <c r="AB46">
        <f t="shared" si="13"/>
        <v>60.4</v>
      </c>
      <c r="AP46" s="3">
        <v>19572</v>
      </c>
      <c r="AQ46" s="2">
        <v>46.3</v>
      </c>
      <c r="AR46" s="2" t="str">
        <f t="shared" si="24"/>
        <v>-</v>
      </c>
      <c r="AS46" s="2">
        <v>44.2</v>
      </c>
      <c r="AT46" s="8" t="str">
        <f t="shared" si="25"/>
        <v>-</v>
      </c>
      <c r="AU46" s="2">
        <v>53.1</v>
      </c>
      <c r="AV46" s="8" t="str">
        <f t="shared" si="26"/>
        <v>-</v>
      </c>
      <c r="AW46" s="2">
        <v>54.4</v>
      </c>
      <c r="AX46" s="8" t="str">
        <f t="shared" si="27"/>
        <v>+</v>
      </c>
      <c r="AY46" s="2">
        <v>28.5</v>
      </c>
      <c r="AZ46" s="8" t="str">
        <f t="shared" si="28"/>
        <v>-</v>
      </c>
      <c r="BA46" s="2">
        <v>45.6</v>
      </c>
      <c r="BB46" s="8" t="str">
        <f t="shared" si="29"/>
        <v>+</v>
      </c>
      <c r="BC46" s="2"/>
      <c r="BD46" s="8" t="str">
        <f t="shared" si="30"/>
        <v>+</v>
      </c>
      <c r="BE46" s="2">
        <v>62</v>
      </c>
      <c r="BF46" s="8" t="str">
        <f t="shared" si="11"/>
        <v>-</v>
      </c>
      <c r="BG46" s="2"/>
      <c r="BH46" s="8" t="str">
        <f t="shared" si="31"/>
        <v>+</v>
      </c>
      <c r="BI46" s="2"/>
      <c r="BJ46" s="8" t="str">
        <f t="shared" si="32"/>
        <v>+</v>
      </c>
      <c r="BK46" s="2"/>
      <c r="BL46" s="8" t="str">
        <f t="shared" si="33"/>
        <v>+</v>
      </c>
    </row>
    <row r="47" spans="1:64">
      <c r="A47" s="1">
        <v>19633</v>
      </c>
      <c r="B47">
        <v>40.200000000000003</v>
      </c>
      <c r="C47">
        <v>39.9</v>
      </c>
      <c r="D47">
        <v>43.8</v>
      </c>
      <c r="E47">
        <v>46.8</v>
      </c>
      <c r="F47">
        <v>23.2</v>
      </c>
      <c r="G47">
        <v>43.3</v>
      </c>
      <c r="I47">
        <v>43.8</v>
      </c>
      <c r="W47" s="1">
        <v>19633</v>
      </c>
      <c r="X47">
        <v>24.540001</v>
      </c>
      <c r="Y47" s="4">
        <f t="shared" si="0"/>
        <v>5.0963640256959257E-2</v>
      </c>
      <c r="Z47" s="4">
        <f t="shared" si="12"/>
        <v>8.1570146818925782E-4</v>
      </c>
      <c r="AA47">
        <v>40.200000000000003</v>
      </c>
      <c r="AB47">
        <f t="shared" si="13"/>
        <v>56.1</v>
      </c>
      <c r="AP47" s="3">
        <v>19603</v>
      </c>
      <c r="AQ47" s="2">
        <v>43.5</v>
      </c>
      <c r="AR47" s="2" t="str">
        <f t="shared" si="24"/>
        <v>-</v>
      </c>
      <c r="AS47" s="2">
        <v>42.1</v>
      </c>
      <c r="AT47" s="8" t="str">
        <f t="shared" si="25"/>
        <v>-</v>
      </c>
      <c r="AU47" s="2">
        <v>50.7</v>
      </c>
      <c r="AV47" s="8" t="str">
        <f t="shared" si="26"/>
        <v>-</v>
      </c>
      <c r="AW47" s="2">
        <v>48.1</v>
      </c>
      <c r="AX47" s="8" t="str">
        <f t="shared" si="27"/>
        <v>-</v>
      </c>
      <c r="AY47" s="2">
        <v>26.5</v>
      </c>
      <c r="AZ47" s="8" t="str">
        <f t="shared" si="28"/>
        <v>-</v>
      </c>
      <c r="BA47" s="2">
        <v>46.2</v>
      </c>
      <c r="BB47" s="8" t="str">
        <f t="shared" si="29"/>
        <v>+</v>
      </c>
      <c r="BC47" s="2"/>
      <c r="BD47" s="8" t="str">
        <f t="shared" si="30"/>
        <v>+</v>
      </c>
      <c r="BE47" s="2">
        <v>55.8</v>
      </c>
      <c r="BF47" s="8" t="str">
        <f t="shared" si="11"/>
        <v>-</v>
      </c>
      <c r="BG47" s="2"/>
      <c r="BH47" s="8" t="str">
        <f t="shared" si="31"/>
        <v>+</v>
      </c>
      <c r="BI47" s="2"/>
      <c r="BJ47" s="8" t="str">
        <f t="shared" si="32"/>
        <v>+</v>
      </c>
      <c r="BK47" s="2"/>
      <c r="BL47" s="8" t="str">
        <f t="shared" si="33"/>
        <v>+</v>
      </c>
    </row>
    <row r="48" spans="1:64">
      <c r="A48" s="1">
        <v>19664</v>
      </c>
      <c r="B48">
        <v>37.4</v>
      </c>
      <c r="C48">
        <v>38</v>
      </c>
      <c r="D48">
        <v>37.9</v>
      </c>
      <c r="E48">
        <v>44.6</v>
      </c>
      <c r="F48">
        <v>20.7</v>
      </c>
      <c r="G48">
        <v>41.3</v>
      </c>
      <c r="I48">
        <v>45.1</v>
      </c>
      <c r="W48" s="1">
        <v>19664</v>
      </c>
      <c r="X48">
        <v>24.76</v>
      </c>
      <c r="Y48" s="4">
        <f t="shared" si="0"/>
        <v>8.9649140601095086E-3</v>
      </c>
      <c r="Z48" s="4">
        <f t="shared" si="12"/>
        <v>-3.5074045206547097E-2</v>
      </c>
      <c r="AA48">
        <v>37.4</v>
      </c>
      <c r="AB48">
        <f t="shared" si="13"/>
        <v>56.2</v>
      </c>
      <c r="AP48" s="3">
        <v>19633</v>
      </c>
      <c r="AQ48" s="2">
        <v>40.200000000000003</v>
      </c>
      <c r="AR48" s="2" t="str">
        <f t="shared" si="24"/>
        <v>-</v>
      </c>
      <c r="AS48" s="2">
        <v>39.9</v>
      </c>
      <c r="AT48" s="8" t="str">
        <f t="shared" si="25"/>
        <v>-</v>
      </c>
      <c r="AU48" s="2">
        <v>46.8</v>
      </c>
      <c r="AV48" s="8" t="str">
        <f t="shared" si="26"/>
        <v>-</v>
      </c>
      <c r="AW48" s="2">
        <v>43.8</v>
      </c>
      <c r="AX48" s="8" t="str">
        <f t="shared" si="27"/>
        <v>-</v>
      </c>
      <c r="AY48" s="2">
        <v>23.2</v>
      </c>
      <c r="AZ48" s="8" t="str">
        <f t="shared" si="28"/>
        <v>-</v>
      </c>
      <c r="BA48" s="2">
        <v>43.3</v>
      </c>
      <c r="BB48" s="8" t="str">
        <f t="shared" si="29"/>
        <v>-</v>
      </c>
      <c r="BC48" s="2"/>
      <c r="BD48" s="8" t="str">
        <f t="shared" si="30"/>
        <v>+</v>
      </c>
      <c r="BE48" s="2">
        <v>43.8</v>
      </c>
      <c r="BF48" s="8" t="str">
        <f t="shared" si="11"/>
        <v>-</v>
      </c>
      <c r="BG48" s="2"/>
      <c r="BH48" s="8" t="str">
        <f t="shared" si="31"/>
        <v>+</v>
      </c>
      <c r="BI48" s="2"/>
      <c r="BJ48" s="8" t="str">
        <f t="shared" si="32"/>
        <v>+</v>
      </c>
      <c r="BK48" s="2"/>
      <c r="BL48" s="8" t="str">
        <f t="shared" si="33"/>
        <v>+</v>
      </c>
    </row>
    <row r="49" spans="1:64">
      <c r="A49" s="1">
        <v>19694</v>
      </c>
      <c r="B49">
        <v>36.9</v>
      </c>
      <c r="C49">
        <v>40.9</v>
      </c>
      <c r="D49">
        <v>35.799999999999997</v>
      </c>
      <c r="E49">
        <v>43.4</v>
      </c>
      <c r="F49">
        <v>20.2</v>
      </c>
      <c r="G49">
        <v>35.5</v>
      </c>
      <c r="I49">
        <v>47</v>
      </c>
      <c r="W49" s="1">
        <v>19694</v>
      </c>
      <c r="X49">
        <v>24.809999000000001</v>
      </c>
      <c r="Y49" s="4">
        <f t="shared" si="0"/>
        <v>2.0193457189014411E-3</v>
      </c>
      <c r="Z49" s="4">
        <f t="shared" si="12"/>
        <v>-6.6240158073014643E-2</v>
      </c>
      <c r="AA49">
        <v>36.9</v>
      </c>
      <c r="AB49">
        <f t="shared" si="13"/>
        <v>56.8</v>
      </c>
      <c r="AP49" s="3">
        <v>19664</v>
      </c>
      <c r="AQ49" s="2">
        <v>37.4</v>
      </c>
      <c r="AR49" s="2" t="str">
        <f t="shared" si="24"/>
        <v>-</v>
      </c>
      <c r="AS49" s="2">
        <v>38</v>
      </c>
      <c r="AT49" s="8" t="str">
        <f t="shared" si="25"/>
        <v>-</v>
      </c>
      <c r="AU49" s="2">
        <v>44.6</v>
      </c>
      <c r="AV49" s="8" t="str">
        <f t="shared" si="26"/>
        <v>-</v>
      </c>
      <c r="AW49" s="2">
        <v>37.9</v>
      </c>
      <c r="AX49" s="8" t="str">
        <f t="shared" si="27"/>
        <v>-</v>
      </c>
      <c r="AY49" s="2">
        <v>20.7</v>
      </c>
      <c r="AZ49" s="8" t="str">
        <f t="shared" si="28"/>
        <v>-</v>
      </c>
      <c r="BA49" s="2">
        <v>41.3</v>
      </c>
      <c r="BB49" s="8" t="str">
        <f t="shared" si="29"/>
        <v>-</v>
      </c>
      <c r="BC49" s="2"/>
      <c r="BD49" s="8" t="str">
        <f t="shared" si="30"/>
        <v>+</v>
      </c>
      <c r="BE49" s="2">
        <v>45.1</v>
      </c>
      <c r="BF49" s="8" t="str">
        <f t="shared" si="11"/>
        <v>+</v>
      </c>
      <c r="BG49" s="2"/>
      <c r="BH49" s="8" t="str">
        <f t="shared" si="31"/>
        <v>+</v>
      </c>
      <c r="BI49" s="2"/>
      <c r="BJ49" s="8" t="str">
        <f t="shared" si="32"/>
        <v>+</v>
      </c>
      <c r="BK49" s="2"/>
      <c r="BL49" s="8" t="str">
        <f t="shared" si="33"/>
        <v>+</v>
      </c>
    </row>
    <row r="50" spans="1:64">
      <c r="A50" s="1">
        <v>19725</v>
      </c>
      <c r="B50">
        <v>35.6</v>
      </c>
      <c r="C50">
        <v>37.5</v>
      </c>
      <c r="D50">
        <v>36.6</v>
      </c>
      <c r="E50">
        <v>41.3</v>
      </c>
      <c r="F50">
        <v>21.8</v>
      </c>
      <c r="G50">
        <v>34.200000000000003</v>
      </c>
      <c r="I50">
        <v>47.7</v>
      </c>
      <c r="W50" s="1">
        <v>19725</v>
      </c>
      <c r="X50">
        <v>26.08</v>
      </c>
      <c r="Y50" s="4">
        <f t="shared" si="0"/>
        <v>5.1189079048330352E-2</v>
      </c>
      <c r="Z50" s="4">
        <f t="shared" si="12"/>
        <v>-1.1372214229424468E-2</v>
      </c>
      <c r="AA50">
        <v>35.6</v>
      </c>
      <c r="AB50">
        <f t="shared" si="13"/>
        <v>55.8</v>
      </c>
      <c r="AP50" s="3">
        <v>19694</v>
      </c>
      <c r="AQ50" s="2">
        <v>36.9</v>
      </c>
      <c r="AR50" s="2" t="str">
        <f t="shared" si="24"/>
        <v>-</v>
      </c>
      <c r="AS50" s="2">
        <v>40.9</v>
      </c>
      <c r="AT50" s="8" t="str">
        <f t="shared" si="25"/>
        <v>+</v>
      </c>
      <c r="AU50" s="2">
        <v>43.4</v>
      </c>
      <c r="AV50" s="8" t="str">
        <f t="shared" si="26"/>
        <v>-</v>
      </c>
      <c r="AW50" s="2">
        <v>35.799999999999997</v>
      </c>
      <c r="AX50" s="8" t="str">
        <f t="shared" si="27"/>
        <v>-</v>
      </c>
      <c r="AY50" s="2">
        <v>20.2</v>
      </c>
      <c r="AZ50" s="8" t="str">
        <f t="shared" si="28"/>
        <v>-</v>
      </c>
      <c r="BA50" s="2">
        <v>35.5</v>
      </c>
      <c r="BB50" s="8" t="str">
        <f t="shared" si="29"/>
        <v>-</v>
      </c>
      <c r="BC50" s="2"/>
      <c r="BD50" s="8" t="str">
        <f t="shared" si="30"/>
        <v>+</v>
      </c>
      <c r="BE50" s="2">
        <v>47</v>
      </c>
      <c r="BF50" s="8" t="str">
        <f t="shared" si="11"/>
        <v>+</v>
      </c>
      <c r="BG50" s="2"/>
      <c r="BH50" s="8" t="str">
        <f t="shared" si="31"/>
        <v>+</v>
      </c>
      <c r="BI50" s="2"/>
      <c r="BJ50" s="8" t="str">
        <f t="shared" si="32"/>
        <v>+</v>
      </c>
      <c r="BK50" s="2"/>
      <c r="BL50" s="8" t="str">
        <f t="shared" si="33"/>
        <v>+</v>
      </c>
    </row>
    <row r="51" spans="1:64">
      <c r="A51" s="1">
        <v>19756</v>
      </c>
      <c r="B51">
        <v>37.4</v>
      </c>
      <c r="C51">
        <v>42.9</v>
      </c>
      <c r="D51">
        <v>31.5</v>
      </c>
      <c r="E51">
        <v>45</v>
      </c>
      <c r="F51">
        <v>23.6</v>
      </c>
      <c r="G51">
        <v>34.200000000000003</v>
      </c>
      <c r="I51">
        <v>40.5</v>
      </c>
      <c r="W51" s="1">
        <v>19756</v>
      </c>
      <c r="X51">
        <v>26.15</v>
      </c>
      <c r="Y51" s="4">
        <f t="shared" si="0"/>
        <v>2.6840490797546122E-3</v>
      </c>
      <c r="Z51" s="4">
        <f t="shared" si="12"/>
        <v>9.6525096525096523E-3</v>
      </c>
      <c r="AA51">
        <v>37.4</v>
      </c>
      <c r="AB51">
        <f t="shared" si="13"/>
        <v>59.4</v>
      </c>
      <c r="AP51" s="3">
        <v>19725</v>
      </c>
      <c r="AQ51" s="2">
        <v>35.6</v>
      </c>
      <c r="AR51" s="2" t="str">
        <f t="shared" si="24"/>
        <v>-</v>
      </c>
      <c r="AS51" s="2">
        <v>37.5</v>
      </c>
      <c r="AT51" s="8" t="str">
        <f t="shared" si="25"/>
        <v>-</v>
      </c>
      <c r="AU51" s="2">
        <v>41.3</v>
      </c>
      <c r="AV51" s="8" t="str">
        <f t="shared" si="26"/>
        <v>-</v>
      </c>
      <c r="AW51" s="2">
        <v>36.6</v>
      </c>
      <c r="AX51" s="8" t="str">
        <f t="shared" si="27"/>
        <v>+</v>
      </c>
      <c r="AY51" s="2">
        <v>21.8</v>
      </c>
      <c r="AZ51" s="8" t="str">
        <f t="shared" si="28"/>
        <v>+</v>
      </c>
      <c r="BA51" s="2">
        <v>34.200000000000003</v>
      </c>
      <c r="BB51" s="8" t="str">
        <f t="shared" si="29"/>
        <v>-</v>
      </c>
      <c r="BC51" s="2"/>
      <c r="BD51" s="8" t="str">
        <f t="shared" si="30"/>
        <v>+</v>
      </c>
      <c r="BE51" s="2">
        <v>47.7</v>
      </c>
      <c r="BF51" s="8" t="str">
        <f t="shared" si="11"/>
        <v>+</v>
      </c>
      <c r="BG51" s="2"/>
      <c r="BH51" s="8" t="str">
        <f t="shared" si="31"/>
        <v>+</v>
      </c>
      <c r="BI51" s="2"/>
      <c r="BJ51" s="8" t="str">
        <f t="shared" si="32"/>
        <v>+</v>
      </c>
      <c r="BK51" s="2"/>
      <c r="BL51" s="8" t="str">
        <f t="shared" si="33"/>
        <v>+</v>
      </c>
    </row>
    <row r="52" spans="1:64">
      <c r="A52" s="1">
        <v>19784</v>
      </c>
      <c r="B52">
        <v>40.700000000000003</v>
      </c>
      <c r="C52">
        <v>50.3</v>
      </c>
      <c r="D52">
        <v>34.799999999999997</v>
      </c>
      <c r="E52">
        <v>46</v>
      </c>
      <c r="F52">
        <v>26.9</v>
      </c>
      <c r="G52">
        <v>30.9</v>
      </c>
      <c r="I52">
        <v>41.6</v>
      </c>
      <c r="W52" s="1">
        <v>19784</v>
      </c>
      <c r="X52">
        <v>26.940000999999999</v>
      </c>
      <c r="Y52" s="4">
        <f t="shared" si="0"/>
        <v>3.0210363288718938E-2</v>
      </c>
      <c r="Z52" s="4">
        <f t="shared" si="12"/>
        <v>6.5243176542381265E-2</v>
      </c>
      <c r="AA52">
        <v>40.700000000000003</v>
      </c>
      <c r="AB52">
        <f t="shared" si="13"/>
        <v>55.4</v>
      </c>
      <c r="AP52" s="3">
        <v>19756</v>
      </c>
      <c r="AQ52" s="2">
        <v>37.4</v>
      </c>
      <c r="AR52" s="2" t="str">
        <f t="shared" si="24"/>
        <v>+</v>
      </c>
      <c r="AS52" s="2">
        <v>42.9</v>
      </c>
      <c r="AT52" s="8" t="str">
        <f t="shared" si="25"/>
        <v>+</v>
      </c>
      <c r="AU52" s="2">
        <v>45</v>
      </c>
      <c r="AV52" s="8" t="str">
        <f t="shared" si="26"/>
        <v>+</v>
      </c>
      <c r="AW52" s="2">
        <v>31.5</v>
      </c>
      <c r="AX52" s="8" t="str">
        <f t="shared" si="27"/>
        <v>-</v>
      </c>
      <c r="AY52" s="2">
        <v>23.6</v>
      </c>
      <c r="AZ52" s="8" t="str">
        <f t="shared" si="28"/>
        <v>+</v>
      </c>
      <c r="BA52" s="2">
        <v>34.200000000000003</v>
      </c>
      <c r="BB52" s="8" t="str">
        <f t="shared" si="29"/>
        <v>+</v>
      </c>
      <c r="BC52" s="2"/>
      <c r="BD52" s="8" t="str">
        <f t="shared" si="30"/>
        <v>+</v>
      </c>
      <c r="BE52" s="2">
        <v>40.5</v>
      </c>
      <c r="BF52" s="8" t="str">
        <f t="shared" si="11"/>
        <v>-</v>
      </c>
      <c r="BG52" s="2"/>
      <c r="BH52" s="8" t="str">
        <f t="shared" si="31"/>
        <v>+</v>
      </c>
      <c r="BI52" s="2"/>
      <c r="BJ52" s="8" t="str">
        <f t="shared" si="32"/>
        <v>+</v>
      </c>
      <c r="BK52" s="2"/>
      <c r="BL52" s="8" t="str">
        <f t="shared" si="33"/>
        <v>+</v>
      </c>
    </row>
    <row r="53" spans="1:64">
      <c r="A53" s="1">
        <v>19815</v>
      </c>
      <c r="B53">
        <v>44.7</v>
      </c>
      <c r="C53">
        <v>54.7</v>
      </c>
      <c r="D53">
        <v>40.200000000000003</v>
      </c>
      <c r="E53">
        <v>51.5</v>
      </c>
      <c r="F53">
        <v>28</v>
      </c>
      <c r="G53">
        <v>31.6</v>
      </c>
      <c r="I53">
        <v>46.6</v>
      </c>
      <c r="W53" s="1">
        <v>19815</v>
      </c>
      <c r="X53">
        <v>28.26</v>
      </c>
      <c r="Y53" s="4">
        <f t="shared" si="0"/>
        <v>4.8997733890210428E-2</v>
      </c>
      <c r="Z53" s="4">
        <f t="shared" si="12"/>
        <v>0.14784723201270394</v>
      </c>
      <c r="AA53">
        <v>44.7</v>
      </c>
      <c r="AB53">
        <f t="shared" si="13"/>
        <v>50.5</v>
      </c>
      <c r="AP53" s="3">
        <v>19784</v>
      </c>
      <c r="AQ53" s="2">
        <v>40.700000000000003</v>
      </c>
      <c r="AR53" s="2" t="str">
        <f t="shared" si="24"/>
        <v>+</v>
      </c>
      <c r="AS53" s="2">
        <v>50.3</v>
      </c>
      <c r="AT53" s="8" t="str">
        <f t="shared" si="25"/>
        <v>+</v>
      </c>
      <c r="AU53" s="2">
        <v>46</v>
      </c>
      <c r="AV53" s="8" t="str">
        <f t="shared" si="26"/>
        <v>+</v>
      </c>
      <c r="AW53" s="2">
        <v>34.799999999999997</v>
      </c>
      <c r="AX53" s="8" t="str">
        <f t="shared" si="27"/>
        <v>+</v>
      </c>
      <c r="AY53" s="2">
        <v>26.9</v>
      </c>
      <c r="AZ53" s="8" t="str">
        <f t="shared" si="28"/>
        <v>+</v>
      </c>
      <c r="BA53" s="2">
        <v>30.9</v>
      </c>
      <c r="BB53" s="8" t="str">
        <f t="shared" si="29"/>
        <v>-</v>
      </c>
      <c r="BC53" s="2"/>
      <c r="BD53" s="8" t="str">
        <f t="shared" si="30"/>
        <v>+</v>
      </c>
      <c r="BE53" s="2">
        <v>41.6</v>
      </c>
      <c r="BF53" s="8" t="str">
        <f t="shared" si="11"/>
        <v>+</v>
      </c>
      <c r="BG53" s="2"/>
      <c r="BH53" s="8" t="str">
        <f t="shared" si="31"/>
        <v>+</v>
      </c>
      <c r="BI53" s="2"/>
      <c r="BJ53" s="8" t="str">
        <f t="shared" si="32"/>
        <v>+</v>
      </c>
      <c r="BK53" s="2"/>
      <c r="BL53" s="8" t="str">
        <f t="shared" si="33"/>
        <v>+</v>
      </c>
    </row>
    <row r="54" spans="1:64">
      <c r="A54" s="1">
        <v>19845</v>
      </c>
      <c r="B54">
        <v>47.7</v>
      </c>
      <c r="C54">
        <v>58.4</v>
      </c>
      <c r="D54">
        <v>42.4</v>
      </c>
      <c r="E54">
        <v>55.4</v>
      </c>
      <c r="F54">
        <v>30.3</v>
      </c>
      <c r="G54">
        <v>33.200000000000003</v>
      </c>
      <c r="I54">
        <v>49.7</v>
      </c>
      <c r="W54" s="1">
        <v>19845</v>
      </c>
      <c r="X54">
        <v>29.190000999999999</v>
      </c>
      <c r="Y54" s="4">
        <f t="shared" si="0"/>
        <v>3.2908740268931251E-2</v>
      </c>
      <c r="Z54" s="4">
        <f t="shared" si="12"/>
        <v>0.18948654484569902</v>
      </c>
      <c r="AA54">
        <v>47.7</v>
      </c>
      <c r="AB54">
        <f t="shared" si="13"/>
        <v>51.1</v>
      </c>
      <c r="AP54" s="3">
        <v>19815</v>
      </c>
      <c r="AQ54" s="2">
        <v>44.7</v>
      </c>
      <c r="AR54" s="2" t="str">
        <f t="shared" si="24"/>
        <v>+</v>
      </c>
      <c r="AS54" s="2">
        <v>54.7</v>
      </c>
      <c r="AT54" s="8" t="str">
        <f t="shared" si="25"/>
        <v>+</v>
      </c>
      <c r="AU54" s="2">
        <v>51.5</v>
      </c>
      <c r="AV54" s="8" t="str">
        <f t="shared" si="26"/>
        <v>+</v>
      </c>
      <c r="AW54" s="2">
        <v>40.200000000000003</v>
      </c>
      <c r="AX54" s="8" t="str">
        <f t="shared" si="27"/>
        <v>+</v>
      </c>
      <c r="AY54" s="2">
        <v>28</v>
      </c>
      <c r="AZ54" s="8" t="str">
        <f t="shared" si="28"/>
        <v>+</v>
      </c>
      <c r="BA54" s="2">
        <v>31.6</v>
      </c>
      <c r="BB54" s="8" t="str">
        <f t="shared" si="29"/>
        <v>+</v>
      </c>
      <c r="BC54" s="2"/>
      <c r="BD54" s="8" t="str">
        <f t="shared" si="30"/>
        <v>+</v>
      </c>
      <c r="BE54" s="2">
        <v>46.6</v>
      </c>
      <c r="BF54" s="8" t="str">
        <f t="shared" si="11"/>
        <v>+</v>
      </c>
      <c r="BG54" s="2"/>
      <c r="BH54" s="8" t="str">
        <f t="shared" si="31"/>
        <v>+</v>
      </c>
      <c r="BI54" s="2"/>
      <c r="BJ54" s="8" t="str">
        <f t="shared" si="32"/>
        <v>+</v>
      </c>
      <c r="BK54" s="2"/>
      <c r="BL54" s="8" t="str">
        <f t="shared" si="33"/>
        <v>+</v>
      </c>
    </row>
    <row r="55" spans="1:64">
      <c r="A55" s="1">
        <v>19876</v>
      </c>
      <c r="B55">
        <v>50.1</v>
      </c>
      <c r="C55">
        <v>60.2</v>
      </c>
      <c r="D55">
        <v>44.5</v>
      </c>
      <c r="E55">
        <v>56.3</v>
      </c>
      <c r="F55">
        <v>34.299999999999997</v>
      </c>
      <c r="G55">
        <v>39.1</v>
      </c>
      <c r="I55">
        <v>45.6</v>
      </c>
      <c r="W55" s="1">
        <v>19876</v>
      </c>
      <c r="X55">
        <v>29.209999</v>
      </c>
      <c r="Y55" s="4">
        <f t="shared" si="0"/>
        <v>6.850976127065248E-4</v>
      </c>
      <c r="Z55" s="4">
        <f t="shared" si="12"/>
        <v>0.21002486371271184</v>
      </c>
      <c r="AA55">
        <v>50.1</v>
      </c>
      <c r="AB55">
        <f t="shared" si="13"/>
        <v>48.9</v>
      </c>
      <c r="AP55" s="3">
        <v>19845</v>
      </c>
      <c r="AQ55" s="2">
        <v>47.7</v>
      </c>
      <c r="AR55" s="2" t="str">
        <f t="shared" si="24"/>
        <v>+</v>
      </c>
      <c r="AS55" s="2">
        <v>58.4</v>
      </c>
      <c r="AT55" s="8" t="str">
        <f t="shared" si="25"/>
        <v>+</v>
      </c>
      <c r="AU55" s="2">
        <v>55.4</v>
      </c>
      <c r="AV55" s="8" t="str">
        <f t="shared" si="26"/>
        <v>+</v>
      </c>
      <c r="AW55" s="2">
        <v>42.4</v>
      </c>
      <c r="AX55" s="8" t="str">
        <f t="shared" si="27"/>
        <v>+</v>
      </c>
      <c r="AY55" s="2">
        <v>30.3</v>
      </c>
      <c r="AZ55" s="8" t="str">
        <f t="shared" si="28"/>
        <v>+</v>
      </c>
      <c r="BA55" s="2">
        <v>33.200000000000003</v>
      </c>
      <c r="BB55" s="8" t="str">
        <f t="shared" si="29"/>
        <v>+</v>
      </c>
      <c r="BC55" s="2"/>
      <c r="BD55" s="8" t="str">
        <f t="shared" si="30"/>
        <v>+</v>
      </c>
      <c r="BE55" s="2">
        <v>49.7</v>
      </c>
      <c r="BF55" s="8" t="str">
        <f t="shared" si="11"/>
        <v>+</v>
      </c>
      <c r="BG55" s="2"/>
      <c r="BH55" s="8" t="str">
        <f t="shared" si="31"/>
        <v>+</v>
      </c>
      <c r="BI55" s="2"/>
      <c r="BJ55" s="8" t="str">
        <f t="shared" si="32"/>
        <v>+</v>
      </c>
      <c r="BK55" s="2"/>
      <c r="BL55" s="8" t="str">
        <f t="shared" si="33"/>
        <v>+</v>
      </c>
    </row>
    <row r="56" spans="1:64">
      <c r="A56" s="1">
        <v>19906</v>
      </c>
      <c r="B56">
        <v>52.1</v>
      </c>
      <c r="C56">
        <v>64.599999999999994</v>
      </c>
      <c r="D56">
        <v>45.2</v>
      </c>
      <c r="E56">
        <v>59.4</v>
      </c>
      <c r="F56">
        <v>35.799999999999997</v>
      </c>
      <c r="G56">
        <v>34.4</v>
      </c>
      <c r="I56">
        <v>52.5</v>
      </c>
      <c r="W56" s="1">
        <v>19906</v>
      </c>
      <c r="X56">
        <v>30.879999000000002</v>
      </c>
      <c r="Y56" s="4">
        <f t="shared" si="0"/>
        <v>5.7172203258206267E-2</v>
      </c>
      <c r="Z56" s="4">
        <f t="shared" si="12"/>
        <v>0.24767672727272733</v>
      </c>
      <c r="AA56">
        <v>52.1</v>
      </c>
      <c r="AB56">
        <f t="shared" si="13"/>
        <v>48.5</v>
      </c>
      <c r="AP56" s="3">
        <v>19876</v>
      </c>
      <c r="AQ56" s="2">
        <v>50.1</v>
      </c>
      <c r="AR56" s="2" t="str">
        <f t="shared" si="24"/>
        <v>+</v>
      </c>
      <c r="AS56" s="2">
        <v>60.2</v>
      </c>
      <c r="AT56" s="8" t="str">
        <f t="shared" si="25"/>
        <v>+</v>
      </c>
      <c r="AU56" s="2">
        <v>56.3</v>
      </c>
      <c r="AV56" s="8" t="str">
        <f t="shared" si="26"/>
        <v>+</v>
      </c>
      <c r="AW56" s="2">
        <v>44.5</v>
      </c>
      <c r="AX56" s="8" t="str">
        <f t="shared" si="27"/>
        <v>+</v>
      </c>
      <c r="AY56" s="2">
        <v>34.299999999999997</v>
      </c>
      <c r="AZ56" s="8" t="str">
        <f t="shared" si="28"/>
        <v>+</v>
      </c>
      <c r="BA56" s="2">
        <v>39.1</v>
      </c>
      <c r="BB56" s="8" t="str">
        <f t="shared" si="29"/>
        <v>+</v>
      </c>
      <c r="BC56" s="2"/>
      <c r="BD56" s="8" t="str">
        <f t="shared" si="30"/>
        <v>+</v>
      </c>
      <c r="BE56" s="2">
        <v>45.6</v>
      </c>
      <c r="BF56" s="8" t="str">
        <f t="shared" si="11"/>
        <v>-</v>
      </c>
      <c r="BG56" s="2"/>
      <c r="BH56" s="8" t="str">
        <f t="shared" si="31"/>
        <v>+</v>
      </c>
      <c r="BI56" s="2"/>
      <c r="BJ56" s="8" t="str">
        <f t="shared" si="32"/>
        <v>+</v>
      </c>
      <c r="BK56" s="2"/>
      <c r="BL56" s="8" t="str">
        <f t="shared" si="33"/>
        <v>+</v>
      </c>
    </row>
    <row r="57" spans="1:64">
      <c r="A57" s="1">
        <v>19937</v>
      </c>
      <c r="B57">
        <v>51.7</v>
      </c>
      <c r="C57">
        <v>63.8</v>
      </c>
      <c r="D57">
        <v>44.4</v>
      </c>
      <c r="E57">
        <v>57.4</v>
      </c>
      <c r="F57">
        <v>38.1</v>
      </c>
      <c r="G57">
        <v>35.700000000000003</v>
      </c>
      <c r="I57">
        <v>53.8</v>
      </c>
      <c r="W57" s="1">
        <v>19937</v>
      </c>
      <c r="X57">
        <v>29.83</v>
      </c>
      <c r="Y57" s="4">
        <f t="shared" si="0"/>
        <v>-3.4002559391274695E-2</v>
      </c>
      <c r="Z57" s="4">
        <f t="shared" si="12"/>
        <v>0.27915951972555736</v>
      </c>
      <c r="AA57">
        <v>51.7</v>
      </c>
      <c r="AB57">
        <f t="shared" si="13"/>
        <v>46.3</v>
      </c>
      <c r="AP57" s="3">
        <v>19906</v>
      </c>
      <c r="AQ57" s="2">
        <v>52.1</v>
      </c>
      <c r="AR57" s="2" t="str">
        <f t="shared" si="24"/>
        <v>+</v>
      </c>
      <c r="AS57" s="2">
        <v>64.599999999999994</v>
      </c>
      <c r="AT57" s="8" t="str">
        <f t="shared" si="25"/>
        <v>+</v>
      </c>
      <c r="AU57" s="2">
        <v>59.4</v>
      </c>
      <c r="AV57" s="8" t="str">
        <f t="shared" si="26"/>
        <v>+</v>
      </c>
      <c r="AW57" s="2">
        <v>45.2</v>
      </c>
      <c r="AX57" s="8" t="str">
        <f t="shared" si="27"/>
        <v>+</v>
      </c>
      <c r="AY57" s="2">
        <v>35.799999999999997</v>
      </c>
      <c r="AZ57" s="8" t="str">
        <f t="shared" si="28"/>
        <v>+</v>
      </c>
      <c r="BA57" s="2">
        <v>34.4</v>
      </c>
      <c r="BB57" s="8" t="str">
        <f t="shared" si="29"/>
        <v>-</v>
      </c>
      <c r="BC57" s="2"/>
      <c r="BD57" s="8" t="str">
        <f t="shared" si="30"/>
        <v>+</v>
      </c>
      <c r="BE57" s="2">
        <v>52.5</v>
      </c>
      <c r="BF57" s="8" t="str">
        <f t="shared" si="11"/>
        <v>+</v>
      </c>
      <c r="BG57" s="2"/>
      <c r="BH57" s="8" t="str">
        <f t="shared" si="31"/>
        <v>+</v>
      </c>
      <c r="BI57" s="2"/>
      <c r="BJ57" s="8" t="str">
        <f t="shared" si="32"/>
        <v>+</v>
      </c>
      <c r="BK57" s="2"/>
      <c r="BL57" s="8" t="str">
        <f t="shared" si="33"/>
        <v>+</v>
      </c>
    </row>
    <row r="58" spans="1:64">
      <c r="A58" s="1">
        <v>19968</v>
      </c>
      <c r="B58">
        <v>54.4</v>
      </c>
      <c r="C58">
        <v>56.6</v>
      </c>
      <c r="D58">
        <v>37.700000000000003</v>
      </c>
      <c r="E58">
        <v>56.2</v>
      </c>
      <c r="F58">
        <v>36.4</v>
      </c>
      <c r="G58">
        <v>37.700000000000003</v>
      </c>
      <c r="I58">
        <v>41.7</v>
      </c>
      <c r="W58" s="1">
        <v>19968</v>
      </c>
      <c r="X58">
        <v>32.310001</v>
      </c>
      <c r="Y58" s="4">
        <f t="shared" si="0"/>
        <v>8.3137814280925301E-2</v>
      </c>
      <c r="Z58" s="4">
        <f t="shared" si="12"/>
        <v>0.3837259528907922</v>
      </c>
      <c r="AA58">
        <v>54.4</v>
      </c>
      <c r="AB58">
        <f t="shared" si="13"/>
        <v>43.5</v>
      </c>
      <c r="AP58" s="3">
        <v>19937</v>
      </c>
      <c r="AQ58" s="2">
        <v>51.7</v>
      </c>
      <c r="AR58" s="2" t="str">
        <f t="shared" si="24"/>
        <v>-</v>
      </c>
      <c r="AS58" s="2">
        <v>63.8</v>
      </c>
      <c r="AT58" s="8" t="str">
        <f t="shared" si="25"/>
        <v>-</v>
      </c>
      <c r="AU58" s="2">
        <v>57.4</v>
      </c>
      <c r="AV58" s="8" t="str">
        <f t="shared" si="26"/>
        <v>-</v>
      </c>
      <c r="AW58" s="2">
        <v>44.4</v>
      </c>
      <c r="AX58" s="8" t="str">
        <f t="shared" si="27"/>
        <v>-</v>
      </c>
      <c r="AY58" s="2">
        <v>38.1</v>
      </c>
      <c r="AZ58" s="8" t="str">
        <f t="shared" si="28"/>
        <v>+</v>
      </c>
      <c r="BA58" s="2">
        <v>35.700000000000003</v>
      </c>
      <c r="BB58" s="8" t="str">
        <f t="shared" si="29"/>
        <v>+</v>
      </c>
      <c r="BC58" s="2"/>
      <c r="BD58" s="8" t="str">
        <f t="shared" si="30"/>
        <v>+</v>
      </c>
      <c r="BE58" s="2">
        <v>53.8</v>
      </c>
      <c r="BF58" s="8" t="str">
        <f t="shared" si="11"/>
        <v>+</v>
      </c>
      <c r="BG58" s="2"/>
      <c r="BH58" s="8" t="str">
        <f t="shared" si="31"/>
        <v>+</v>
      </c>
      <c r="BI58" s="2"/>
      <c r="BJ58" s="8" t="str">
        <f t="shared" si="32"/>
        <v>+</v>
      </c>
      <c r="BK58" s="2"/>
      <c r="BL58" s="8" t="str">
        <f t="shared" si="33"/>
        <v>+</v>
      </c>
    </row>
    <row r="59" spans="1:64">
      <c r="A59" s="1">
        <v>19998</v>
      </c>
      <c r="B59">
        <v>53.5</v>
      </c>
      <c r="C59">
        <v>62.2</v>
      </c>
      <c r="D59">
        <v>49.7</v>
      </c>
      <c r="E59">
        <v>57</v>
      </c>
      <c r="F59">
        <v>43.6</v>
      </c>
      <c r="G59">
        <v>40.799999999999997</v>
      </c>
      <c r="I59">
        <v>53</v>
      </c>
      <c r="W59" s="1">
        <v>19998</v>
      </c>
      <c r="X59">
        <v>31.68</v>
      </c>
      <c r="Y59" s="4">
        <f t="shared" si="0"/>
        <v>-1.9498637589023909E-2</v>
      </c>
      <c r="Z59" s="4">
        <f t="shared" si="12"/>
        <v>0.29095349262618203</v>
      </c>
      <c r="AA59">
        <v>53.5</v>
      </c>
      <c r="AB59">
        <f t="shared" si="13"/>
        <v>40.200000000000003</v>
      </c>
      <c r="AP59" s="3">
        <v>19968</v>
      </c>
      <c r="AQ59" s="2">
        <v>54.4</v>
      </c>
      <c r="AR59" s="2" t="str">
        <f t="shared" si="24"/>
        <v>+</v>
      </c>
      <c r="AS59" s="2">
        <v>56.6</v>
      </c>
      <c r="AT59" s="8" t="str">
        <f t="shared" si="25"/>
        <v>-</v>
      </c>
      <c r="AU59" s="2">
        <v>56.2</v>
      </c>
      <c r="AV59" s="8" t="str">
        <f t="shared" si="26"/>
        <v>-</v>
      </c>
      <c r="AW59" s="2">
        <v>37.700000000000003</v>
      </c>
      <c r="AX59" s="8" t="str">
        <f t="shared" si="27"/>
        <v>-</v>
      </c>
      <c r="AY59" s="2">
        <v>36.4</v>
      </c>
      <c r="AZ59" s="8" t="str">
        <f t="shared" si="28"/>
        <v>-</v>
      </c>
      <c r="BA59" s="2">
        <v>37.700000000000003</v>
      </c>
      <c r="BB59" s="8" t="str">
        <f t="shared" si="29"/>
        <v>+</v>
      </c>
      <c r="BC59" s="2"/>
      <c r="BD59" s="8" t="str">
        <f t="shared" si="30"/>
        <v>+</v>
      </c>
      <c r="BE59" s="2">
        <v>41.7</v>
      </c>
      <c r="BF59" s="8" t="str">
        <f t="shared" si="11"/>
        <v>-</v>
      </c>
      <c r="BG59" s="2"/>
      <c r="BH59" s="8" t="str">
        <f t="shared" si="31"/>
        <v>+</v>
      </c>
      <c r="BI59" s="2"/>
      <c r="BJ59" s="8" t="str">
        <f t="shared" si="32"/>
        <v>+</v>
      </c>
      <c r="BK59" s="2"/>
      <c r="BL59" s="8" t="str">
        <f t="shared" si="33"/>
        <v>+</v>
      </c>
    </row>
    <row r="60" spans="1:64">
      <c r="A60" s="1">
        <v>20029</v>
      </c>
      <c r="B60">
        <v>58.2</v>
      </c>
      <c r="C60">
        <v>66.7</v>
      </c>
      <c r="D60">
        <v>55.8</v>
      </c>
      <c r="E60">
        <v>62.4</v>
      </c>
      <c r="F60">
        <v>49.5</v>
      </c>
      <c r="G60">
        <v>40.5</v>
      </c>
      <c r="I60">
        <v>57.6</v>
      </c>
      <c r="W60" s="1">
        <v>20029</v>
      </c>
      <c r="X60">
        <v>34.240001999999997</v>
      </c>
      <c r="Y60" s="4">
        <f t="shared" si="0"/>
        <v>8.0808143939393853E-2</v>
      </c>
      <c r="Z60" s="4">
        <f t="shared" si="12"/>
        <v>0.38287568659127602</v>
      </c>
      <c r="AA60">
        <v>58.2</v>
      </c>
      <c r="AB60">
        <f t="shared" si="13"/>
        <v>37.4</v>
      </c>
      <c r="AP60" s="3">
        <v>19998</v>
      </c>
      <c r="AQ60" s="2">
        <v>53.5</v>
      </c>
      <c r="AR60" s="2" t="str">
        <f t="shared" si="24"/>
        <v>-</v>
      </c>
      <c r="AS60" s="2">
        <v>62.2</v>
      </c>
      <c r="AT60" s="8" t="str">
        <f t="shared" si="25"/>
        <v>+</v>
      </c>
      <c r="AU60" s="2">
        <v>57</v>
      </c>
      <c r="AV60" s="8" t="str">
        <f t="shared" si="26"/>
        <v>+</v>
      </c>
      <c r="AW60" s="2">
        <v>49.7</v>
      </c>
      <c r="AX60" s="8" t="str">
        <f t="shared" si="27"/>
        <v>+</v>
      </c>
      <c r="AY60" s="2">
        <v>43.6</v>
      </c>
      <c r="AZ60" s="8" t="str">
        <f t="shared" si="28"/>
        <v>+</v>
      </c>
      <c r="BA60" s="2">
        <v>40.799999999999997</v>
      </c>
      <c r="BB60" s="8" t="str">
        <f t="shared" si="29"/>
        <v>+</v>
      </c>
      <c r="BC60" s="2"/>
      <c r="BD60" s="8" t="str">
        <f t="shared" si="30"/>
        <v>+</v>
      </c>
      <c r="BE60" s="2">
        <v>53</v>
      </c>
      <c r="BF60" s="8" t="str">
        <f t="shared" si="11"/>
        <v>+</v>
      </c>
      <c r="BG60" s="2"/>
      <c r="BH60" s="8" t="str">
        <f t="shared" si="31"/>
        <v>+</v>
      </c>
      <c r="BI60" s="2"/>
      <c r="BJ60" s="8" t="str">
        <f t="shared" si="32"/>
        <v>+</v>
      </c>
      <c r="BK60" s="2"/>
      <c r="BL60" s="8" t="str">
        <f t="shared" si="33"/>
        <v>+</v>
      </c>
    </row>
    <row r="61" spans="1:64">
      <c r="A61" s="1">
        <v>20059</v>
      </c>
      <c r="B61">
        <v>58.8</v>
      </c>
      <c r="C61">
        <v>66</v>
      </c>
      <c r="D61">
        <v>55.1</v>
      </c>
      <c r="E61">
        <v>63</v>
      </c>
      <c r="F61">
        <v>51.9</v>
      </c>
      <c r="G61">
        <v>44.7</v>
      </c>
      <c r="I61">
        <v>57.8</v>
      </c>
      <c r="W61" s="1">
        <v>20059</v>
      </c>
      <c r="X61">
        <v>35.979999999999997</v>
      </c>
      <c r="Y61" s="4">
        <f t="shared" si="0"/>
        <v>5.0817695629807501E-2</v>
      </c>
      <c r="Z61" s="4">
        <f t="shared" si="12"/>
        <v>0.45022174325762748</v>
      </c>
      <c r="AA61">
        <v>58.8</v>
      </c>
      <c r="AB61">
        <f t="shared" si="13"/>
        <v>36.9</v>
      </c>
      <c r="AP61" s="3">
        <v>20029</v>
      </c>
      <c r="AQ61" s="2">
        <v>58.2</v>
      </c>
      <c r="AR61" s="2" t="str">
        <f t="shared" si="24"/>
        <v>+</v>
      </c>
      <c r="AS61" s="2">
        <v>66.7</v>
      </c>
      <c r="AT61" s="8" t="str">
        <f t="shared" si="25"/>
        <v>+</v>
      </c>
      <c r="AU61" s="2">
        <v>62.4</v>
      </c>
      <c r="AV61" s="8" t="str">
        <f t="shared" si="26"/>
        <v>+</v>
      </c>
      <c r="AW61" s="2">
        <v>55.8</v>
      </c>
      <c r="AX61" s="8" t="str">
        <f t="shared" si="27"/>
        <v>+</v>
      </c>
      <c r="AY61" s="2">
        <v>49.5</v>
      </c>
      <c r="AZ61" s="8" t="str">
        <f t="shared" si="28"/>
        <v>+</v>
      </c>
      <c r="BA61" s="2">
        <v>40.5</v>
      </c>
      <c r="BB61" s="8" t="str">
        <f t="shared" si="29"/>
        <v>-</v>
      </c>
      <c r="BC61" s="2"/>
      <c r="BD61" s="8" t="str">
        <f t="shared" si="30"/>
        <v>+</v>
      </c>
      <c r="BE61" s="2">
        <v>57.6</v>
      </c>
      <c r="BF61" s="8" t="str">
        <f t="shared" si="11"/>
        <v>+</v>
      </c>
      <c r="BG61" s="2"/>
      <c r="BH61" s="8" t="str">
        <f t="shared" si="31"/>
        <v>+</v>
      </c>
      <c r="BI61" s="2"/>
      <c r="BJ61" s="8" t="str">
        <f t="shared" si="32"/>
        <v>+</v>
      </c>
      <c r="BK61" s="2"/>
      <c r="BL61" s="8" t="str">
        <f t="shared" si="33"/>
        <v>+</v>
      </c>
    </row>
    <row r="62" spans="1:64">
      <c r="A62" s="1">
        <v>20090</v>
      </c>
      <c r="B62">
        <v>63.8</v>
      </c>
      <c r="C62">
        <v>73.599999999999994</v>
      </c>
      <c r="D62">
        <v>55.8</v>
      </c>
      <c r="E62">
        <v>70.5</v>
      </c>
      <c r="F62">
        <v>54.5</v>
      </c>
      <c r="G62">
        <v>47.1</v>
      </c>
      <c r="I62">
        <v>59.1</v>
      </c>
      <c r="W62" s="1">
        <v>20090</v>
      </c>
      <c r="X62">
        <v>36.630001</v>
      </c>
      <c r="Y62" s="4">
        <f t="shared" si="0"/>
        <v>1.8065619788771629E-2</v>
      </c>
      <c r="Z62" s="4">
        <f t="shared" si="12"/>
        <v>0.40452457822085897</v>
      </c>
      <c r="AA62">
        <v>63.8</v>
      </c>
      <c r="AB62">
        <f t="shared" si="13"/>
        <v>35.6</v>
      </c>
      <c r="AP62" s="3">
        <v>20059</v>
      </c>
      <c r="AQ62" s="2">
        <v>58.8</v>
      </c>
      <c r="AR62" s="2" t="str">
        <f t="shared" si="24"/>
        <v>+</v>
      </c>
      <c r="AS62" s="2">
        <v>66</v>
      </c>
      <c r="AT62" s="8" t="str">
        <f t="shared" si="25"/>
        <v>-</v>
      </c>
      <c r="AU62" s="2">
        <v>63</v>
      </c>
      <c r="AV62" s="8" t="str">
        <f t="shared" si="26"/>
        <v>+</v>
      </c>
      <c r="AW62" s="2">
        <v>55.1</v>
      </c>
      <c r="AX62" s="8" t="str">
        <f t="shared" si="27"/>
        <v>-</v>
      </c>
      <c r="AY62" s="2">
        <v>51.9</v>
      </c>
      <c r="AZ62" s="8" t="str">
        <f t="shared" si="28"/>
        <v>+</v>
      </c>
      <c r="BA62" s="2">
        <v>44.7</v>
      </c>
      <c r="BB62" s="8" t="str">
        <f t="shared" si="29"/>
        <v>+</v>
      </c>
      <c r="BC62" s="2"/>
      <c r="BD62" s="8" t="str">
        <f t="shared" si="30"/>
        <v>+</v>
      </c>
      <c r="BE62" s="2">
        <v>57.8</v>
      </c>
      <c r="BF62" s="8" t="str">
        <f t="shared" si="11"/>
        <v>+</v>
      </c>
      <c r="BG62" s="2"/>
      <c r="BH62" s="8" t="str">
        <f t="shared" si="31"/>
        <v>+</v>
      </c>
      <c r="BI62" s="2"/>
      <c r="BJ62" s="8" t="str">
        <f t="shared" si="32"/>
        <v>+</v>
      </c>
      <c r="BK62" s="2"/>
      <c r="BL62" s="8" t="str">
        <f t="shared" si="33"/>
        <v>+</v>
      </c>
    </row>
    <row r="63" spans="1:64">
      <c r="A63" s="1">
        <v>20121</v>
      </c>
      <c r="B63">
        <v>63</v>
      </c>
      <c r="C63">
        <v>66.8</v>
      </c>
      <c r="D63">
        <v>59</v>
      </c>
      <c r="E63">
        <v>69.099999999999994</v>
      </c>
      <c r="F63">
        <v>60.6</v>
      </c>
      <c r="G63">
        <v>48</v>
      </c>
      <c r="I63">
        <v>66.7</v>
      </c>
      <c r="W63" s="1">
        <v>20121</v>
      </c>
      <c r="X63">
        <v>36.759998000000003</v>
      </c>
      <c r="Y63" s="4">
        <f t="shared" si="0"/>
        <v>3.5489215520360762E-3</v>
      </c>
      <c r="Z63" s="4">
        <f t="shared" si="12"/>
        <v>0.40573606118546862</v>
      </c>
      <c r="AA63">
        <v>63</v>
      </c>
      <c r="AB63">
        <f t="shared" si="13"/>
        <v>37.4</v>
      </c>
      <c r="AP63" s="3">
        <v>20090</v>
      </c>
      <c r="AQ63" s="2">
        <v>63.8</v>
      </c>
      <c r="AR63" s="2" t="str">
        <f t="shared" si="24"/>
        <v>+</v>
      </c>
      <c r="AS63" s="2">
        <v>73.599999999999994</v>
      </c>
      <c r="AT63" s="8" t="str">
        <f t="shared" si="25"/>
        <v>+</v>
      </c>
      <c r="AU63" s="2">
        <v>70.5</v>
      </c>
      <c r="AV63" s="8" t="str">
        <f t="shared" si="26"/>
        <v>+</v>
      </c>
      <c r="AW63" s="2">
        <v>55.8</v>
      </c>
      <c r="AX63" s="8" t="str">
        <f t="shared" si="27"/>
        <v>+</v>
      </c>
      <c r="AY63" s="2">
        <v>54.5</v>
      </c>
      <c r="AZ63" s="8" t="str">
        <f t="shared" si="28"/>
        <v>+</v>
      </c>
      <c r="BA63" s="2">
        <v>47.1</v>
      </c>
      <c r="BB63" s="8" t="str">
        <f t="shared" si="29"/>
        <v>+</v>
      </c>
      <c r="BC63" s="2"/>
      <c r="BD63" s="8" t="str">
        <f t="shared" si="30"/>
        <v>+</v>
      </c>
      <c r="BE63" s="2">
        <v>59.1</v>
      </c>
      <c r="BF63" s="8" t="str">
        <f t="shared" si="11"/>
        <v>+</v>
      </c>
      <c r="BG63" s="2"/>
      <c r="BH63" s="8" t="str">
        <f t="shared" si="31"/>
        <v>+</v>
      </c>
      <c r="BI63" s="2"/>
      <c r="BJ63" s="8" t="str">
        <f t="shared" si="32"/>
        <v>+</v>
      </c>
      <c r="BK63" s="2"/>
      <c r="BL63" s="8" t="str">
        <f t="shared" si="33"/>
        <v>+</v>
      </c>
    </row>
    <row r="64" spans="1:64">
      <c r="A64" s="1">
        <v>20149</v>
      </c>
      <c r="B64">
        <v>67.8</v>
      </c>
      <c r="C64">
        <v>73.900000000000006</v>
      </c>
      <c r="D64">
        <v>63.4</v>
      </c>
      <c r="E64">
        <v>70.900000000000006</v>
      </c>
      <c r="F64">
        <v>67.2</v>
      </c>
      <c r="G64">
        <v>51.3</v>
      </c>
      <c r="I64">
        <v>82</v>
      </c>
      <c r="W64" s="1">
        <v>20149</v>
      </c>
      <c r="X64">
        <v>36.580002</v>
      </c>
      <c r="Y64" s="4">
        <f t="shared" si="0"/>
        <v>-4.8965182207029142E-3</v>
      </c>
      <c r="Z64" s="4">
        <f t="shared" si="12"/>
        <v>0.35783224358454929</v>
      </c>
      <c r="AA64">
        <v>67.8</v>
      </c>
      <c r="AB64">
        <f t="shared" si="13"/>
        <v>40.700000000000003</v>
      </c>
      <c r="AP64" s="3">
        <v>20121</v>
      </c>
      <c r="AQ64" s="2">
        <v>63</v>
      </c>
      <c r="AR64" s="2" t="str">
        <f t="shared" si="24"/>
        <v>-</v>
      </c>
      <c r="AS64" s="2">
        <v>66.8</v>
      </c>
      <c r="AT64" s="8" t="str">
        <f t="shared" si="25"/>
        <v>-</v>
      </c>
      <c r="AU64" s="2">
        <v>69.099999999999994</v>
      </c>
      <c r="AV64" s="8" t="str">
        <f t="shared" si="26"/>
        <v>-</v>
      </c>
      <c r="AW64" s="2">
        <v>59</v>
      </c>
      <c r="AX64" s="8" t="str">
        <f t="shared" si="27"/>
        <v>+</v>
      </c>
      <c r="AY64" s="2">
        <v>60.6</v>
      </c>
      <c r="AZ64" s="8" t="str">
        <f t="shared" si="28"/>
        <v>+</v>
      </c>
      <c r="BA64" s="2">
        <v>48</v>
      </c>
      <c r="BB64" s="8" t="str">
        <f t="shared" si="29"/>
        <v>+</v>
      </c>
      <c r="BC64" s="2"/>
      <c r="BD64" s="8" t="str">
        <f t="shared" si="30"/>
        <v>+</v>
      </c>
      <c r="BE64" s="2">
        <v>66.7</v>
      </c>
      <c r="BF64" s="8" t="str">
        <f t="shared" si="11"/>
        <v>+</v>
      </c>
      <c r="BG64" s="2"/>
      <c r="BH64" s="8" t="str">
        <f t="shared" si="31"/>
        <v>+</v>
      </c>
      <c r="BI64" s="2"/>
      <c r="BJ64" s="8" t="str">
        <f t="shared" si="32"/>
        <v>+</v>
      </c>
      <c r="BK64" s="2"/>
      <c r="BL64" s="8" t="str">
        <f t="shared" si="33"/>
        <v>+</v>
      </c>
    </row>
    <row r="65" spans="1:64">
      <c r="A65" s="1">
        <v>20180</v>
      </c>
      <c r="B65">
        <v>67.5</v>
      </c>
      <c r="C65">
        <v>71.5</v>
      </c>
      <c r="D65">
        <v>63</v>
      </c>
      <c r="E65">
        <v>71</v>
      </c>
      <c r="F65">
        <v>68.5</v>
      </c>
      <c r="G65">
        <v>54.4</v>
      </c>
      <c r="I65">
        <v>69.8</v>
      </c>
      <c r="W65" s="1">
        <v>20180</v>
      </c>
      <c r="X65">
        <v>37.959999000000003</v>
      </c>
      <c r="Y65" s="4">
        <f t="shared" si="0"/>
        <v>3.7725449003529386E-2</v>
      </c>
      <c r="Z65" s="4">
        <f t="shared" si="12"/>
        <v>0.34324129511677287</v>
      </c>
      <c r="AA65">
        <v>67.5</v>
      </c>
      <c r="AB65">
        <f t="shared" si="13"/>
        <v>44.7</v>
      </c>
      <c r="AP65" s="3">
        <v>20149</v>
      </c>
      <c r="AQ65" s="2">
        <v>67.8</v>
      </c>
      <c r="AR65" s="2" t="str">
        <f t="shared" si="24"/>
        <v>+</v>
      </c>
      <c r="AS65" s="2">
        <v>73.900000000000006</v>
      </c>
      <c r="AT65" s="8" t="str">
        <f t="shared" si="25"/>
        <v>+</v>
      </c>
      <c r="AU65" s="2">
        <v>70.900000000000006</v>
      </c>
      <c r="AV65" s="8" t="str">
        <f t="shared" si="26"/>
        <v>+</v>
      </c>
      <c r="AW65" s="2">
        <v>63.4</v>
      </c>
      <c r="AX65" s="8" t="str">
        <f t="shared" si="27"/>
        <v>+</v>
      </c>
      <c r="AY65" s="2">
        <v>67.2</v>
      </c>
      <c r="AZ65" s="8" t="str">
        <f t="shared" si="28"/>
        <v>+</v>
      </c>
      <c r="BA65" s="2">
        <v>51.3</v>
      </c>
      <c r="BB65" s="8" t="str">
        <f t="shared" si="29"/>
        <v>+</v>
      </c>
      <c r="BC65" s="2"/>
      <c r="BD65" s="8" t="str">
        <f t="shared" si="30"/>
        <v>+</v>
      </c>
      <c r="BE65" s="2">
        <v>82</v>
      </c>
      <c r="BF65" s="8" t="str">
        <f t="shared" si="11"/>
        <v>+</v>
      </c>
      <c r="BG65" s="2"/>
      <c r="BH65" s="8" t="str">
        <f t="shared" si="31"/>
        <v>+</v>
      </c>
      <c r="BI65" s="2"/>
      <c r="BJ65" s="8" t="str">
        <f t="shared" si="32"/>
        <v>+</v>
      </c>
      <c r="BK65" s="2"/>
      <c r="BL65" s="8" t="str">
        <f t="shared" si="33"/>
        <v>+</v>
      </c>
    </row>
    <row r="66" spans="1:64">
      <c r="A66" s="1">
        <v>20210</v>
      </c>
      <c r="B66">
        <v>68.7</v>
      </c>
      <c r="C66">
        <v>70.900000000000006</v>
      </c>
      <c r="D66">
        <v>63.9</v>
      </c>
      <c r="E66">
        <v>73.8</v>
      </c>
      <c r="F66">
        <v>71.900000000000006</v>
      </c>
      <c r="G66">
        <v>54.2</v>
      </c>
      <c r="I66">
        <v>75.2</v>
      </c>
      <c r="W66" s="1">
        <v>20210</v>
      </c>
      <c r="X66">
        <v>37.909999999999997</v>
      </c>
      <c r="Y66" s="4">
        <f t="shared" si="0"/>
        <v>-1.3171496658892637E-3</v>
      </c>
      <c r="Z66" s="4">
        <f t="shared" si="12"/>
        <v>0.29873239812496061</v>
      </c>
      <c r="AA66">
        <v>68.7</v>
      </c>
      <c r="AB66">
        <f t="shared" si="13"/>
        <v>47.7</v>
      </c>
      <c r="AP66" s="3">
        <v>20180</v>
      </c>
      <c r="AQ66" s="2">
        <v>67.5</v>
      </c>
      <c r="AR66" s="2" t="str">
        <f t="shared" si="24"/>
        <v>-</v>
      </c>
      <c r="AS66" s="2">
        <v>71.5</v>
      </c>
      <c r="AT66" s="8" t="str">
        <f t="shared" si="25"/>
        <v>-</v>
      </c>
      <c r="AU66" s="2">
        <v>71</v>
      </c>
      <c r="AV66" s="8" t="str">
        <f t="shared" si="26"/>
        <v>+</v>
      </c>
      <c r="AW66" s="2">
        <v>63</v>
      </c>
      <c r="AX66" s="8" t="str">
        <f t="shared" si="27"/>
        <v>-</v>
      </c>
      <c r="AY66" s="2">
        <v>68.5</v>
      </c>
      <c r="AZ66" s="8" t="str">
        <f t="shared" si="28"/>
        <v>+</v>
      </c>
      <c r="BA66" s="2">
        <v>54.4</v>
      </c>
      <c r="BB66" s="8" t="str">
        <f t="shared" si="29"/>
        <v>+</v>
      </c>
      <c r="BC66" s="2"/>
      <c r="BD66" s="8" t="str">
        <f t="shared" si="30"/>
        <v>+</v>
      </c>
      <c r="BE66" s="2">
        <v>69.8</v>
      </c>
      <c r="BF66" s="8" t="str">
        <f t="shared" si="11"/>
        <v>-</v>
      </c>
      <c r="BG66" s="2"/>
      <c r="BH66" s="8" t="str">
        <f t="shared" si="31"/>
        <v>+</v>
      </c>
      <c r="BI66" s="2"/>
      <c r="BJ66" s="8" t="str">
        <f t="shared" si="32"/>
        <v>+</v>
      </c>
      <c r="BK66" s="2"/>
      <c r="BL66" s="8" t="str">
        <f t="shared" si="33"/>
        <v>+</v>
      </c>
    </row>
    <row r="67" spans="1:64">
      <c r="A67" s="1">
        <v>20241</v>
      </c>
      <c r="B67">
        <v>69.5</v>
      </c>
      <c r="C67">
        <v>72.900000000000006</v>
      </c>
      <c r="D67">
        <v>66.2</v>
      </c>
      <c r="E67">
        <v>73.5</v>
      </c>
      <c r="F67">
        <v>68.7</v>
      </c>
      <c r="G67">
        <v>56.6</v>
      </c>
      <c r="I67">
        <v>81</v>
      </c>
      <c r="W67" s="1">
        <v>20241</v>
      </c>
      <c r="X67">
        <v>41.029998999999997</v>
      </c>
      <c r="Y67" s="4">
        <f t="shared" si="0"/>
        <v>8.2300158269585866E-2</v>
      </c>
      <c r="Z67" s="4">
        <f t="shared" si="12"/>
        <v>0.40465595359999829</v>
      </c>
      <c r="AA67">
        <v>69.5</v>
      </c>
      <c r="AB67">
        <f t="shared" si="13"/>
        <v>50.1</v>
      </c>
      <c r="AP67" s="3">
        <v>20210</v>
      </c>
      <c r="AQ67" s="2">
        <v>68.7</v>
      </c>
      <c r="AR67" s="2" t="str">
        <f t="shared" si="24"/>
        <v>+</v>
      </c>
      <c r="AS67" s="2">
        <v>70.900000000000006</v>
      </c>
      <c r="AT67" s="8" t="str">
        <f t="shared" si="25"/>
        <v>-</v>
      </c>
      <c r="AU67" s="2">
        <v>73.8</v>
      </c>
      <c r="AV67" s="8" t="str">
        <f t="shared" si="26"/>
        <v>+</v>
      </c>
      <c r="AW67" s="2">
        <v>63.9</v>
      </c>
      <c r="AX67" s="8" t="str">
        <f t="shared" si="27"/>
        <v>+</v>
      </c>
      <c r="AY67" s="2">
        <v>71.900000000000006</v>
      </c>
      <c r="AZ67" s="8" t="str">
        <f t="shared" si="28"/>
        <v>+</v>
      </c>
      <c r="BA67" s="2">
        <v>54.2</v>
      </c>
      <c r="BB67" s="8" t="str">
        <f t="shared" si="29"/>
        <v>-</v>
      </c>
      <c r="BC67" s="2"/>
      <c r="BD67" s="8" t="str">
        <f t="shared" si="30"/>
        <v>+</v>
      </c>
      <c r="BE67" s="2">
        <v>75.2</v>
      </c>
      <c r="BF67" s="8" t="str">
        <f t="shared" si="11"/>
        <v>+</v>
      </c>
      <c r="BG67" s="2"/>
      <c r="BH67" s="8" t="str">
        <f t="shared" si="31"/>
        <v>+</v>
      </c>
      <c r="BI67" s="2"/>
      <c r="BJ67" s="8" t="str">
        <f t="shared" si="32"/>
        <v>+</v>
      </c>
      <c r="BK67" s="2"/>
      <c r="BL67" s="8" t="str">
        <f t="shared" si="33"/>
        <v>+</v>
      </c>
    </row>
    <row r="68" spans="1:64">
      <c r="A68" s="1">
        <v>20271</v>
      </c>
      <c r="B68">
        <v>63.3</v>
      </c>
      <c r="C68">
        <v>60.9</v>
      </c>
      <c r="D68">
        <v>61.2</v>
      </c>
      <c r="E68">
        <v>65.5</v>
      </c>
      <c r="F68">
        <v>65.7</v>
      </c>
      <c r="G68">
        <v>65.2</v>
      </c>
      <c r="I68">
        <v>75.900000000000006</v>
      </c>
      <c r="W68" s="1">
        <v>20271</v>
      </c>
      <c r="X68">
        <v>43.52</v>
      </c>
      <c r="Y68" s="4">
        <f t="shared" ref="Y68:Y131" si="34">(X68-X67)/X67</f>
        <v>6.0687327825672301E-2</v>
      </c>
      <c r="Z68" s="4">
        <f t="shared" si="12"/>
        <v>0.40932647050927695</v>
      </c>
      <c r="AA68">
        <v>63.3</v>
      </c>
      <c r="AB68">
        <f t="shared" si="13"/>
        <v>52.1</v>
      </c>
      <c r="AP68" s="3">
        <v>20241</v>
      </c>
      <c r="AQ68" s="2">
        <v>69.5</v>
      </c>
      <c r="AR68" s="2" t="str">
        <f t="shared" si="24"/>
        <v>+</v>
      </c>
      <c r="AS68" s="2">
        <v>72.900000000000006</v>
      </c>
      <c r="AT68" s="8" t="str">
        <f t="shared" si="25"/>
        <v>+</v>
      </c>
      <c r="AU68" s="2">
        <v>73.5</v>
      </c>
      <c r="AV68" s="8" t="str">
        <f t="shared" si="26"/>
        <v>-</v>
      </c>
      <c r="AW68" s="2">
        <v>66.2</v>
      </c>
      <c r="AX68" s="8" t="str">
        <f t="shared" si="27"/>
        <v>+</v>
      </c>
      <c r="AY68" s="2">
        <v>68.7</v>
      </c>
      <c r="AZ68" s="8" t="str">
        <f t="shared" si="28"/>
        <v>-</v>
      </c>
      <c r="BA68" s="2">
        <v>56.6</v>
      </c>
      <c r="BB68" s="8" t="str">
        <f t="shared" si="29"/>
        <v>+</v>
      </c>
      <c r="BC68" s="2"/>
      <c r="BD68" s="8" t="str">
        <f t="shared" si="30"/>
        <v>+</v>
      </c>
      <c r="BE68" s="2">
        <v>81</v>
      </c>
      <c r="BF68" s="8" t="str">
        <f t="shared" si="11"/>
        <v>+</v>
      </c>
      <c r="BG68" s="2"/>
      <c r="BH68" s="8" t="str">
        <f t="shared" si="31"/>
        <v>+</v>
      </c>
      <c r="BI68" s="2"/>
      <c r="BJ68" s="8" t="str">
        <f t="shared" si="32"/>
        <v>+</v>
      </c>
      <c r="BK68" s="2"/>
      <c r="BL68" s="8" t="str">
        <f t="shared" si="33"/>
        <v>+</v>
      </c>
    </row>
    <row r="69" spans="1:64">
      <c r="A69" s="1">
        <v>20302</v>
      </c>
      <c r="B69">
        <v>66.2</v>
      </c>
      <c r="C69">
        <v>67.099999999999994</v>
      </c>
      <c r="D69">
        <v>60.9</v>
      </c>
      <c r="E69">
        <v>72.099999999999994</v>
      </c>
      <c r="F69">
        <v>67</v>
      </c>
      <c r="G69">
        <v>58.4</v>
      </c>
      <c r="I69">
        <v>80.400000000000006</v>
      </c>
      <c r="W69" s="1">
        <v>20302</v>
      </c>
      <c r="X69">
        <v>43.18</v>
      </c>
      <c r="Y69" s="4">
        <f t="shared" si="34"/>
        <v>-7.8125000000000781E-3</v>
      </c>
      <c r="Z69" s="4">
        <f t="shared" si="12"/>
        <v>0.44753603754609461</v>
      </c>
      <c r="AA69">
        <v>66.2</v>
      </c>
      <c r="AB69">
        <f t="shared" si="13"/>
        <v>51.7</v>
      </c>
      <c r="AP69" s="3">
        <v>20271</v>
      </c>
      <c r="AQ69" s="2">
        <v>63.3</v>
      </c>
      <c r="AR69" s="2" t="str">
        <f t="shared" si="24"/>
        <v>-</v>
      </c>
      <c r="AS69" s="2">
        <v>60.9</v>
      </c>
      <c r="AT69" s="8" t="str">
        <f t="shared" si="25"/>
        <v>-</v>
      </c>
      <c r="AU69" s="2">
        <v>65.5</v>
      </c>
      <c r="AV69" s="8" t="str">
        <f t="shared" si="26"/>
        <v>-</v>
      </c>
      <c r="AW69" s="2">
        <v>61.2</v>
      </c>
      <c r="AX69" s="8" t="str">
        <f t="shared" si="27"/>
        <v>-</v>
      </c>
      <c r="AY69" s="2">
        <v>65.7</v>
      </c>
      <c r="AZ69" s="8" t="str">
        <f t="shared" si="28"/>
        <v>-</v>
      </c>
      <c r="BA69" s="2">
        <v>65.2</v>
      </c>
      <c r="BB69" s="8" t="str">
        <f t="shared" si="29"/>
        <v>+</v>
      </c>
      <c r="BC69" s="2"/>
      <c r="BD69" s="8" t="str">
        <f t="shared" si="30"/>
        <v>+</v>
      </c>
      <c r="BE69" s="2">
        <v>75.900000000000006</v>
      </c>
      <c r="BF69" s="8" t="str">
        <f t="shared" si="11"/>
        <v>-</v>
      </c>
      <c r="BG69" s="2"/>
      <c r="BH69" s="8" t="str">
        <f t="shared" si="31"/>
        <v>+</v>
      </c>
      <c r="BI69" s="2"/>
      <c r="BJ69" s="8" t="str">
        <f t="shared" si="32"/>
        <v>+</v>
      </c>
      <c r="BK69" s="2"/>
      <c r="BL69" s="8" t="str">
        <f t="shared" si="33"/>
        <v>+</v>
      </c>
    </row>
    <row r="70" spans="1:64">
      <c r="A70" s="1">
        <v>20333</v>
      </c>
      <c r="B70">
        <v>64.8</v>
      </c>
      <c r="C70">
        <v>70.400000000000006</v>
      </c>
      <c r="D70">
        <v>59.2</v>
      </c>
      <c r="E70">
        <v>67.099999999999994</v>
      </c>
      <c r="F70">
        <v>64.3</v>
      </c>
      <c r="G70">
        <v>54.2</v>
      </c>
      <c r="I70">
        <v>79.5</v>
      </c>
      <c r="W70" s="1">
        <v>20333</v>
      </c>
      <c r="X70">
        <v>43.669998</v>
      </c>
      <c r="Y70" s="4">
        <f t="shared" si="34"/>
        <v>1.1347799907364519E-2</v>
      </c>
      <c r="Z70" s="4">
        <f t="shared" si="12"/>
        <v>0.35159383003423617</v>
      </c>
      <c r="AA70">
        <v>64.8</v>
      </c>
      <c r="AB70">
        <f t="shared" si="13"/>
        <v>54.4</v>
      </c>
      <c r="AP70" s="3">
        <v>20302</v>
      </c>
      <c r="AQ70" s="2">
        <v>66.2</v>
      </c>
      <c r="AR70" s="2" t="str">
        <f t="shared" si="24"/>
        <v>+</v>
      </c>
      <c r="AS70" s="2">
        <v>67.099999999999994</v>
      </c>
      <c r="AT70" s="8" t="str">
        <f t="shared" si="25"/>
        <v>+</v>
      </c>
      <c r="AU70" s="2">
        <v>72.099999999999994</v>
      </c>
      <c r="AV70" s="8" t="str">
        <f t="shared" si="26"/>
        <v>+</v>
      </c>
      <c r="AW70" s="2">
        <v>60.9</v>
      </c>
      <c r="AX70" s="8" t="str">
        <f t="shared" si="27"/>
        <v>-</v>
      </c>
      <c r="AY70" s="2">
        <v>67</v>
      </c>
      <c r="AZ70" s="8" t="str">
        <f t="shared" si="28"/>
        <v>+</v>
      </c>
      <c r="BA70" s="2">
        <v>58.4</v>
      </c>
      <c r="BB70" s="8" t="str">
        <f t="shared" si="29"/>
        <v>-</v>
      </c>
      <c r="BC70" s="2"/>
      <c r="BD70" s="8" t="str">
        <f t="shared" si="30"/>
        <v>+</v>
      </c>
      <c r="BE70" s="2">
        <v>80.400000000000006</v>
      </c>
      <c r="BF70" s="8" t="str">
        <f t="shared" ref="BF70:BF133" si="35">IF(OR(BE70&gt;BE69,BE70=BE69),"+","-")</f>
        <v>+</v>
      </c>
      <c r="BG70" s="2"/>
      <c r="BH70" s="8" t="str">
        <f t="shared" si="31"/>
        <v>+</v>
      </c>
      <c r="BI70" s="2"/>
      <c r="BJ70" s="8" t="str">
        <f t="shared" si="32"/>
        <v>+</v>
      </c>
      <c r="BK70" s="2"/>
      <c r="BL70" s="8" t="str">
        <f t="shared" si="33"/>
        <v>+</v>
      </c>
    </row>
    <row r="71" spans="1:64">
      <c r="A71" s="1">
        <v>20363</v>
      </c>
      <c r="B71">
        <v>62.4</v>
      </c>
      <c r="C71">
        <v>63.7</v>
      </c>
      <c r="D71">
        <v>59.7</v>
      </c>
      <c r="E71">
        <v>64.3</v>
      </c>
      <c r="F71">
        <v>66.3</v>
      </c>
      <c r="G71">
        <v>53.5</v>
      </c>
      <c r="I71">
        <v>82.2</v>
      </c>
      <c r="W71" s="1">
        <v>20363</v>
      </c>
      <c r="X71">
        <v>42.34</v>
      </c>
      <c r="Y71" s="4">
        <f t="shared" si="34"/>
        <v>-3.0455646002090411E-2</v>
      </c>
      <c r="Z71" s="4">
        <f t="shared" si="12"/>
        <v>0.33648989898989912</v>
      </c>
      <c r="AA71">
        <v>62.4</v>
      </c>
      <c r="AB71">
        <f t="shared" si="13"/>
        <v>53.5</v>
      </c>
      <c r="AP71" s="3">
        <v>20333</v>
      </c>
      <c r="AQ71" s="2">
        <v>64.8</v>
      </c>
      <c r="AR71" s="2" t="str">
        <f t="shared" si="24"/>
        <v>-</v>
      </c>
      <c r="AS71" s="2">
        <v>70.400000000000006</v>
      </c>
      <c r="AT71" s="8" t="str">
        <f t="shared" si="25"/>
        <v>+</v>
      </c>
      <c r="AU71" s="2">
        <v>67.099999999999994</v>
      </c>
      <c r="AV71" s="8" t="str">
        <f t="shared" si="26"/>
        <v>-</v>
      </c>
      <c r="AW71" s="2">
        <v>59.2</v>
      </c>
      <c r="AX71" s="8" t="str">
        <f t="shared" si="27"/>
        <v>-</v>
      </c>
      <c r="AY71" s="2">
        <v>64.3</v>
      </c>
      <c r="AZ71" s="8" t="str">
        <f t="shared" si="28"/>
        <v>-</v>
      </c>
      <c r="BA71" s="2">
        <v>54.2</v>
      </c>
      <c r="BB71" s="8" t="str">
        <f t="shared" si="29"/>
        <v>-</v>
      </c>
      <c r="BC71" s="2"/>
      <c r="BD71" s="8" t="str">
        <f t="shared" si="30"/>
        <v>+</v>
      </c>
      <c r="BE71" s="2">
        <v>79.5</v>
      </c>
      <c r="BF71" s="8" t="str">
        <f t="shared" si="35"/>
        <v>-</v>
      </c>
      <c r="BG71" s="2"/>
      <c r="BH71" s="8" t="str">
        <f t="shared" si="31"/>
        <v>+</v>
      </c>
      <c r="BI71" s="2"/>
      <c r="BJ71" s="8" t="str">
        <f t="shared" si="32"/>
        <v>+</v>
      </c>
      <c r="BK71" s="2"/>
      <c r="BL71" s="8" t="str">
        <f t="shared" si="33"/>
        <v>+</v>
      </c>
    </row>
    <row r="72" spans="1:64">
      <c r="A72" s="1">
        <v>20394</v>
      </c>
      <c r="B72">
        <v>63.7</v>
      </c>
      <c r="C72">
        <v>66.3</v>
      </c>
      <c r="D72">
        <v>60.9</v>
      </c>
      <c r="E72">
        <v>65.099999999999994</v>
      </c>
      <c r="F72">
        <v>66.5</v>
      </c>
      <c r="G72">
        <v>53.5</v>
      </c>
      <c r="I72">
        <v>80.5</v>
      </c>
      <c r="W72" s="1">
        <v>20394</v>
      </c>
      <c r="X72">
        <v>45.509998000000003</v>
      </c>
      <c r="Y72" s="4">
        <f t="shared" si="34"/>
        <v>7.4870051960321191E-2</v>
      </c>
      <c r="Z72" s="4">
        <f t="shared" si="12"/>
        <v>0.32914706021337287</v>
      </c>
      <c r="AA72">
        <v>63.7</v>
      </c>
      <c r="AB72">
        <f t="shared" si="13"/>
        <v>58.2</v>
      </c>
      <c r="AP72" s="3">
        <v>20363</v>
      </c>
      <c r="AQ72" s="2">
        <v>62.4</v>
      </c>
      <c r="AR72" s="2" t="str">
        <f t="shared" si="24"/>
        <v>-</v>
      </c>
      <c r="AS72" s="2">
        <v>63.7</v>
      </c>
      <c r="AT72" s="8" t="str">
        <f t="shared" si="25"/>
        <v>-</v>
      </c>
      <c r="AU72" s="2">
        <v>64.3</v>
      </c>
      <c r="AV72" s="8" t="str">
        <f t="shared" si="26"/>
        <v>-</v>
      </c>
      <c r="AW72" s="2">
        <v>59.7</v>
      </c>
      <c r="AX72" s="8" t="str">
        <f t="shared" si="27"/>
        <v>+</v>
      </c>
      <c r="AY72" s="2">
        <v>66.3</v>
      </c>
      <c r="AZ72" s="8" t="str">
        <f t="shared" si="28"/>
        <v>+</v>
      </c>
      <c r="BA72" s="2">
        <v>53.5</v>
      </c>
      <c r="BB72" s="8" t="str">
        <f t="shared" si="29"/>
        <v>-</v>
      </c>
      <c r="BC72" s="2"/>
      <c r="BD72" s="8" t="str">
        <f t="shared" si="30"/>
        <v>+</v>
      </c>
      <c r="BE72" s="2">
        <v>82.2</v>
      </c>
      <c r="BF72" s="8" t="str">
        <f t="shared" si="35"/>
        <v>+</v>
      </c>
      <c r="BG72" s="2"/>
      <c r="BH72" s="8" t="str">
        <f t="shared" si="31"/>
        <v>+</v>
      </c>
      <c r="BI72" s="2"/>
      <c r="BJ72" s="8" t="str">
        <f t="shared" si="32"/>
        <v>+</v>
      </c>
      <c r="BK72" s="2"/>
      <c r="BL72" s="8" t="str">
        <f t="shared" si="33"/>
        <v>+</v>
      </c>
    </row>
    <row r="73" spans="1:64">
      <c r="A73" s="1">
        <v>20424</v>
      </c>
      <c r="B73">
        <v>62</v>
      </c>
      <c r="C73">
        <v>61.5</v>
      </c>
      <c r="D73">
        <v>61.3</v>
      </c>
      <c r="E73">
        <v>63.9</v>
      </c>
      <c r="F73">
        <v>64.900000000000006</v>
      </c>
      <c r="G73">
        <v>55.5</v>
      </c>
      <c r="I73">
        <v>77.3</v>
      </c>
      <c r="W73" s="1">
        <v>20424</v>
      </c>
      <c r="X73">
        <v>45.48</v>
      </c>
      <c r="Y73" s="4">
        <f t="shared" si="34"/>
        <v>-6.5915186372906859E-4</v>
      </c>
      <c r="Z73" s="4">
        <f t="shared" si="12"/>
        <v>0.26403557531962202</v>
      </c>
      <c r="AA73">
        <v>62</v>
      </c>
      <c r="AB73">
        <f t="shared" si="13"/>
        <v>58.8</v>
      </c>
      <c r="AP73" s="3">
        <v>20394</v>
      </c>
      <c r="AQ73" s="2">
        <v>63.7</v>
      </c>
      <c r="AR73" s="2" t="str">
        <f t="shared" si="24"/>
        <v>+</v>
      </c>
      <c r="AS73" s="2">
        <v>66.3</v>
      </c>
      <c r="AT73" s="8" t="str">
        <f t="shared" si="25"/>
        <v>+</v>
      </c>
      <c r="AU73" s="2">
        <v>65.099999999999994</v>
      </c>
      <c r="AV73" s="8" t="str">
        <f t="shared" si="26"/>
        <v>+</v>
      </c>
      <c r="AW73" s="2">
        <v>60.9</v>
      </c>
      <c r="AX73" s="8" t="str">
        <f t="shared" si="27"/>
        <v>+</v>
      </c>
      <c r="AY73" s="2">
        <v>66.5</v>
      </c>
      <c r="AZ73" s="8" t="str">
        <f t="shared" si="28"/>
        <v>+</v>
      </c>
      <c r="BA73" s="2">
        <v>53.5</v>
      </c>
      <c r="BB73" s="8" t="str">
        <f t="shared" si="29"/>
        <v>+</v>
      </c>
      <c r="BC73" s="2"/>
      <c r="BD73" s="8" t="str">
        <f t="shared" si="30"/>
        <v>+</v>
      </c>
      <c r="BE73" s="2">
        <v>80.5</v>
      </c>
      <c r="BF73" s="8" t="str">
        <f t="shared" si="35"/>
        <v>-</v>
      </c>
      <c r="BG73" s="2"/>
      <c r="BH73" s="8" t="str">
        <f t="shared" si="31"/>
        <v>+</v>
      </c>
      <c r="BI73" s="2"/>
      <c r="BJ73" s="8" t="str">
        <f t="shared" si="32"/>
        <v>+</v>
      </c>
      <c r="BK73" s="2"/>
      <c r="BL73" s="8" t="str">
        <f t="shared" si="33"/>
        <v>+</v>
      </c>
    </row>
    <row r="74" spans="1:64">
      <c r="A74" s="1">
        <v>20455</v>
      </c>
      <c r="B74">
        <v>65.599999999999994</v>
      </c>
      <c r="C74">
        <v>66.599999999999994</v>
      </c>
      <c r="D74">
        <v>63.9</v>
      </c>
      <c r="E74">
        <v>72.400000000000006</v>
      </c>
      <c r="F74">
        <v>61.4</v>
      </c>
      <c r="G74">
        <v>55.4</v>
      </c>
      <c r="I74">
        <v>80</v>
      </c>
      <c r="W74" s="1">
        <v>20455</v>
      </c>
      <c r="X74">
        <v>43.82</v>
      </c>
      <c r="Y74" s="4">
        <f t="shared" si="34"/>
        <v>-3.6499560246262018E-2</v>
      </c>
      <c r="Z74" s="4">
        <f t="shared" si="12"/>
        <v>0.19628716362852408</v>
      </c>
      <c r="AA74">
        <v>65.599999999999994</v>
      </c>
      <c r="AB74">
        <f t="shared" si="13"/>
        <v>63.8</v>
      </c>
      <c r="AP74" s="3">
        <v>20424</v>
      </c>
      <c r="AQ74" s="2">
        <v>62</v>
      </c>
      <c r="AR74" s="2" t="str">
        <f t="shared" si="24"/>
        <v>-</v>
      </c>
      <c r="AS74" s="2">
        <v>61.5</v>
      </c>
      <c r="AT74" s="8" t="str">
        <f t="shared" si="25"/>
        <v>-</v>
      </c>
      <c r="AU74" s="2">
        <v>63.9</v>
      </c>
      <c r="AV74" s="8" t="str">
        <f t="shared" si="26"/>
        <v>-</v>
      </c>
      <c r="AW74" s="2">
        <v>61.3</v>
      </c>
      <c r="AX74" s="8" t="str">
        <f t="shared" si="27"/>
        <v>+</v>
      </c>
      <c r="AY74" s="2">
        <v>64.900000000000006</v>
      </c>
      <c r="AZ74" s="8" t="str">
        <f t="shared" si="28"/>
        <v>-</v>
      </c>
      <c r="BA74" s="2">
        <v>55.5</v>
      </c>
      <c r="BB74" s="8" t="str">
        <f t="shared" si="29"/>
        <v>+</v>
      </c>
      <c r="BC74" s="2"/>
      <c r="BD74" s="8" t="str">
        <f t="shared" si="30"/>
        <v>+</v>
      </c>
      <c r="BE74" s="2">
        <v>77.3</v>
      </c>
      <c r="BF74" s="8" t="str">
        <f t="shared" si="35"/>
        <v>-</v>
      </c>
      <c r="BG74" s="2"/>
      <c r="BH74" s="8" t="str">
        <f t="shared" si="31"/>
        <v>+</v>
      </c>
      <c r="BI74" s="2"/>
      <c r="BJ74" s="8" t="str">
        <f t="shared" si="32"/>
        <v>+</v>
      </c>
      <c r="BK74" s="2"/>
      <c r="BL74" s="8" t="str">
        <f t="shared" si="33"/>
        <v>+</v>
      </c>
    </row>
    <row r="75" spans="1:64">
      <c r="A75" s="1">
        <v>20486</v>
      </c>
      <c r="B75">
        <v>60.2</v>
      </c>
      <c r="C75">
        <v>61.8</v>
      </c>
      <c r="D75">
        <v>62.3</v>
      </c>
      <c r="E75">
        <v>64</v>
      </c>
      <c r="F75">
        <v>53.5</v>
      </c>
      <c r="G75">
        <v>52.2</v>
      </c>
      <c r="I75">
        <v>82.7</v>
      </c>
      <c r="W75" s="1">
        <v>20486</v>
      </c>
      <c r="X75">
        <v>45.34</v>
      </c>
      <c r="Y75" s="4">
        <f t="shared" si="34"/>
        <v>3.4687357371063515E-2</v>
      </c>
      <c r="Z75" s="4">
        <f t="shared" si="12"/>
        <v>0.23340594305799472</v>
      </c>
      <c r="AA75">
        <v>60.2</v>
      </c>
      <c r="AB75">
        <f t="shared" si="13"/>
        <v>63</v>
      </c>
      <c r="AP75" s="3">
        <v>20455</v>
      </c>
      <c r="AQ75" s="2">
        <v>65.599999999999994</v>
      </c>
      <c r="AR75" s="2" t="str">
        <f t="shared" si="24"/>
        <v>+</v>
      </c>
      <c r="AS75" s="2">
        <v>66.599999999999994</v>
      </c>
      <c r="AT75" s="8" t="str">
        <f t="shared" si="25"/>
        <v>+</v>
      </c>
      <c r="AU75" s="2">
        <v>72.400000000000006</v>
      </c>
      <c r="AV75" s="8" t="str">
        <f t="shared" si="26"/>
        <v>+</v>
      </c>
      <c r="AW75" s="2">
        <v>63.9</v>
      </c>
      <c r="AX75" s="8" t="str">
        <f t="shared" si="27"/>
        <v>+</v>
      </c>
      <c r="AY75" s="2">
        <v>61.4</v>
      </c>
      <c r="AZ75" s="8" t="str">
        <f t="shared" si="28"/>
        <v>-</v>
      </c>
      <c r="BA75" s="2">
        <v>55.4</v>
      </c>
      <c r="BB75" s="8" t="str">
        <f t="shared" si="29"/>
        <v>-</v>
      </c>
      <c r="BC75" s="2"/>
      <c r="BD75" s="8" t="str">
        <f t="shared" si="30"/>
        <v>+</v>
      </c>
      <c r="BE75" s="2">
        <v>80</v>
      </c>
      <c r="BF75" s="8" t="str">
        <f t="shared" si="35"/>
        <v>+</v>
      </c>
      <c r="BG75" s="2"/>
      <c r="BH75" s="8" t="str">
        <f t="shared" si="31"/>
        <v>+</v>
      </c>
      <c r="BI75" s="2"/>
      <c r="BJ75" s="8" t="str">
        <f t="shared" si="32"/>
        <v>+</v>
      </c>
      <c r="BK75" s="2"/>
      <c r="BL75" s="8" t="str">
        <f t="shared" si="33"/>
        <v>+</v>
      </c>
    </row>
    <row r="76" spans="1:64">
      <c r="A76" s="1">
        <v>20515</v>
      </c>
      <c r="B76">
        <v>58.2</v>
      </c>
      <c r="C76">
        <v>56.2</v>
      </c>
      <c r="D76">
        <v>61</v>
      </c>
      <c r="E76">
        <v>63.5</v>
      </c>
      <c r="F76">
        <v>51.3</v>
      </c>
      <c r="G76">
        <v>56.1</v>
      </c>
      <c r="I76">
        <v>83.5</v>
      </c>
      <c r="W76" s="1">
        <v>20515</v>
      </c>
      <c r="X76">
        <v>48.48</v>
      </c>
      <c r="Y76" s="4">
        <f t="shared" si="34"/>
        <v>6.9254521393912513E-2</v>
      </c>
      <c r="Z76" s="4">
        <f t="shared" si="12"/>
        <v>0.32531430698117503</v>
      </c>
      <c r="AA76">
        <v>58.2</v>
      </c>
      <c r="AB76">
        <f t="shared" si="13"/>
        <v>67.8</v>
      </c>
      <c r="AP76" s="3">
        <v>20486</v>
      </c>
      <c r="AQ76" s="2">
        <v>60.2</v>
      </c>
      <c r="AR76" s="2" t="str">
        <f t="shared" si="24"/>
        <v>-</v>
      </c>
      <c r="AS76" s="2">
        <v>61.8</v>
      </c>
      <c r="AT76" s="8" t="str">
        <f t="shared" si="25"/>
        <v>-</v>
      </c>
      <c r="AU76" s="2">
        <v>64</v>
      </c>
      <c r="AV76" s="8" t="str">
        <f t="shared" si="26"/>
        <v>-</v>
      </c>
      <c r="AW76" s="2">
        <v>62.3</v>
      </c>
      <c r="AX76" s="8" t="str">
        <f t="shared" si="27"/>
        <v>-</v>
      </c>
      <c r="AY76" s="2">
        <v>53.5</v>
      </c>
      <c r="AZ76" s="8" t="str">
        <f t="shared" si="28"/>
        <v>-</v>
      </c>
      <c r="BA76" s="2">
        <v>52.2</v>
      </c>
      <c r="BB76" s="8" t="str">
        <f t="shared" si="29"/>
        <v>-</v>
      </c>
      <c r="BC76" s="2"/>
      <c r="BD76" s="8" t="str">
        <f t="shared" si="30"/>
        <v>+</v>
      </c>
      <c r="BE76" s="2">
        <v>82.7</v>
      </c>
      <c r="BF76" s="8" t="str">
        <f t="shared" si="35"/>
        <v>+</v>
      </c>
      <c r="BG76" s="2"/>
      <c r="BH76" s="8" t="str">
        <f t="shared" si="31"/>
        <v>+</v>
      </c>
      <c r="BI76" s="2"/>
      <c r="BJ76" s="8" t="str">
        <f t="shared" si="32"/>
        <v>+</v>
      </c>
      <c r="BK76" s="2"/>
      <c r="BL76" s="8" t="str">
        <f t="shared" si="33"/>
        <v>+</v>
      </c>
    </row>
    <row r="77" spans="1:64">
      <c r="A77" s="1">
        <v>20546</v>
      </c>
      <c r="B77">
        <v>57.2</v>
      </c>
      <c r="C77">
        <v>57.3</v>
      </c>
      <c r="D77">
        <v>56.9</v>
      </c>
      <c r="E77">
        <v>61</v>
      </c>
      <c r="F77">
        <v>51</v>
      </c>
      <c r="G77">
        <v>57.2</v>
      </c>
      <c r="I77">
        <v>87.7</v>
      </c>
      <c r="W77" s="1">
        <v>20546</v>
      </c>
      <c r="X77">
        <v>48.380001</v>
      </c>
      <c r="Y77" s="4">
        <f t="shared" si="34"/>
        <v>-2.0626856435642916E-3</v>
      </c>
      <c r="Z77" s="4">
        <f t="shared" si="12"/>
        <v>0.27449953304793279</v>
      </c>
      <c r="AA77">
        <v>57.2</v>
      </c>
      <c r="AB77">
        <f t="shared" si="13"/>
        <v>67.5</v>
      </c>
      <c r="AP77" s="3">
        <v>20515</v>
      </c>
      <c r="AQ77" s="2">
        <v>58.2</v>
      </c>
      <c r="AR77" s="2" t="str">
        <f t="shared" si="24"/>
        <v>-</v>
      </c>
      <c r="AS77" s="2">
        <v>56.2</v>
      </c>
      <c r="AT77" s="8" t="str">
        <f t="shared" si="25"/>
        <v>-</v>
      </c>
      <c r="AU77" s="2">
        <v>63.5</v>
      </c>
      <c r="AV77" s="8" t="str">
        <f t="shared" si="26"/>
        <v>-</v>
      </c>
      <c r="AW77" s="2">
        <v>61</v>
      </c>
      <c r="AX77" s="8" t="str">
        <f t="shared" si="27"/>
        <v>-</v>
      </c>
      <c r="AY77" s="2">
        <v>51.3</v>
      </c>
      <c r="AZ77" s="8" t="str">
        <f t="shared" si="28"/>
        <v>-</v>
      </c>
      <c r="BA77" s="2">
        <v>56.1</v>
      </c>
      <c r="BB77" s="8" t="str">
        <f t="shared" si="29"/>
        <v>+</v>
      </c>
      <c r="BC77" s="2"/>
      <c r="BD77" s="8" t="str">
        <f t="shared" si="30"/>
        <v>+</v>
      </c>
      <c r="BE77" s="2">
        <v>83.5</v>
      </c>
      <c r="BF77" s="8" t="str">
        <f t="shared" si="35"/>
        <v>+</v>
      </c>
      <c r="BG77" s="2"/>
      <c r="BH77" s="8" t="str">
        <f t="shared" si="31"/>
        <v>+</v>
      </c>
      <c r="BI77" s="2"/>
      <c r="BJ77" s="8" t="str">
        <f t="shared" si="32"/>
        <v>+</v>
      </c>
      <c r="BK77" s="2"/>
      <c r="BL77" s="8" t="str">
        <f t="shared" si="33"/>
        <v>+</v>
      </c>
    </row>
    <row r="78" spans="1:64">
      <c r="A78" s="1">
        <v>20576</v>
      </c>
      <c r="B78">
        <v>55.9</v>
      </c>
      <c r="C78">
        <v>55.9</v>
      </c>
      <c r="D78">
        <v>54.8</v>
      </c>
      <c r="E78">
        <v>58.9</v>
      </c>
      <c r="F78">
        <v>51</v>
      </c>
      <c r="G78">
        <v>57.5</v>
      </c>
      <c r="I78">
        <v>87.5</v>
      </c>
      <c r="W78" s="1">
        <v>20576</v>
      </c>
      <c r="X78">
        <v>45.200001</v>
      </c>
      <c r="Y78" s="4">
        <f t="shared" si="34"/>
        <v>-6.5729638988639122E-2</v>
      </c>
      <c r="Z78" s="4">
        <f t="shared" si="12"/>
        <v>0.19229757319968357</v>
      </c>
      <c r="AA78">
        <v>55.9</v>
      </c>
      <c r="AB78">
        <f t="shared" si="13"/>
        <v>68.7</v>
      </c>
      <c r="AP78" s="3">
        <v>20546</v>
      </c>
      <c r="AQ78" s="2">
        <v>57.2</v>
      </c>
      <c r="AR78" s="2" t="str">
        <f t="shared" si="24"/>
        <v>-</v>
      </c>
      <c r="AS78" s="2">
        <v>57.3</v>
      </c>
      <c r="AT78" s="8" t="str">
        <f t="shared" si="25"/>
        <v>+</v>
      </c>
      <c r="AU78" s="2">
        <v>61</v>
      </c>
      <c r="AV78" s="8" t="str">
        <f t="shared" si="26"/>
        <v>-</v>
      </c>
      <c r="AW78" s="2">
        <v>56.9</v>
      </c>
      <c r="AX78" s="8" t="str">
        <f t="shared" si="27"/>
        <v>-</v>
      </c>
      <c r="AY78" s="2">
        <v>51</v>
      </c>
      <c r="AZ78" s="8" t="str">
        <f t="shared" si="28"/>
        <v>-</v>
      </c>
      <c r="BA78" s="2">
        <v>57.2</v>
      </c>
      <c r="BB78" s="8" t="str">
        <f t="shared" si="29"/>
        <v>+</v>
      </c>
      <c r="BC78" s="2"/>
      <c r="BD78" s="8" t="str">
        <f t="shared" si="30"/>
        <v>+</v>
      </c>
      <c r="BE78" s="2">
        <v>87.7</v>
      </c>
      <c r="BF78" s="8" t="str">
        <f t="shared" si="35"/>
        <v>+</v>
      </c>
      <c r="BG78" s="2"/>
      <c r="BH78" s="8" t="str">
        <f t="shared" si="31"/>
        <v>+</v>
      </c>
      <c r="BI78" s="2"/>
      <c r="BJ78" s="8" t="str">
        <f t="shared" si="32"/>
        <v>+</v>
      </c>
      <c r="BK78" s="2"/>
      <c r="BL78" s="8" t="str">
        <f t="shared" si="33"/>
        <v>+</v>
      </c>
    </row>
    <row r="79" spans="1:64">
      <c r="A79" s="1">
        <v>20607</v>
      </c>
      <c r="B79">
        <v>51.2</v>
      </c>
      <c r="C79">
        <v>53</v>
      </c>
      <c r="D79">
        <v>51.4</v>
      </c>
      <c r="E79">
        <v>52.8</v>
      </c>
      <c r="F79">
        <v>38.6</v>
      </c>
      <c r="G79">
        <v>60.3</v>
      </c>
      <c r="I79">
        <v>81.7</v>
      </c>
      <c r="W79" s="1">
        <v>20607</v>
      </c>
      <c r="X79">
        <v>46.970001000000003</v>
      </c>
      <c r="Y79" s="4">
        <f t="shared" si="34"/>
        <v>3.91592911690423E-2</v>
      </c>
      <c r="Z79" s="4">
        <f t="shared" ref="Z79:Z142" si="36">(X79-X67)/X67</f>
        <v>0.14477217023573427</v>
      </c>
      <c r="AA79">
        <v>51.2</v>
      </c>
      <c r="AB79">
        <f t="shared" ref="AB79:AB142" si="37">AA67</f>
        <v>69.5</v>
      </c>
      <c r="AP79" s="3">
        <v>20576</v>
      </c>
      <c r="AQ79" s="2">
        <v>55.9</v>
      </c>
      <c r="AR79" s="2" t="str">
        <f t="shared" si="24"/>
        <v>-</v>
      </c>
      <c r="AS79" s="2">
        <v>55.9</v>
      </c>
      <c r="AT79" s="8" t="str">
        <f t="shared" si="25"/>
        <v>-</v>
      </c>
      <c r="AU79" s="2">
        <v>58.9</v>
      </c>
      <c r="AV79" s="8" t="str">
        <f t="shared" si="26"/>
        <v>-</v>
      </c>
      <c r="AW79" s="2">
        <v>54.8</v>
      </c>
      <c r="AX79" s="8" t="str">
        <f t="shared" si="27"/>
        <v>-</v>
      </c>
      <c r="AY79" s="2">
        <v>51</v>
      </c>
      <c r="AZ79" s="8" t="str">
        <f t="shared" si="28"/>
        <v>+</v>
      </c>
      <c r="BA79" s="2">
        <v>57.5</v>
      </c>
      <c r="BB79" s="8" t="str">
        <f t="shared" si="29"/>
        <v>+</v>
      </c>
      <c r="BC79" s="2"/>
      <c r="BD79" s="8" t="str">
        <f t="shared" si="30"/>
        <v>+</v>
      </c>
      <c r="BE79" s="2">
        <v>87.5</v>
      </c>
      <c r="BF79" s="8" t="str">
        <f t="shared" si="35"/>
        <v>-</v>
      </c>
      <c r="BG79" s="2"/>
      <c r="BH79" s="8" t="str">
        <f t="shared" si="31"/>
        <v>+</v>
      </c>
      <c r="BI79" s="2"/>
      <c r="BJ79" s="8" t="str">
        <f t="shared" si="32"/>
        <v>+</v>
      </c>
      <c r="BK79" s="2"/>
      <c r="BL79" s="8" t="str">
        <f t="shared" si="33"/>
        <v>+</v>
      </c>
    </row>
    <row r="80" spans="1:64">
      <c r="A80" s="1">
        <v>20637</v>
      </c>
      <c r="B80">
        <v>47.7</v>
      </c>
      <c r="C80">
        <v>48.9</v>
      </c>
      <c r="D80">
        <v>43.9</v>
      </c>
      <c r="E80">
        <v>49.2</v>
      </c>
      <c r="F80">
        <v>41</v>
      </c>
      <c r="G80">
        <v>58.4</v>
      </c>
      <c r="I80">
        <v>65.7</v>
      </c>
      <c r="W80" s="1">
        <v>20637</v>
      </c>
      <c r="X80">
        <v>49.389999000000003</v>
      </c>
      <c r="Y80" s="4">
        <f t="shared" si="34"/>
        <v>5.1522204566271983E-2</v>
      </c>
      <c r="Z80" s="4">
        <f t="shared" si="36"/>
        <v>0.13488049172794117</v>
      </c>
      <c r="AA80">
        <v>47.7</v>
      </c>
      <c r="AB80">
        <f t="shared" si="37"/>
        <v>63.3</v>
      </c>
      <c r="AP80" s="3">
        <v>20607</v>
      </c>
      <c r="AQ80" s="2">
        <v>51.2</v>
      </c>
      <c r="AR80" s="2" t="str">
        <f t="shared" si="24"/>
        <v>-</v>
      </c>
      <c r="AS80" s="2">
        <v>53</v>
      </c>
      <c r="AT80" s="8" t="str">
        <f t="shared" si="25"/>
        <v>-</v>
      </c>
      <c r="AU80" s="2">
        <v>52.8</v>
      </c>
      <c r="AV80" s="8" t="str">
        <f t="shared" si="26"/>
        <v>-</v>
      </c>
      <c r="AW80" s="2">
        <v>51.4</v>
      </c>
      <c r="AX80" s="8" t="str">
        <f t="shared" si="27"/>
        <v>-</v>
      </c>
      <c r="AY80" s="2">
        <v>38.6</v>
      </c>
      <c r="AZ80" s="8" t="str">
        <f t="shared" si="28"/>
        <v>-</v>
      </c>
      <c r="BA80" s="2">
        <v>60.3</v>
      </c>
      <c r="BB80" s="8" t="str">
        <f t="shared" si="29"/>
        <v>+</v>
      </c>
      <c r="BC80" s="2"/>
      <c r="BD80" s="8" t="str">
        <f t="shared" si="30"/>
        <v>+</v>
      </c>
      <c r="BE80" s="2">
        <v>81.7</v>
      </c>
      <c r="BF80" s="8" t="str">
        <f t="shared" si="35"/>
        <v>-</v>
      </c>
      <c r="BG80" s="2"/>
      <c r="BH80" s="8" t="str">
        <f t="shared" si="31"/>
        <v>+</v>
      </c>
      <c r="BI80" s="2"/>
      <c r="BJ80" s="8" t="str">
        <f t="shared" si="32"/>
        <v>+</v>
      </c>
      <c r="BK80" s="2"/>
      <c r="BL80" s="8" t="str">
        <f t="shared" si="33"/>
        <v>+</v>
      </c>
    </row>
    <row r="81" spans="1:64">
      <c r="A81" s="1">
        <v>20668</v>
      </c>
      <c r="B81">
        <v>44.2</v>
      </c>
      <c r="C81">
        <v>44.4</v>
      </c>
      <c r="D81">
        <v>40.799999999999997</v>
      </c>
      <c r="E81">
        <v>38</v>
      </c>
      <c r="F81">
        <v>53.9</v>
      </c>
      <c r="G81">
        <v>51.5</v>
      </c>
      <c r="I81">
        <v>74.7</v>
      </c>
      <c r="W81" s="1">
        <v>20668</v>
      </c>
      <c r="X81">
        <v>47.509998000000003</v>
      </c>
      <c r="Y81" s="4">
        <f t="shared" si="34"/>
        <v>-3.8064406520842406E-2</v>
      </c>
      <c r="Z81" s="4">
        <f t="shared" si="36"/>
        <v>0.10027786012042621</v>
      </c>
      <c r="AA81">
        <v>44.2</v>
      </c>
      <c r="AB81">
        <f t="shared" si="37"/>
        <v>66.2</v>
      </c>
      <c r="AP81" s="3">
        <v>20637</v>
      </c>
      <c r="AQ81" s="2">
        <v>47.7</v>
      </c>
      <c r="AR81" s="2" t="str">
        <f t="shared" si="24"/>
        <v>-</v>
      </c>
      <c r="AS81" s="2">
        <v>48.9</v>
      </c>
      <c r="AT81" s="8" t="str">
        <f t="shared" si="25"/>
        <v>-</v>
      </c>
      <c r="AU81" s="2">
        <v>49.2</v>
      </c>
      <c r="AV81" s="8" t="str">
        <f t="shared" si="26"/>
        <v>-</v>
      </c>
      <c r="AW81" s="2">
        <v>43.9</v>
      </c>
      <c r="AX81" s="8" t="str">
        <f t="shared" si="27"/>
        <v>-</v>
      </c>
      <c r="AY81" s="2">
        <v>41</v>
      </c>
      <c r="AZ81" s="8" t="str">
        <f t="shared" si="28"/>
        <v>+</v>
      </c>
      <c r="BA81" s="2">
        <v>58.4</v>
      </c>
      <c r="BB81" s="8" t="str">
        <f t="shared" si="29"/>
        <v>-</v>
      </c>
      <c r="BC81" s="2"/>
      <c r="BD81" s="8" t="str">
        <f t="shared" si="30"/>
        <v>+</v>
      </c>
      <c r="BE81" s="2">
        <v>65.7</v>
      </c>
      <c r="BF81" s="8" t="str">
        <f t="shared" si="35"/>
        <v>-</v>
      </c>
      <c r="BG81" s="2"/>
      <c r="BH81" s="8" t="str">
        <f t="shared" si="31"/>
        <v>+</v>
      </c>
      <c r="BI81" s="2"/>
      <c r="BJ81" s="8" t="str">
        <f t="shared" si="32"/>
        <v>+</v>
      </c>
      <c r="BK81" s="2"/>
      <c r="BL81" s="8" t="str">
        <f t="shared" si="33"/>
        <v>+</v>
      </c>
    </row>
    <row r="82" spans="1:64">
      <c r="A82" s="1">
        <v>20699</v>
      </c>
      <c r="B82">
        <v>51.5</v>
      </c>
      <c r="C82">
        <v>54.3</v>
      </c>
      <c r="D82">
        <v>50.3</v>
      </c>
      <c r="E82">
        <v>51.5</v>
      </c>
      <c r="F82">
        <v>46.8</v>
      </c>
      <c r="G82">
        <v>52.1</v>
      </c>
      <c r="I82">
        <v>76.3</v>
      </c>
      <c r="W82" s="1">
        <v>20699</v>
      </c>
      <c r="X82">
        <v>45.349997999999999</v>
      </c>
      <c r="Y82" s="4">
        <f t="shared" si="34"/>
        <v>-4.54641147322297E-2</v>
      </c>
      <c r="Z82" s="4">
        <f t="shared" si="36"/>
        <v>3.8470347536997823E-2</v>
      </c>
      <c r="AA82">
        <v>51.5</v>
      </c>
      <c r="AB82">
        <f t="shared" si="37"/>
        <v>64.8</v>
      </c>
      <c r="AP82" s="3">
        <v>20668</v>
      </c>
      <c r="AQ82" s="2">
        <v>44.2</v>
      </c>
      <c r="AR82" s="2" t="str">
        <f t="shared" si="24"/>
        <v>-</v>
      </c>
      <c r="AS82" s="2">
        <v>44.4</v>
      </c>
      <c r="AT82" s="8" t="str">
        <f t="shared" si="25"/>
        <v>-</v>
      </c>
      <c r="AU82" s="2">
        <v>38</v>
      </c>
      <c r="AV82" s="8" t="str">
        <f t="shared" si="26"/>
        <v>-</v>
      </c>
      <c r="AW82" s="2">
        <v>40.799999999999997</v>
      </c>
      <c r="AX82" s="8" t="str">
        <f t="shared" si="27"/>
        <v>-</v>
      </c>
      <c r="AY82" s="2">
        <v>53.9</v>
      </c>
      <c r="AZ82" s="8" t="str">
        <f t="shared" si="28"/>
        <v>+</v>
      </c>
      <c r="BA82" s="2">
        <v>51.5</v>
      </c>
      <c r="BB82" s="8" t="str">
        <f t="shared" si="29"/>
        <v>-</v>
      </c>
      <c r="BC82" s="2"/>
      <c r="BD82" s="8" t="str">
        <f t="shared" si="30"/>
        <v>+</v>
      </c>
      <c r="BE82" s="2">
        <v>74.7</v>
      </c>
      <c r="BF82" s="8" t="str">
        <f t="shared" si="35"/>
        <v>+</v>
      </c>
      <c r="BG82" s="2"/>
      <c r="BH82" s="8" t="str">
        <f t="shared" si="31"/>
        <v>+</v>
      </c>
      <c r="BI82" s="2"/>
      <c r="BJ82" s="8" t="str">
        <f t="shared" si="32"/>
        <v>+</v>
      </c>
      <c r="BK82" s="2"/>
      <c r="BL82" s="8" t="str">
        <f t="shared" si="33"/>
        <v>+</v>
      </c>
    </row>
    <row r="83" spans="1:64">
      <c r="A83" s="1">
        <v>20729</v>
      </c>
      <c r="B83">
        <v>55.5</v>
      </c>
      <c r="C83">
        <v>60.5</v>
      </c>
      <c r="D83">
        <v>52.9</v>
      </c>
      <c r="E83">
        <v>60.2</v>
      </c>
      <c r="F83">
        <v>42.8</v>
      </c>
      <c r="G83">
        <v>53.1</v>
      </c>
      <c r="I83">
        <v>79.5</v>
      </c>
      <c r="W83" s="1">
        <v>20729</v>
      </c>
      <c r="X83">
        <v>45.580002</v>
      </c>
      <c r="Y83" s="4">
        <f t="shared" si="34"/>
        <v>5.0717532556451492E-3</v>
      </c>
      <c r="Z83" s="4">
        <f t="shared" si="36"/>
        <v>7.6523429381199728E-2</v>
      </c>
      <c r="AA83">
        <v>55.5</v>
      </c>
      <c r="AB83">
        <f t="shared" si="37"/>
        <v>62.4</v>
      </c>
      <c r="AP83" s="3">
        <v>20699</v>
      </c>
      <c r="AQ83" s="2">
        <v>51.5</v>
      </c>
      <c r="AR83" s="2" t="str">
        <f t="shared" si="24"/>
        <v>+</v>
      </c>
      <c r="AS83" s="2">
        <v>54.3</v>
      </c>
      <c r="AT83" s="8" t="str">
        <f t="shared" si="25"/>
        <v>+</v>
      </c>
      <c r="AU83" s="2">
        <v>51.5</v>
      </c>
      <c r="AV83" s="8" t="str">
        <f t="shared" si="26"/>
        <v>+</v>
      </c>
      <c r="AW83" s="2">
        <v>50.3</v>
      </c>
      <c r="AX83" s="8" t="str">
        <f t="shared" si="27"/>
        <v>+</v>
      </c>
      <c r="AY83" s="2">
        <v>46.8</v>
      </c>
      <c r="AZ83" s="8" t="str">
        <f t="shared" si="28"/>
        <v>-</v>
      </c>
      <c r="BA83" s="2">
        <v>52.1</v>
      </c>
      <c r="BB83" s="8" t="str">
        <f t="shared" si="29"/>
        <v>+</v>
      </c>
      <c r="BC83" s="2"/>
      <c r="BD83" s="8" t="str">
        <f t="shared" si="30"/>
        <v>+</v>
      </c>
      <c r="BE83" s="2">
        <v>76.3</v>
      </c>
      <c r="BF83" s="8" t="str">
        <f t="shared" si="35"/>
        <v>+</v>
      </c>
      <c r="BG83" s="2"/>
      <c r="BH83" s="8" t="str">
        <f t="shared" si="31"/>
        <v>+</v>
      </c>
      <c r="BI83" s="2"/>
      <c r="BJ83" s="8" t="str">
        <f t="shared" si="32"/>
        <v>+</v>
      </c>
      <c r="BK83" s="2"/>
      <c r="BL83" s="8" t="str">
        <f t="shared" si="33"/>
        <v>+</v>
      </c>
    </row>
    <row r="84" spans="1:64">
      <c r="A84" s="1">
        <v>20760</v>
      </c>
      <c r="B84">
        <v>52.7</v>
      </c>
      <c r="C84">
        <v>55.6</v>
      </c>
      <c r="D84">
        <v>52.2</v>
      </c>
      <c r="E84">
        <v>56.7</v>
      </c>
      <c r="F84">
        <v>40.1</v>
      </c>
      <c r="G84">
        <v>53.6</v>
      </c>
      <c r="I84">
        <v>78.099999999999994</v>
      </c>
      <c r="W84" s="1">
        <v>20760</v>
      </c>
      <c r="X84">
        <v>45.080002</v>
      </c>
      <c r="Y84" s="4">
        <f t="shared" si="34"/>
        <v>-1.0969723081626893E-2</v>
      </c>
      <c r="Z84" s="4">
        <f t="shared" si="36"/>
        <v>-9.4483853855586337E-3</v>
      </c>
      <c r="AA84">
        <v>52.7</v>
      </c>
      <c r="AB84">
        <f t="shared" si="37"/>
        <v>63.7</v>
      </c>
      <c r="AP84" s="3">
        <v>20729</v>
      </c>
      <c r="AQ84" s="2">
        <v>55.5</v>
      </c>
      <c r="AR84" s="2" t="str">
        <f t="shared" si="24"/>
        <v>+</v>
      </c>
      <c r="AS84" s="2">
        <v>60.5</v>
      </c>
      <c r="AT84" s="8" t="str">
        <f t="shared" si="25"/>
        <v>+</v>
      </c>
      <c r="AU84" s="2">
        <v>60.2</v>
      </c>
      <c r="AV84" s="8" t="str">
        <f t="shared" si="26"/>
        <v>+</v>
      </c>
      <c r="AW84" s="2">
        <v>52.9</v>
      </c>
      <c r="AX84" s="8" t="str">
        <f t="shared" si="27"/>
        <v>+</v>
      </c>
      <c r="AY84" s="2">
        <v>42.8</v>
      </c>
      <c r="AZ84" s="8" t="str">
        <f t="shared" si="28"/>
        <v>-</v>
      </c>
      <c r="BA84" s="2">
        <v>53.1</v>
      </c>
      <c r="BB84" s="8" t="str">
        <f t="shared" si="29"/>
        <v>+</v>
      </c>
      <c r="BC84" s="2"/>
      <c r="BD84" s="8" t="str">
        <f t="shared" si="30"/>
        <v>+</v>
      </c>
      <c r="BE84" s="2">
        <v>79.5</v>
      </c>
      <c r="BF84" s="8" t="str">
        <f t="shared" si="35"/>
        <v>+</v>
      </c>
      <c r="BG84" s="2"/>
      <c r="BH84" s="8" t="str">
        <f t="shared" si="31"/>
        <v>+</v>
      </c>
      <c r="BI84" s="2"/>
      <c r="BJ84" s="8" t="str">
        <f t="shared" si="32"/>
        <v>+</v>
      </c>
      <c r="BK84" s="2"/>
      <c r="BL84" s="8" t="str">
        <f t="shared" si="33"/>
        <v>+</v>
      </c>
    </row>
    <row r="85" spans="1:64">
      <c r="A85" s="1">
        <v>20790</v>
      </c>
      <c r="B85">
        <v>55</v>
      </c>
      <c r="C85">
        <v>57</v>
      </c>
      <c r="D85">
        <v>56</v>
      </c>
      <c r="E85">
        <v>62.3</v>
      </c>
      <c r="F85">
        <v>44.6</v>
      </c>
      <c r="G85">
        <v>44.6</v>
      </c>
      <c r="I85">
        <v>80.099999999999994</v>
      </c>
      <c r="W85" s="1">
        <v>20790</v>
      </c>
      <c r="X85">
        <v>46.669998</v>
      </c>
      <c r="Y85" s="4">
        <f t="shared" si="34"/>
        <v>3.5270539695184559E-2</v>
      </c>
      <c r="Z85" s="4">
        <f t="shared" si="36"/>
        <v>2.616530343007922E-2</v>
      </c>
      <c r="AA85">
        <v>55</v>
      </c>
      <c r="AB85">
        <f t="shared" si="37"/>
        <v>62</v>
      </c>
      <c r="AP85" s="3">
        <v>20760</v>
      </c>
      <c r="AQ85" s="2">
        <v>52.7</v>
      </c>
      <c r="AR85" s="2" t="str">
        <f t="shared" si="24"/>
        <v>-</v>
      </c>
      <c r="AS85" s="2">
        <v>55.6</v>
      </c>
      <c r="AT85" s="8" t="str">
        <f t="shared" si="25"/>
        <v>-</v>
      </c>
      <c r="AU85" s="2">
        <v>56.7</v>
      </c>
      <c r="AV85" s="8" t="str">
        <f t="shared" si="26"/>
        <v>-</v>
      </c>
      <c r="AW85" s="2">
        <v>52.2</v>
      </c>
      <c r="AX85" s="8" t="str">
        <f t="shared" si="27"/>
        <v>-</v>
      </c>
      <c r="AY85" s="2">
        <v>40.1</v>
      </c>
      <c r="AZ85" s="8" t="str">
        <f t="shared" si="28"/>
        <v>-</v>
      </c>
      <c r="BA85" s="2">
        <v>53.6</v>
      </c>
      <c r="BB85" s="8" t="str">
        <f t="shared" si="29"/>
        <v>+</v>
      </c>
      <c r="BC85" s="2"/>
      <c r="BD85" s="8" t="str">
        <f t="shared" si="30"/>
        <v>+</v>
      </c>
      <c r="BE85" s="2">
        <v>78.099999999999994</v>
      </c>
      <c r="BF85" s="8" t="str">
        <f t="shared" si="35"/>
        <v>-</v>
      </c>
      <c r="BG85" s="2"/>
      <c r="BH85" s="8" t="str">
        <f t="shared" si="31"/>
        <v>+</v>
      </c>
      <c r="BI85" s="2"/>
      <c r="BJ85" s="8" t="str">
        <f t="shared" si="32"/>
        <v>+</v>
      </c>
      <c r="BK85" s="2"/>
      <c r="BL85" s="8" t="str">
        <f t="shared" si="33"/>
        <v>+</v>
      </c>
    </row>
    <row r="86" spans="1:64">
      <c r="A86" s="1">
        <v>20821</v>
      </c>
      <c r="B86">
        <v>52.7</v>
      </c>
      <c r="C86">
        <v>52.8</v>
      </c>
      <c r="D86">
        <v>55.4</v>
      </c>
      <c r="E86">
        <v>57.7</v>
      </c>
      <c r="F86">
        <v>39.5</v>
      </c>
      <c r="G86">
        <v>54.3</v>
      </c>
      <c r="I86">
        <v>78.900000000000006</v>
      </c>
      <c r="W86" s="1">
        <v>20821</v>
      </c>
      <c r="X86">
        <v>44.720001000000003</v>
      </c>
      <c r="Y86" s="4">
        <f t="shared" si="34"/>
        <v>-4.1782667314448914E-2</v>
      </c>
      <c r="Z86" s="4">
        <f t="shared" si="36"/>
        <v>2.0538589685075381E-2</v>
      </c>
      <c r="AA86">
        <v>52.7</v>
      </c>
      <c r="AB86">
        <f t="shared" si="37"/>
        <v>65.599999999999994</v>
      </c>
      <c r="AP86" s="3">
        <v>20790</v>
      </c>
      <c r="AQ86" s="2">
        <v>55</v>
      </c>
      <c r="AR86" s="2" t="str">
        <f t="shared" si="24"/>
        <v>+</v>
      </c>
      <c r="AS86" s="2">
        <v>57</v>
      </c>
      <c r="AT86" s="8" t="str">
        <f t="shared" si="25"/>
        <v>+</v>
      </c>
      <c r="AU86" s="2">
        <v>62.3</v>
      </c>
      <c r="AV86" s="8" t="str">
        <f t="shared" si="26"/>
        <v>+</v>
      </c>
      <c r="AW86" s="2">
        <v>56</v>
      </c>
      <c r="AX86" s="8" t="str">
        <f t="shared" si="27"/>
        <v>+</v>
      </c>
      <c r="AY86" s="2">
        <v>44.6</v>
      </c>
      <c r="AZ86" s="8" t="str">
        <f t="shared" si="28"/>
        <v>+</v>
      </c>
      <c r="BA86" s="2">
        <v>44.6</v>
      </c>
      <c r="BB86" s="8" t="str">
        <f t="shared" si="29"/>
        <v>-</v>
      </c>
      <c r="BC86" s="2"/>
      <c r="BD86" s="8" t="str">
        <f t="shared" si="30"/>
        <v>+</v>
      </c>
      <c r="BE86" s="2">
        <v>80.099999999999994</v>
      </c>
      <c r="BF86" s="8" t="str">
        <f t="shared" si="35"/>
        <v>+</v>
      </c>
      <c r="BG86" s="2"/>
      <c r="BH86" s="8" t="str">
        <f t="shared" si="31"/>
        <v>+</v>
      </c>
      <c r="BI86" s="2"/>
      <c r="BJ86" s="8" t="str">
        <f t="shared" si="32"/>
        <v>+</v>
      </c>
      <c r="BK86" s="2"/>
      <c r="BL86" s="8" t="str">
        <f t="shared" si="33"/>
        <v>+</v>
      </c>
    </row>
    <row r="87" spans="1:64">
      <c r="A87" s="1">
        <v>20852</v>
      </c>
      <c r="B87">
        <v>53.6</v>
      </c>
      <c r="C87">
        <v>57.6</v>
      </c>
      <c r="D87">
        <v>56.6</v>
      </c>
      <c r="E87">
        <v>56.6</v>
      </c>
      <c r="F87">
        <v>36.299999999999997</v>
      </c>
      <c r="G87">
        <v>53.9</v>
      </c>
      <c r="I87">
        <v>87.1</v>
      </c>
      <c r="W87" s="1">
        <v>20852</v>
      </c>
      <c r="X87">
        <v>43.259998000000003</v>
      </c>
      <c r="Y87" s="4">
        <f t="shared" si="34"/>
        <v>-3.2647651327199219E-2</v>
      </c>
      <c r="Z87" s="4">
        <f t="shared" si="36"/>
        <v>-4.5875650639611826E-2</v>
      </c>
      <c r="AA87">
        <v>53.6</v>
      </c>
      <c r="AB87">
        <f t="shared" si="37"/>
        <v>60.2</v>
      </c>
      <c r="AP87" s="3">
        <v>20821</v>
      </c>
      <c r="AQ87" s="2">
        <v>52.7</v>
      </c>
      <c r="AR87" s="2" t="str">
        <f t="shared" si="24"/>
        <v>-</v>
      </c>
      <c r="AS87" s="2">
        <v>52.8</v>
      </c>
      <c r="AT87" s="8" t="str">
        <f t="shared" si="25"/>
        <v>-</v>
      </c>
      <c r="AU87" s="2">
        <v>57.7</v>
      </c>
      <c r="AV87" s="8" t="str">
        <f t="shared" si="26"/>
        <v>-</v>
      </c>
      <c r="AW87" s="2">
        <v>55.4</v>
      </c>
      <c r="AX87" s="8" t="str">
        <f t="shared" si="27"/>
        <v>-</v>
      </c>
      <c r="AY87" s="2">
        <v>39.5</v>
      </c>
      <c r="AZ87" s="8" t="str">
        <f t="shared" si="28"/>
        <v>-</v>
      </c>
      <c r="BA87" s="2">
        <v>54.3</v>
      </c>
      <c r="BB87" s="8" t="str">
        <f t="shared" si="29"/>
        <v>+</v>
      </c>
      <c r="BC87" s="2"/>
      <c r="BD87" s="8" t="str">
        <f t="shared" si="30"/>
        <v>+</v>
      </c>
      <c r="BE87" s="2">
        <v>78.900000000000006</v>
      </c>
      <c r="BF87" s="8" t="str">
        <f t="shared" si="35"/>
        <v>-</v>
      </c>
      <c r="BG87" s="2"/>
      <c r="BH87" s="8" t="str">
        <f t="shared" si="31"/>
        <v>+</v>
      </c>
      <c r="BI87" s="2"/>
      <c r="BJ87" s="8" t="str">
        <f t="shared" si="32"/>
        <v>+</v>
      </c>
      <c r="BK87" s="2"/>
      <c r="BL87" s="8" t="str">
        <f t="shared" si="33"/>
        <v>+</v>
      </c>
    </row>
    <row r="88" spans="1:64">
      <c r="A88" s="1">
        <v>20880</v>
      </c>
      <c r="B88">
        <v>51</v>
      </c>
      <c r="C88">
        <v>52.5</v>
      </c>
      <c r="D88">
        <v>53.8</v>
      </c>
      <c r="E88">
        <v>57.9</v>
      </c>
      <c r="F88">
        <v>31.2</v>
      </c>
      <c r="G88">
        <v>53.1</v>
      </c>
      <c r="I88">
        <v>76.900000000000006</v>
      </c>
      <c r="W88" s="1">
        <v>20880</v>
      </c>
      <c r="X88">
        <v>44.110000999999997</v>
      </c>
      <c r="Y88" s="4">
        <f t="shared" si="34"/>
        <v>1.9648706410018646E-2</v>
      </c>
      <c r="Z88" s="4">
        <f t="shared" si="36"/>
        <v>-9.0140243399339945E-2</v>
      </c>
      <c r="AA88">
        <v>51</v>
      </c>
      <c r="AB88">
        <f t="shared" si="37"/>
        <v>58.2</v>
      </c>
      <c r="AP88" s="3">
        <v>20852</v>
      </c>
      <c r="AQ88" s="2">
        <v>53.6</v>
      </c>
      <c r="AR88" s="2" t="str">
        <f t="shared" si="24"/>
        <v>+</v>
      </c>
      <c r="AS88" s="2">
        <v>57.6</v>
      </c>
      <c r="AT88" s="8" t="str">
        <f t="shared" si="25"/>
        <v>+</v>
      </c>
      <c r="AU88" s="2">
        <v>56.6</v>
      </c>
      <c r="AV88" s="8" t="str">
        <f t="shared" si="26"/>
        <v>-</v>
      </c>
      <c r="AW88" s="2">
        <v>56.6</v>
      </c>
      <c r="AX88" s="8" t="str">
        <f t="shared" si="27"/>
        <v>+</v>
      </c>
      <c r="AY88" s="2">
        <v>36.299999999999997</v>
      </c>
      <c r="AZ88" s="8" t="str">
        <f t="shared" si="28"/>
        <v>-</v>
      </c>
      <c r="BA88" s="2">
        <v>53.9</v>
      </c>
      <c r="BB88" s="8" t="str">
        <f t="shared" si="29"/>
        <v>-</v>
      </c>
      <c r="BC88" s="2"/>
      <c r="BD88" s="8" t="str">
        <f t="shared" si="30"/>
        <v>+</v>
      </c>
      <c r="BE88" s="2">
        <v>87.1</v>
      </c>
      <c r="BF88" s="8" t="str">
        <f t="shared" si="35"/>
        <v>+</v>
      </c>
      <c r="BG88" s="2"/>
      <c r="BH88" s="8" t="str">
        <f t="shared" si="31"/>
        <v>+</v>
      </c>
      <c r="BI88" s="2"/>
      <c r="BJ88" s="8" t="str">
        <f t="shared" si="32"/>
        <v>+</v>
      </c>
      <c r="BK88" s="2"/>
      <c r="BL88" s="8" t="str">
        <f t="shared" si="33"/>
        <v>+</v>
      </c>
    </row>
    <row r="89" spans="1:64">
      <c r="A89" s="1">
        <v>20911</v>
      </c>
      <c r="B89">
        <v>47.5</v>
      </c>
      <c r="C89">
        <v>51.1</v>
      </c>
      <c r="D89">
        <v>52.5</v>
      </c>
      <c r="E89">
        <v>52.1</v>
      </c>
      <c r="F89">
        <v>26.3</v>
      </c>
      <c r="G89">
        <v>46.6</v>
      </c>
      <c r="I89">
        <v>65.3</v>
      </c>
      <c r="W89" s="1">
        <v>20911</v>
      </c>
      <c r="X89">
        <v>45.740001999999997</v>
      </c>
      <c r="Y89" s="4">
        <f t="shared" si="34"/>
        <v>3.695309369863764E-2</v>
      </c>
      <c r="Z89" s="4">
        <f t="shared" si="36"/>
        <v>-5.4567981509549848E-2</v>
      </c>
      <c r="AA89">
        <v>47.5</v>
      </c>
      <c r="AB89">
        <f t="shared" si="37"/>
        <v>57.2</v>
      </c>
      <c r="AP89" s="3">
        <v>20880</v>
      </c>
      <c r="AQ89" s="2">
        <v>51</v>
      </c>
      <c r="AR89" s="2" t="str">
        <f t="shared" si="24"/>
        <v>-</v>
      </c>
      <c r="AS89" s="2">
        <v>52.5</v>
      </c>
      <c r="AT89" s="8" t="str">
        <f t="shared" si="25"/>
        <v>-</v>
      </c>
      <c r="AU89" s="2">
        <v>57.9</v>
      </c>
      <c r="AV89" s="8" t="str">
        <f t="shared" si="26"/>
        <v>+</v>
      </c>
      <c r="AW89" s="2">
        <v>53.8</v>
      </c>
      <c r="AX89" s="8" t="str">
        <f t="shared" si="27"/>
        <v>-</v>
      </c>
      <c r="AY89" s="2">
        <v>31.2</v>
      </c>
      <c r="AZ89" s="8" t="str">
        <f t="shared" si="28"/>
        <v>-</v>
      </c>
      <c r="BA89" s="2">
        <v>53.1</v>
      </c>
      <c r="BB89" s="8" t="str">
        <f t="shared" si="29"/>
        <v>-</v>
      </c>
      <c r="BC89" s="2"/>
      <c r="BD89" s="8" t="str">
        <f t="shared" si="30"/>
        <v>+</v>
      </c>
      <c r="BE89" s="2">
        <v>76.900000000000006</v>
      </c>
      <c r="BF89" s="8" t="str">
        <f t="shared" si="35"/>
        <v>-</v>
      </c>
      <c r="BG89" s="2"/>
      <c r="BH89" s="8" t="str">
        <f t="shared" si="31"/>
        <v>+</v>
      </c>
      <c r="BI89" s="2"/>
      <c r="BJ89" s="8" t="str">
        <f t="shared" si="32"/>
        <v>+</v>
      </c>
      <c r="BK89" s="2"/>
      <c r="BL89" s="8" t="str">
        <f t="shared" si="33"/>
        <v>+</v>
      </c>
    </row>
    <row r="90" spans="1:64">
      <c r="A90" s="1">
        <v>20941</v>
      </c>
      <c r="B90">
        <v>43.1</v>
      </c>
      <c r="C90">
        <v>49.2</v>
      </c>
      <c r="D90">
        <v>40.299999999999997</v>
      </c>
      <c r="E90">
        <v>47.9</v>
      </c>
      <c r="F90">
        <v>28.9</v>
      </c>
      <c r="G90">
        <v>39.9</v>
      </c>
      <c r="I90">
        <v>59.2</v>
      </c>
      <c r="W90" s="1">
        <v>20941</v>
      </c>
      <c r="X90">
        <v>47.43</v>
      </c>
      <c r="Y90" s="4">
        <f t="shared" si="34"/>
        <v>3.6947921427725405E-2</v>
      </c>
      <c r="Z90" s="4">
        <f t="shared" si="36"/>
        <v>4.9336259970436711E-2</v>
      </c>
      <c r="AA90">
        <v>43.1</v>
      </c>
      <c r="AB90">
        <f t="shared" si="37"/>
        <v>55.9</v>
      </c>
      <c r="AP90" s="3">
        <v>20911</v>
      </c>
      <c r="AQ90" s="2">
        <v>47.5</v>
      </c>
      <c r="AR90" s="2" t="str">
        <f t="shared" si="24"/>
        <v>-</v>
      </c>
      <c r="AS90" s="2">
        <v>51.1</v>
      </c>
      <c r="AT90" s="8" t="str">
        <f t="shared" si="25"/>
        <v>-</v>
      </c>
      <c r="AU90" s="2">
        <v>52.1</v>
      </c>
      <c r="AV90" s="8" t="str">
        <f t="shared" si="26"/>
        <v>-</v>
      </c>
      <c r="AW90" s="2">
        <v>52.5</v>
      </c>
      <c r="AX90" s="8" t="str">
        <f t="shared" si="27"/>
        <v>-</v>
      </c>
      <c r="AY90" s="2">
        <v>26.3</v>
      </c>
      <c r="AZ90" s="8" t="str">
        <f t="shared" si="28"/>
        <v>-</v>
      </c>
      <c r="BA90" s="2">
        <v>46.6</v>
      </c>
      <c r="BB90" s="8" t="str">
        <f t="shared" si="29"/>
        <v>-</v>
      </c>
      <c r="BC90" s="2"/>
      <c r="BD90" s="8" t="str">
        <f t="shared" si="30"/>
        <v>+</v>
      </c>
      <c r="BE90" s="2">
        <v>65.3</v>
      </c>
      <c r="BF90" s="8" t="str">
        <f t="shared" si="35"/>
        <v>-</v>
      </c>
      <c r="BG90" s="2"/>
      <c r="BH90" s="8" t="str">
        <f t="shared" si="31"/>
        <v>+</v>
      </c>
      <c r="BI90" s="2"/>
      <c r="BJ90" s="8" t="str">
        <f t="shared" si="32"/>
        <v>+</v>
      </c>
      <c r="BK90" s="2"/>
      <c r="BL90" s="8" t="str">
        <f t="shared" si="33"/>
        <v>+</v>
      </c>
    </row>
    <row r="91" spans="1:64">
      <c r="A91" s="1">
        <v>20972</v>
      </c>
      <c r="B91">
        <v>43.4</v>
      </c>
      <c r="C91">
        <v>46.1</v>
      </c>
      <c r="D91">
        <v>41.9</v>
      </c>
      <c r="E91">
        <v>49.9</v>
      </c>
      <c r="F91">
        <v>30</v>
      </c>
      <c r="G91">
        <v>41.8</v>
      </c>
      <c r="I91">
        <v>57.4</v>
      </c>
      <c r="W91" s="1">
        <v>20972</v>
      </c>
      <c r="X91">
        <v>47.369999</v>
      </c>
      <c r="Y91" s="4">
        <f t="shared" si="34"/>
        <v>-1.2650432215897058E-3</v>
      </c>
      <c r="Z91" s="4">
        <f t="shared" si="36"/>
        <v>8.5160313281661734E-3</v>
      </c>
      <c r="AA91">
        <v>43.4</v>
      </c>
      <c r="AB91">
        <f t="shared" si="37"/>
        <v>51.2</v>
      </c>
      <c r="AP91" s="3">
        <v>20941</v>
      </c>
      <c r="AQ91" s="2">
        <v>43.1</v>
      </c>
      <c r="AR91" s="2" t="str">
        <f t="shared" si="24"/>
        <v>-</v>
      </c>
      <c r="AS91" s="2">
        <v>49.2</v>
      </c>
      <c r="AT91" s="8" t="str">
        <f t="shared" si="25"/>
        <v>-</v>
      </c>
      <c r="AU91" s="2">
        <v>47.9</v>
      </c>
      <c r="AV91" s="8" t="str">
        <f t="shared" si="26"/>
        <v>-</v>
      </c>
      <c r="AW91" s="2">
        <v>40.299999999999997</v>
      </c>
      <c r="AX91" s="8" t="str">
        <f t="shared" si="27"/>
        <v>-</v>
      </c>
      <c r="AY91" s="2">
        <v>28.9</v>
      </c>
      <c r="AZ91" s="8" t="str">
        <f t="shared" si="28"/>
        <v>+</v>
      </c>
      <c r="BA91" s="2">
        <v>39.9</v>
      </c>
      <c r="BB91" s="8" t="str">
        <f t="shared" si="29"/>
        <v>-</v>
      </c>
      <c r="BC91" s="2"/>
      <c r="BD91" s="8" t="str">
        <f t="shared" si="30"/>
        <v>+</v>
      </c>
      <c r="BE91" s="2">
        <v>59.2</v>
      </c>
      <c r="BF91" s="8" t="str">
        <f t="shared" si="35"/>
        <v>-</v>
      </c>
      <c r="BG91" s="2"/>
      <c r="BH91" s="8" t="str">
        <f t="shared" si="31"/>
        <v>+</v>
      </c>
      <c r="BI91" s="2"/>
      <c r="BJ91" s="8" t="str">
        <f t="shared" si="32"/>
        <v>+</v>
      </c>
      <c r="BK91" s="2"/>
      <c r="BL91" s="8" t="str">
        <f t="shared" si="33"/>
        <v>+</v>
      </c>
    </row>
    <row r="92" spans="1:64">
      <c r="A92" s="1">
        <v>21002</v>
      </c>
      <c r="B92">
        <v>45.9</v>
      </c>
      <c r="C92">
        <v>49.8</v>
      </c>
      <c r="D92">
        <v>45.1</v>
      </c>
      <c r="E92">
        <v>53.6</v>
      </c>
      <c r="F92">
        <v>30</v>
      </c>
      <c r="G92">
        <v>40.700000000000003</v>
      </c>
      <c r="I92">
        <v>62.9</v>
      </c>
      <c r="W92" s="1">
        <v>21002</v>
      </c>
      <c r="X92">
        <v>47.91</v>
      </c>
      <c r="Y92" s="4">
        <f t="shared" si="34"/>
        <v>1.1399641363724677E-2</v>
      </c>
      <c r="Z92" s="4">
        <f t="shared" si="36"/>
        <v>-2.9965560436638325E-2</v>
      </c>
      <c r="AA92">
        <v>45.9</v>
      </c>
      <c r="AB92">
        <f t="shared" si="37"/>
        <v>47.7</v>
      </c>
      <c r="AP92" s="3">
        <v>20972</v>
      </c>
      <c r="AQ92" s="2">
        <v>43.4</v>
      </c>
      <c r="AR92" s="2" t="str">
        <f t="shared" si="24"/>
        <v>+</v>
      </c>
      <c r="AS92" s="2">
        <v>46.1</v>
      </c>
      <c r="AT92" s="8" t="str">
        <f t="shared" si="25"/>
        <v>-</v>
      </c>
      <c r="AU92" s="2">
        <v>49.9</v>
      </c>
      <c r="AV92" s="8" t="str">
        <f t="shared" si="26"/>
        <v>+</v>
      </c>
      <c r="AW92" s="2">
        <v>41.9</v>
      </c>
      <c r="AX92" s="8" t="str">
        <f t="shared" si="27"/>
        <v>+</v>
      </c>
      <c r="AY92" s="2">
        <v>30</v>
      </c>
      <c r="AZ92" s="8" t="str">
        <f t="shared" si="28"/>
        <v>+</v>
      </c>
      <c r="BA92" s="2">
        <v>41.8</v>
      </c>
      <c r="BB92" s="8" t="str">
        <f t="shared" si="29"/>
        <v>+</v>
      </c>
      <c r="BC92" s="2"/>
      <c r="BD92" s="8" t="str">
        <f t="shared" si="30"/>
        <v>+</v>
      </c>
      <c r="BE92" s="2">
        <v>57.4</v>
      </c>
      <c r="BF92" s="8" t="str">
        <f t="shared" si="35"/>
        <v>-</v>
      </c>
      <c r="BG92" s="2"/>
      <c r="BH92" s="8" t="str">
        <f t="shared" si="31"/>
        <v>+</v>
      </c>
      <c r="BI92" s="2"/>
      <c r="BJ92" s="8" t="str">
        <f t="shared" si="32"/>
        <v>+</v>
      </c>
      <c r="BK92" s="2"/>
      <c r="BL92" s="8" t="str">
        <f t="shared" si="33"/>
        <v>+</v>
      </c>
    </row>
    <row r="93" spans="1:64">
      <c r="A93" s="1">
        <v>21033</v>
      </c>
      <c r="B93">
        <v>45.7</v>
      </c>
      <c r="C93">
        <v>47.6</v>
      </c>
      <c r="D93">
        <v>45.5</v>
      </c>
      <c r="E93">
        <v>49.2</v>
      </c>
      <c r="F93">
        <v>36.799999999999997</v>
      </c>
      <c r="G93">
        <v>45.3</v>
      </c>
      <c r="I93">
        <v>78.7</v>
      </c>
      <c r="W93" s="1">
        <v>21033</v>
      </c>
      <c r="X93">
        <v>45.220001000000003</v>
      </c>
      <c r="Y93" s="4">
        <f t="shared" si="34"/>
        <v>-5.614692131079093E-2</v>
      </c>
      <c r="Z93" s="4">
        <f t="shared" si="36"/>
        <v>-4.8200317752065562E-2</v>
      </c>
      <c r="AA93">
        <v>45.7</v>
      </c>
      <c r="AB93">
        <f t="shared" si="37"/>
        <v>44.2</v>
      </c>
      <c r="AP93" s="3">
        <v>21002</v>
      </c>
      <c r="AQ93" s="2">
        <v>45.9</v>
      </c>
      <c r="AR93" s="2" t="str">
        <f t="shared" si="24"/>
        <v>+</v>
      </c>
      <c r="AS93" s="2">
        <v>49.8</v>
      </c>
      <c r="AT93" s="8" t="str">
        <f t="shared" si="25"/>
        <v>+</v>
      </c>
      <c r="AU93" s="2">
        <v>53.6</v>
      </c>
      <c r="AV93" s="8" t="str">
        <f t="shared" si="26"/>
        <v>+</v>
      </c>
      <c r="AW93" s="2">
        <v>45.1</v>
      </c>
      <c r="AX93" s="8" t="str">
        <f t="shared" si="27"/>
        <v>+</v>
      </c>
      <c r="AY93" s="2">
        <v>30</v>
      </c>
      <c r="AZ93" s="8" t="str">
        <f t="shared" si="28"/>
        <v>+</v>
      </c>
      <c r="BA93" s="2">
        <v>40.700000000000003</v>
      </c>
      <c r="BB93" s="8" t="str">
        <f t="shared" si="29"/>
        <v>-</v>
      </c>
      <c r="BC93" s="2"/>
      <c r="BD93" s="8" t="str">
        <f t="shared" si="30"/>
        <v>+</v>
      </c>
      <c r="BE93" s="2">
        <v>62.9</v>
      </c>
      <c r="BF93" s="8" t="str">
        <f t="shared" si="35"/>
        <v>+</v>
      </c>
      <c r="BG93" s="2"/>
      <c r="BH93" s="8" t="str">
        <f t="shared" si="31"/>
        <v>+</v>
      </c>
      <c r="BI93" s="2"/>
      <c r="BJ93" s="8" t="str">
        <f t="shared" si="32"/>
        <v>+</v>
      </c>
      <c r="BK93" s="2"/>
      <c r="BL93" s="8" t="str">
        <f t="shared" si="33"/>
        <v>+</v>
      </c>
    </row>
    <row r="94" spans="1:64">
      <c r="A94" s="1">
        <v>21064</v>
      </c>
      <c r="B94">
        <v>45.3</v>
      </c>
      <c r="C94">
        <v>48.8</v>
      </c>
      <c r="D94">
        <v>43.1</v>
      </c>
      <c r="E94">
        <v>51.3</v>
      </c>
      <c r="F94">
        <v>30.8</v>
      </c>
      <c r="G94">
        <v>46</v>
      </c>
      <c r="I94">
        <v>65.7</v>
      </c>
      <c r="W94" s="1">
        <v>21064</v>
      </c>
      <c r="X94">
        <v>42.419998</v>
      </c>
      <c r="Y94" s="4">
        <f t="shared" si="34"/>
        <v>-6.1919569616993235E-2</v>
      </c>
      <c r="Z94" s="4">
        <f t="shared" si="36"/>
        <v>-6.4608602628824813E-2</v>
      </c>
      <c r="AA94">
        <v>45.3</v>
      </c>
      <c r="AB94">
        <f t="shared" si="37"/>
        <v>51.5</v>
      </c>
      <c r="AP94" s="3">
        <v>21033</v>
      </c>
      <c r="AQ94" s="2">
        <v>45.7</v>
      </c>
      <c r="AR94" s="2" t="str">
        <f t="shared" si="24"/>
        <v>-</v>
      </c>
      <c r="AS94" s="2">
        <v>47.6</v>
      </c>
      <c r="AT94" s="8" t="str">
        <f t="shared" si="25"/>
        <v>-</v>
      </c>
      <c r="AU94" s="2">
        <v>49.2</v>
      </c>
      <c r="AV94" s="8" t="str">
        <f t="shared" si="26"/>
        <v>-</v>
      </c>
      <c r="AW94" s="2">
        <v>45.5</v>
      </c>
      <c r="AX94" s="8" t="str">
        <f t="shared" si="27"/>
        <v>+</v>
      </c>
      <c r="AY94" s="2">
        <v>36.799999999999997</v>
      </c>
      <c r="AZ94" s="8" t="str">
        <f t="shared" si="28"/>
        <v>+</v>
      </c>
      <c r="BA94" s="2">
        <v>45.3</v>
      </c>
      <c r="BB94" s="8" t="str">
        <f t="shared" si="29"/>
        <v>+</v>
      </c>
      <c r="BC94" s="2"/>
      <c r="BD94" s="8" t="str">
        <f t="shared" si="30"/>
        <v>+</v>
      </c>
      <c r="BE94" s="2">
        <v>78.7</v>
      </c>
      <c r="BF94" s="8" t="str">
        <f t="shared" si="35"/>
        <v>+</v>
      </c>
      <c r="BG94" s="2"/>
      <c r="BH94" s="8" t="str">
        <f t="shared" si="31"/>
        <v>+</v>
      </c>
      <c r="BI94" s="2"/>
      <c r="BJ94" s="8" t="str">
        <f t="shared" si="32"/>
        <v>+</v>
      </c>
      <c r="BK94" s="2"/>
      <c r="BL94" s="8" t="str">
        <f t="shared" si="33"/>
        <v>+</v>
      </c>
    </row>
    <row r="95" spans="1:64">
      <c r="A95" s="1">
        <v>21094</v>
      </c>
      <c r="B95">
        <v>45.8</v>
      </c>
      <c r="C95">
        <v>53.8</v>
      </c>
      <c r="D95">
        <v>42.1</v>
      </c>
      <c r="E95">
        <v>50.6</v>
      </c>
      <c r="F95">
        <v>28.8</v>
      </c>
      <c r="G95">
        <v>42.6</v>
      </c>
      <c r="I95">
        <v>63</v>
      </c>
      <c r="W95" s="1">
        <v>21094</v>
      </c>
      <c r="X95">
        <v>41.060001</v>
      </c>
      <c r="Y95" s="4">
        <f t="shared" si="34"/>
        <v>-3.2060279682238547E-2</v>
      </c>
      <c r="Z95" s="4">
        <f t="shared" si="36"/>
        <v>-9.9166318597353295E-2</v>
      </c>
      <c r="AA95">
        <v>45.8</v>
      </c>
      <c r="AB95">
        <f t="shared" si="37"/>
        <v>55.5</v>
      </c>
      <c r="AP95" s="3">
        <v>21064</v>
      </c>
      <c r="AQ95" s="2">
        <v>45.3</v>
      </c>
      <c r="AR95" s="2" t="str">
        <f t="shared" si="24"/>
        <v>-</v>
      </c>
      <c r="AS95" s="2">
        <v>48.8</v>
      </c>
      <c r="AT95" s="8" t="str">
        <f t="shared" si="25"/>
        <v>+</v>
      </c>
      <c r="AU95" s="2">
        <v>51.3</v>
      </c>
      <c r="AV95" s="8" t="str">
        <f t="shared" si="26"/>
        <v>+</v>
      </c>
      <c r="AW95" s="2">
        <v>43.1</v>
      </c>
      <c r="AX95" s="8" t="str">
        <f t="shared" si="27"/>
        <v>-</v>
      </c>
      <c r="AY95" s="2">
        <v>30.8</v>
      </c>
      <c r="AZ95" s="8" t="str">
        <f t="shared" si="28"/>
        <v>-</v>
      </c>
      <c r="BA95" s="2">
        <v>46</v>
      </c>
      <c r="BB95" s="8" t="str">
        <f t="shared" si="29"/>
        <v>+</v>
      </c>
      <c r="BC95" s="2"/>
      <c r="BD95" s="8" t="str">
        <f t="shared" si="30"/>
        <v>+</v>
      </c>
      <c r="BE95" s="2">
        <v>65.7</v>
      </c>
      <c r="BF95" s="8" t="str">
        <f t="shared" si="35"/>
        <v>-</v>
      </c>
      <c r="BG95" s="2"/>
      <c r="BH95" s="8" t="str">
        <f t="shared" si="31"/>
        <v>+</v>
      </c>
      <c r="BI95" s="2"/>
      <c r="BJ95" s="8" t="str">
        <f t="shared" si="32"/>
        <v>+</v>
      </c>
      <c r="BK95" s="2"/>
      <c r="BL95" s="8" t="str">
        <f t="shared" si="33"/>
        <v>+</v>
      </c>
    </row>
    <row r="96" spans="1:64">
      <c r="A96" s="1">
        <v>21125</v>
      </c>
      <c r="B96">
        <v>41.1</v>
      </c>
      <c r="C96">
        <v>46.4</v>
      </c>
      <c r="D96">
        <v>36.6</v>
      </c>
      <c r="E96">
        <v>42.9</v>
      </c>
      <c r="F96">
        <v>32.6</v>
      </c>
      <c r="G96">
        <v>42.7</v>
      </c>
      <c r="I96">
        <v>60.5</v>
      </c>
      <c r="W96" s="1">
        <v>21125</v>
      </c>
      <c r="X96">
        <v>41.720001000000003</v>
      </c>
      <c r="Y96" s="4">
        <f t="shared" si="34"/>
        <v>1.6074037601703995E-2</v>
      </c>
      <c r="Z96" s="4">
        <f t="shared" si="36"/>
        <v>-7.4534180366717745E-2</v>
      </c>
      <c r="AA96">
        <v>41.1</v>
      </c>
      <c r="AB96">
        <f t="shared" si="37"/>
        <v>52.7</v>
      </c>
      <c r="AP96" s="3">
        <v>21094</v>
      </c>
      <c r="AQ96" s="2">
        <v>45.8</v>
      </c>
      <c r="AR96" s="2" t="str">
        <f t="shared" si="24"/>
        <v>+</v>
      </c>
      <c r="AS96" s="2">
        <v>53.8</v>
      </c>
      <c r="AT96" s="8" t="str">
        <f t="shared" si="25"/>
        <v>+</v>
      </c>
      <c r="AU96" s="2">
        <v>50.6</v>
      </c>
      <c r="AV96" s="8" t="str">
        <f t="shared" si="26"/>
        <v>-</v>
      </c>
      <c r="AW96" s="2">
        <v>42.1</v>
      </c>
      <c r="AX96" s="8" t="str">
        <f t="shared" si="27"/>
        <v>-</v>
      </c>
      <c r="AY96" s="2">
        <v>28.8</v>
      </c>
      <c r="AZ96" s="8" t="str">
        <f t="shared" si="28"/>
        <v>-</v>
      </c>
      <c r="BA96" s="2">
        <v>42.6</v>
      </c>
      <c r="BB96" s="8" t="str">
        <f t="shared" si="29"/>
        <v>-</v>
      </c>
      <c r="BC96" s="2"/>
      <c r="BD96" s="8" t="str">
        <f t="shared" si="30"/>
        <v>+</v>
      </c>
      <c r="BE96" s="2">
        <v>63</v>
      </c>
      <c r="BF96" s="8" t="str">
        <f t="shared" si="35"/>
        <v>-</v>
      </c>
      <c r="BG96" s="2"/>
      <c r="BH96" s="8" t="str">
        <f t="shared" si="31"/>
        <v>+</v>
      </c>
      <c r="BI96" s="2"/>
      <c r="BJ96" s="8" t="str">
        <f t="shared" si="32"/>
        <v>+</v>
      </c>
      <c r="BK96" s="2"/>
      <c r="BL96" s="8" t="str">
        <f t="shared" si="33"/>
        <v>+</v>
      </c>
    </row>
    <row r="97" spans="1:64">
      <c r="A97" s="1">
        <v>21155</v>
      </c>
      <c r="B97">
        <v>40.4</v>
      </c>
      <c r="C97">
        <v>47.2</v>
      </c>
      <c r="D97">
        <v>34.799999999999997</v>
      </c>
      <c r="E97">
        <v>44.4</v>
      </c>
      <c r="F97">
        <v>27.8</v>
      </c>
      <c r="G97">
        <v>39.700000000000003</v>
      </c>
      <c r="I97">
        <v>54.8</v>
      </c>
      <c r="W97" s="1">
        <v>21155</v>
      </c>
      <c r="X97">
        <v>39.990001999999997</v>
      </c>
      <c r="Y97" s="4">
        <f t="shared" si="34"/>
        <v>-4.1466897376153139E-2</v>
      </c>
      <c r="Z97" s="4">
        <f t="shared" si="36"/>
        <v>-0.1431325538089803</v>
      </c>
      <c r="AA97">
        <v>40.4</v>
      </c>
      <c r="AB97">
        <f t="shared" si="37"/>
        <v>55</v>
      </c>
      <c r="AP97" s="3">
        <v>21125</v>
      </c>
      <c r="AQ97" s="2">
        <v>41.1</v>
      </c>
      <c r="AR97" s="2" t="str">
        <f t="shared" si="24"/>
        <v>-</v>
      </c>
      <c r="AS97" s="2">
        <v>46.4</v>
      </c>
      <c r="AT97" s="8" t="str">
        <f t="shared" si="25"/>
        <v>-</v>
      </c>
      <c r="AU97" s="2">
        <v>42.9</v>
      </c>
      <c r="AV97" s="8" t="str">
        <f t="shared" si="26"/>
        <v>-</v>
      </c>
      <c r="AW97" s="2">
        <v>36.6</v>
      </c>
      <c r="AX97" s="8" t="str">
        <f t="shared" si="27"/>
        <v>-</v>
      </c>
      <c r="AY97" s="2">
        <v>32.6</v>
      </c>
      <c r="AZ97" s="8" t="str">
        <f t="shared" si="28"/>
        <v>+</v>
      </c>
      <c r="BA97" s="2">
        <v>42.7</v>
      </c>
      <c r="BB97" s="8" t="str">
        <f t="shared" si="29"/>
        <v>+</v>
      </c>
      <c r="BC97" s="2"/>
      <c r="BD97" s="8" t="str">
        <f t="shared" si="30"/>
        <v>+</v>
      </c>
      <c r="BE97" s="2">
        <v>60.5</v>
      </c>
      <c r="BF97" s="8" t="str">
        <f t="shared" si="35"/>
        <v>-</v>
      </c>
      <c r="BG97" s="2"/>
      <c r="BH97" s="8" t="str">
        <f t="shared" si="31"/>
        <v>+</v>
      </c>
      <c r="BI97" s="2"/>
      <c r="BJ97" s="8" t="str">
        <f t="shared" si="32"/>
        <v>+</v>
      </c>
      <c r="BK97" s="2"/>
      <c r="BL97" s="8" t="str">
        <f t="shared" si="33"/>
        <v>+</v>
      </c>
    </row>
    <row r="98" spans="1:64">
      <c r="A98" s="1">
        <v>21186</v>
      </c>
      <c r="B98">
        <v>36.799999999999997</v>
      </c>
      <c r="C98">
        <v>42.8</v>
      </c>
      <c r="D98">
        <v>30.4</v>
      </c>
      <c r="E98">
        <v>40</v>
      </c>
      <c r="F98">
        <v>27.3</v>
      </c>
      <c r="G98">
        <v>38</v>
      </c>
      <c r="I98">
        <v>55.5</v>
      </c>
      <c r="W98" s="1">
        <v>21186</v>
      </c>
      <c r="X98">
        <v>41.700001</v>
      </c>
      <c r="Y98" s="4">
        <f t="shared" si="34"/>
        <v>4.2760663027723869E-2</v>
      </c>
      <c r="Z98" s="4">
        <f t="shared" si="36"/>
        <v>-6.7531304393307207E-2</v>
      </c>
      <c r="AA98">
        <v>36.799999999999997</v>
      </c>
      <c r="AB98">
        <f t="shared" si="37"/>
        <v>52.7</v>
      </c>
      <c r="AP98" s="3">
        <v>21155</v>
      </c>
      <c r="AQ98" s="2">
        <v>40.4</v>
      </c>
      <c r="AR98" s="2" t="str">
        <f t="shared" si="24"/>
        <v>-</v>
      </c>
      <c r="AS98" s="2">
        <v>47.2</v>
      </c>
      <c r="AT98" s="8" t="str">
        <f t="shared" si="25"/>
        <v>+</v>
      </c>
      <c r="AU98" s="2">
        <v>44.4</v>
      </c>
      <c r="AV98" s="8" t="str">
        <f t="shared" si="26"/>
        <v>+</v>
      </c>
      <c r="AW98" s="2">
        <v>34.799999999999997</v>
      </c>
      <c r="AX98" s="8" t="str">
        <f t="shared" si="27"/>
        <v>-</v>
      </c>
      <c r="AY98" s="2">
        <v>27.8</v>
      </c>
      <c r="AZ98" s="8" t="str">
        <f t="shared" si="28"/>
        <v>-</v>
      </c>
      <c r="BA98" s="2">
        <v>39.700000000000003</v>
      </c>
      <c r="BB98" s="8" t="str">
        <f t="shared" si="29"/>
        <v>-</v>
      </c>
      <c r="BC98" s="2"/>
      <c r="BD98" s="8" t="str">
        <f t="shared" si="30"/>
        <v>+</v>
      </c>
      <c r="BE98" s="2">
        <v>54.8</v>
      </c>
      <c r="BF98" s="8" t="str">
        <f t="shared" si="35"/>
        <v>-</v>
      </c>
      <c r="BG98" s="2"/>
      <c r="BH98" s="8" t="str">
        <f t="shared" si="31"/>
        <v>+</v>
      </c>
      <c r="BI98" s="2"/>
      <c r="BJ98" s="8" t="str">
        <f t="shared" si="32"/>
        <v>+</v>
      </c>
      <c r="BK98" s="2"/>
      <c r="BL98" s="8" t="str">
        <f t="shared" si="33"/>
        <v>+</v>
      </c>
    </row>
    <row r="99" spans="1:64">
      <c r="A99" s="1">
        <v>21217</v>
      </c>
      <c r="B99">
        <v>33.4</v>
      </c>
      <c r="C99">
        <v>35.200000000000003</v>
      </c>
      <c r="D99">
        <v>29.7</v>
      </c>
      <c r="E99">
        <v>34.9</v>
      </c>
      <c r="F99">
        <v>30.3</v>
      </c>
      <c r="G99">
        <v>35.799999999999997</v>
      </c>
      <c r="I99">
        <v>50.8</v>
      </c>
      <c r="W99" s="1">
        <v>21217</v>
      </c>
      <c r="X99">
        <v>40.840000000000003</v>
      </c>
      <c r="Y99" s="4">
        <f t="shared" si="34"/>
        <v>-2.0623524685287102E-2</v>
      </c>
      <c r="Z99" s="4">
        <f t="shared" si="36"/>
        <v>-5.5940779285287984E-2</v>
      </c>
      <c r="AA99">
        <v>33.4</v>
      </c>
      <c r="AB99">
        <f t="shared" si="37"/>
        <v>53.6</v>
      </c>
      <c r="AP99" s="3">
        <v>21186</v>
      </c>
      <c r="AQ99" s="2">
        <v>36.799999999999997</v>
      </c>
      <c r="AR99" s="2" t="str">
        <f t="shared" si="24"/>
        <v>-</v>
      </c>
      <c r="AS99" s="2">
        <v>42.8</v>
      </c>
      <c r="AT99" s="8" t="str">
        <f t="shared" si="25"/>
        <v>-</v>
      </c>
      <c r="AU99" s="2">
        <v>40</v>
      </c>
      <c r="AV99" s="8" t="str">
        <f t="shared" si="26"/>
        <v>-</v>
      </c>
      <c r="AW99" s="2">
        <v>30.4</v>
      </c>
      <c r="AX99" s="8" t="str">
        <f t="shared" si="27"/>
        <v>-</v>
      </c>
      <c r="AY99" s="2">
        <v>27.3</v>
      </c>
      <c r="AZ99" s="8" t="str">
        <f t="shared" si="28"/>
        <v>-</v>
      </c>
      <c r="BA99" s="2">
        <v>38</v>
      </c>
      <c r="BB99" s="8" t="str">
        <f t="shared" si="29"/>
        <v>-</v>
      </c>
      <c r="BC99" s="2"/>
      <c r="BD99" s="8" t="str">
        <f t="shared" si="30"/>
        <v>+</v>
      </c>
      <c r="BE99" s="2">
        <v>55.5</v>
      </c>
      <c r="BF99" s="8" t="str">
        <f t="shared" si="35"/>
        <v>+</v>
      </c>
      <c r="BG99" s="2"/>
      <c r="BH99" s="8" t="str">
        <f t="shared" si="31"/>
        <v>+</v>
      </c>
      <c r="BI99" s="2"/>
      <c r="BJ99" s="8" t="str">
        <f t="shared" si="32"/>
        <v>+</v>
      </c>
      <c r="BK99" s="2"/>
      <c r="BL99" s="8" t="str">
        <f t="shared" si="33"/>
        <v>+</v>
      </c>
    </row>
    <row r="100" spans="1:64">
      <c r="A100" s="1">
        <v>21245</v>
      </c>
      <c r="B100">
        <v>37.200000000000003</v>
      </c>
      <c r="C100">
        <v>47.3</v>
      </c>
      <c r="D100">
        <v>27.9</v>
      </c>
      <c r="E100">
        <v>37.799999999999997</v>
      </c>
      <c r="F100">
        <v>31</v>
      </c>
      <c r="G100">
        <v>33.1</v>
      </c>
      <c r="I100">
        <v>46.5</v>
      </c>
      <c r="W100" s="1">
        <v>21245</v>
      </c>
      <c r="X100">
        <v>42.099997999999999</v>
      </c>
      <c r="Y100" s="4">
        <f t="shared" si="34"/>
        <v>3.0852056807051807E-2</v>
      </c>
      <c r="Z100" s="4">
        <f t="shared" si="36"/>
        <v>-4.5567965414464569E-2</v>
      </c>
      <c r="AA100">
        <v>37.200000000000003</v>
      </c>
      <c r="AB100">
        <f t="shared" si="37"/>
        <v>51</v>
      </c>
      <c r="AP100" s="3">
        <v>21217</v>
      </c>
      <c r="AQ100" s="2">
        <v>33.4</v>
      </c>
      <c r="AR100" s="2" t="str">
        <f t="shared" si="24"/>
        <v>-</v>
      </c>
      <c r="AS100" s="2">
        <v>35.200000000000003</v>
      </c>
      <c r="AT100" s="8" t="str">
        <f t="shared" si="25"/>
        <v>-</v>
      </c>
      <c r="AU100" s="2">
        <v>34.9</v>
      </c>
      <c r="AV100" s="8" t="str">
        <f t="shared" si="26"/>
        <v>-</v>
      </c>
      <c r="AW100" s="2">
        <v>29.7</v>
      </c>
      <c r="AX100" s="8" t="str">
        <f t="shared" si="27"/>
        <v>-</v>
      </c>
      <c r="AY100" s="2">
        <v>30.3</v>
      </c>
      <c r="AZ100" s="8" t="str">
        <f t="shared" si="28"/>
        <v>+</v>
      </c>
      <c r="BA100" s="2">
        <v>35.799999999999997</v>
      </c>
      <c r="BB100" s="8" t="str">
        <f t="shared" si="29"/>
        <v>-</v>
      </c>
      <c r="BC100" s="2"/>
      <c r="BD100" s="8" t="str">
        <f t="shared" si="30"/>
        <v>+</v>
      </c>
      <c r="BE100" s="2">
        <v>50.8</v>
      </c>
      <c r="BF100" s="8" t="str">
        <f t="shared" si="35"/>
        <v>-</v>
      </c>
      <c r="BG100" s="2"/>
      <c r="BH100" s="8" t="str">
        <f t="shared" si="31"/>
        <v>+</v>
      </c>
      <c r="BI100" s="2"/>
      <c r="BJ100" s="8" t="str">
        <f t="shared" si="32"/>
        <v>+</v>
      </c>
      <c r="BK100" s="2"/>
      <c r="BL100" s="8" t="str">
        <f t="shared" si="33"/>
        <v>+</v>
      </c>
    </row>
    <row r="101" spans="1:64">
      <c r="A101" s="1">
        <v>21276</v>
      </c>
      <c r="B101">
        <v>39.799999999999997</v>
      </c>
      <c r="C101">
        <v>45.3</v>
      </c>
      <c r="D101">
        <v>33.4</v>
      </c>
      <c r="E101">
        <v>45.1</v>
      </c>
      <c r="F101">
        <v>34</v>
      </c>
      <c r="G101">
        <v>31.3</v>
      </c>
      <c r="I101">
        <v>47.6</v>
      </c>
      <c r="W101" s="1">
        <v>21276</v>
      </c>
      <c r="X101">
        <v>43.439999</v>
      </c>
      <c r="Y101" s="4">
        <f t="shared" si="34"/>
        <v>3.1829003887363629E-2</v>
      </c>
      <c r="Z101" s="4">
        <f t="shared" si="36"/>
        <v>-5.0284278518396147E-2</v>
      </c>
      <c r="AA101">
        <v>39.799999999999997</v>
      </c>
      <c r="AB101">
        <f t="shared" si="37"/>
        <v>47.5</v>
      </c>
      <c r="AP101" s="3">
        <v>21245</v>
      </c>
      <c r="AQ101" s="2">
        <v>37.200000000000003</v>
      </c>
      <c r="AR101" s="2" t="str">
        <f t="shared" si="24"/>
        <v>+</v>
      </c>
      <c r="AS101" s="2">
        <v>47.3</v>
      </c>
      <c r="AT101" s="8" t="str">
        <f t="shared" si="25"/>
        <v>+</v>
      </c>
      <c r="AU101" s="2">
        <v>37.799999999999997</v>
      </c>
      <c r="AV101" s="8" t="str">
        <f t="shared" si="26"/>
        <v>+</v>
      </c>
      <c r="AW101" s="2">
        <v>27.9</v>
      </c>
      <c r="AX101" s="8" t="str">
        <f t="shared" si="27"/>
        <v>-</v>
      </c>
      <c r="AY101" s="2">
        <v>31</v>
      </c>
      <c r="AZ101" s="8" t="str">
        <f t="shared" si="28"/>
        <v>+</v>
      </c>
      <c r="BA101" s="2">
        <v>33.1</v>
      </c>
      <c r="BB101" s="8" t="str">
        <f t="shared" si="29"/>
        <v>-</v>
      </c>
      <c r="BC101" s="2"/>
      <c r="BD101" s="8" t="str">
        <f t="shared" si="30"/>
        <v>+</v>
      </c>
      <c r="BE101" s="2">
        <v>46.5</v>
      </c>
      <c r="BF101" s="8" t="str">
        <f t="shared" si="35"/>
        <v>-</v>
      </c>
      <c r="BG101" s="2"/>
      <c r="BH101" s="8" t="str">
        <f t="shared" si="31"/>
        <v>+</v>
      </c>
      <c r="BI101" s="2"/>
      <c r="BJ101" s="8" t="str">
        <f t="shared" si="32"/>
        <v>+</v>
      </c>
      <c r="BK101" s="2"/>
      <c r="BL101" s="8" t="str">
        <f t="shared" si="33"/>
        <v>+</v>
      </c>
    </row>
    <row r="102" spans="1:64">
      <c r="A102" s="1">
        <v>21306</v>
      </c>
      <c r="B102">
        <v>39.1</v>
      </c>
      <c r="C102">
        <v>47.2</v>
      </c>
      <c r="D102">
        <v>31.5</v>
      </c>
      <c r="E102">
        <v>41</v>
      </c>
      <c r="F102">
        <v>35.5</v>
      </c>
      <c r="G102">
        <v>30.8</v>
      </c>
      <c r="I102">
        <v>42.5</v>
      </c>
      <c r="W102" s="1">
        <v>21306</v>
      </c>
      <c r="X102">
        <v>44.09</v>
      </c>
      <c r="Y102" s="4">
        <f t="shared" si="34"/>
        <v>1.4963190952191393E-2</v>
      </c>
      <c r="Z102" s="4">
        <f t="shared" si="36"/>
        <v>-7.0419565675732584E-2</v>
      </c>
      <c r="AA102">
        <v>39.1</v>
      </c>
      <c r="AB102">
        <f t="shared" si="37"/>
        <v>43.1</v>
      </c>
      <c r="AP102" s="3">
        <v>21276</v>
      </c>
      <c r="AQ102" s="2">
        <v>39.799999999999997</v>
      </c>
      <c r="AR102" s="2" t="str">
        <f t="shared" ref="AR102:AR165" si="38">IF(OR(AQ102&gt;AQ101,AQ102=AQ101),"+","-")</f>
        <v>+</v>
      </c>
      <c r="AS102" s="2">
        <v>45.3</v>
      </c>
      <c r="AT102" s="8" t="str">
        <f t="shared" si="25"/>
        <v>-</v>
      </c>
      <c r="AU102" s="2">
        <v>45.1</v>
      </c>
      <c r="AV102" s="8" t="str">
        <f t="shared" si="26"/>
        <v>+</v>
      </c>
      <c r="AW102" s="2">
        <v>33.4</v>
      </c>
      <c r="AX102" s="8" t="str">
        <f t="shared" si="27"/>
        <v>+</v>
      </c>
      <c r="AY102" s="2">
        <v>34</v>
      </c>
      <c r="AZ102" s="8" t="str">
        <f t="shared" si="28"/>
        <v>+</v>
      </c>
      <c r="BA102" s="2">
        <v>31.3</v>
      </c>
      <c r="BB102" s="8" t="str">
        <f t="shared" si="29"/>
        <v>-</v>
      </c>
      <c r="BC102" s="2"/>
      <c r="BD102" s="8" t="str">
        <f t="shared" si="30"/>
        <v>+</v>
      </c>
      <c r="BE102" s="2">
        <v>47.6</v>
      </c>
      <c r="BF102" s="8" t="str">
        <f t="shared" si="35"/>
        <v>+</v>
      </c>
      <c r="BG102" s="2"/>
      <c r="BH102" s="8" t="str">
        <f t="shared" si="31"/>
        <v>+</v>
      </c>
      <c r="BI102" s="2"/>
      <c r="BJ102" s="8" t="str">
        <f t="shared" si="32"/>
        <v>+</v>
      </c>
      <c r="BK102" s="2"/>
      <c r="BL102" s="8" t="str">
        <f t="shared" si="33"/>
        <v>+</v>
      </c>
    </row>
    <row r="103" spans="1:64">
      <c r="A103" s="1">
        <v>21337</v>
      </c>
      <c r="B103">
        <v>46.6</v>
      </c>
      <c r="C103">
        <v>56.7</v>
      </c>
      <c r="D103">
        <v>39.700000000000003</v>
      </c>
      <c r="E103">
        <v>52.6</v>
      </c>
      <c r="F103">
        <v>38.5</v>
      </c>
      <c r="G103">
        <v>27.7</v>
      </c>
      <c r="I103">
        <v>45.8</v>
      </c>
      <c r="W103" s="1">
        <v>21337</v>
      </c>
      <c r="X103">
        <v>45.240001999999997</v>
      </c>
      <c r="Y103" s="4">
        <f t="shared" si="34"/>
        <v>2.6083057382626298E-2</v>
      </c>
      <c r="Z103" s="4">
        <f t="shared" si="36"/>
        <v>-4.4965105445748541E-2</v>
      </c>
      <c r="AA103">
        <v>46.6</v>
      </c>
      <c r="AB103">
        <f t="shared" si="37"/>
        <v>43.4</v>
      </c>
      <c r="AP103" s="3">
        <v>21306</v>
      </c>
      <c r="AQ103" s="2">
        <v>39.1</v>
      </c>
      <c r="AR103" s="2" t="str">
        <f t="shared" si="38"/>
        <v>-</v>
      </c>
      <c r="AS103" s="2">
        <v>47.2</v>
      </c>
      <c r="AT103" s="8" t="str">
        <f t="shared" ref="AT103:AT166" si="39">IF(OR(AS103&gt;AS102,AS103=AS102),"+","-")</f>
        <v>+</v>
      </c>
      <c r="AU103" s="2">
        <v>41</v>
      </c>
      <c r="AV103" s="8" t="str">
        <f t="shared" ref="AV103:AV166" si="40">IF(OR(AU103&gt;AU102,AU103=AU102),"+","-")</f>
        <v>-</v>
      </c>
      <c r="AW103" s="2">
        <v>31.5</v>
      </c>
      <c r="AX103" s="8" t="str">
        <f t="shared" ref="AX103:AX166" si="41">IF(OR(AW103&gt;AW102,AW103=AW102),"+","-")</f>
        <v>-</v>
      </c>
      <c r="AY103" s="2">
        <v>35.5</v>
      </c>
      <c r="AZ103" s="8" t="str">
        <f t="shared" ref="AZ103:AZ166" si="42">IF(OR(AY103&gt;AY102,AY103=AY102),"+","-")</f>
        <v>+</v>
      </c>
      <c r="BA103" s="2">
        <v>30.8</v>
      </c>
      <c r="BB103" s="8" t="str">
        <f t="shared" ref="BB103:BB166" si="43">IF(OR(BA103&gt;BA102,BA103=BA102),"+","-")</f>
        <v>-</v>
      </c>
      <c r="BC103" s="2"/>
      <c r="BD103" s="8" t="str">
        <f t="shared" ref="BD103:BD166" si="44">IF(OR(BC103&gt;BC102,BC103=BC102),"+","-")</f>
        <v>+</v>
      </c>
      <c r="BE103" s="2">
        <v>42.5</v>
      </c>
      <c r="BF103" s="8" t="str">
        <f t="shared" si="35"/>
        <v>-</v>
      </c>
      <c r="BG103" s="2"/>
      <c r="BH103" s="8" t="str">
        <f t="shared" ref="BH103:BH166" si="45">IF(OR(BG103&gt;BG102,BG103=BG102),"+","-")</f>
        <v>+</v>
      </c>
      <c r="BI103" s="2"/>
      <c r="BJ103" s="8" t="str">
        <f t="shared" ref="BJ103:BJ166" si="46">IF(OR(BI103&gt;BI102,BI103=BI102),"+","-")</f>
        <v>+</v>
      </c>
      <c r="BK103" s="2"/>
      <c r="BL103" s="8" t="str">
        <f t="shared" ref="BL103:BL166" si="47">IF(OR(BK103&gt;BK102,BK103=BK102),"+","-")</f>
        <v>+</v>
      </c>
    </row>
    <row r="104" spans="1:64">
      <c r="A104" s="1">
        <v>21367</v>
      </c>
      <c r="B104">
        <v>51.4</v>
      </c>
      <c r="C104">
        <v>60.8</v>
      </c>
      <c r="D104">
        <v>46.7</v>
      </c>
      <c r="E104">
        <v>58.9</v>
      </c>
      <c r="F104">
        <v>39.200000000000003</v>
      </c>
      <c r="G104">
        <v>32.200000000000003</v>
      </c>
      <c r="I104">
        <v>49.6</v>
      </c>
      <c r="W104" s="1">
        <v>21367</v>
      </c>
      <c r="X104">
        <v>47.189999</v>
      </c>
      <c r="Y104" s="4">
        <f t="shared" si="34"/>
        <v>4.3103380057321915E-2</v>
      </c>
      <c r="Z104" s="4">
        <f t="shared" si="36"/>
        <v>-1.5028198705906834E-2</v>
      </c>
      <c r="AA104">
        <v>51.4</v>
      </c>
      <c r="AB104">
        <f t="shared" si="37"/>
        <v>45.9</v>
      </c>
      <c r="AP104" s="3">
        <v>21337</v>
      </c>
      <c r="AQ104" s="2">
        <v>46.6</v>
      </c>
      <c r="AR104" s="2" t="str">
        <f t="shared" si="38"/>
        <v>+</v>
      </c>
      <c r="AS104" s="2">
        <v>56.7</v>
      </c>
      <c r="AT104" s="8" t="str">
        <f t="shared" si="39"/>
        <v>+</v>
      </c>
      <c r="AU104" s="2">
        <v>52.6</v>
      </c>
      <c r="AV104" s="8" t="str">
        <f t="shared" si="40"/>
        <v>+</v>
      </c>
      <c r="AW104" s="2">
        <v>39.700000000000003</v>
      </c>
      <c r="AX104" s="8" t="str">
        <f t="shared" si="41"/>
        <v>+</v>
      </c>
      <c r="AY104" s="2">
        <v>38.5</v>
      </c>
      <c r="AZ104" s="8" t="str">
        <f t="shared" si="42"/>
        <v>+</v>
      </c>
      <c r="BA104" s="2">
        <v>27.7</v>
      </c>
      <c r="BB104" s="8" t="str">
        <f t="shared" si="43"/>
        <v>-</v>
      </c>
      <c r="BC104" s="2"/>
      <c r="BD104" s="8" t="str">
        <f t="shared" si="44"/>
        <v>+</v>
      </c>
      <c r="BE104" s="2">
        <v>45.8</v>
      </c>
      <c r="BF104" s="8" t="str">
        <f t="shared" si="35"/>
        <v>+</v>
      </c>
      <c r="BG104" s="2"/>
      <c r="BH104" s="8" t="str">
        <f t="shared" si="45"/>
        <v>+</v>
      </c>
      <c r="BI104" s="2"/>
      <c r="BJ104" s="8" t="str">
        <f t="shared" si="46"/>
        <v>+</v>
      </c>
      <c r="BK104" s="2"/>
      <c r="BL104" s="8" t="str">
        <f t="shared" si="47"/>
        <v>+</v>
      </c>
    </row>
    <row r="105" spans="1:64">
      <c r="A105" s="1">
        <v>21398</v>
      </c>
      <c r="B105">
        <v>54.7</v>
      </c>
      <c r="C105">
        <v>66.5</v>
      </c>
      <c r="D105">
        <v>47.6</v>
      </c>
      <c r="E105">
        <v>61.2</v>
      </c>
      <c r="F105">
        <v>43</v>
      </c>
      <c r="G105">
        <v>34.6</v>
      </c>
      <c r="I105">
        <v>52.3</v>
      </c>
      <c r="W105" s="1">
        <v>21398</v>
      </c>
      <c r="X105">
        <v>47.75</v>
      </c>
      <c r="Y105" s="4">
        <f t="shared" si="34"/>
        <v>1.1866942400231874E-2</v>
      </c>
      <c r="Z105" s="4">
        <f t="shared" si="36"/>
        <v>5.5948671916216816E-2</v>
      </c>
      <c r="AA105">
        <v>54.7</v>
      </c>
      <c r="AB105">
        <f t="shared" si="37"/>
        <v>45.7</v>
      </c>
      <c r="AP105" s="3">
        <v>21367</v>
      </c>
      <c r="AQ105" s="2">
        <v>51.4</v>
      </c>
      <c r="AR105" s="2" t="str">
        <f t="shared" si="38"/>
        <v>+</v>
      </c>
      <c r="AS105" s="2">
        <v>60.8</v>
      </c>
      <c r="AT105" s="8" t="str">
        <f t="shared" si="39"/>
        <v>+</v>
      </c>
      <c r="AU105" s="2">
        <v>58.9</v>
      </c>
      <c r="AV105" s="8" t="str">
        <f t="shared" si="40"/>
        <v>+</v>
      </c>
      <c r="AW105" s="2">
        <v>46.7</v>
      </c>
      <c r="AX105" s="8" t="str">
        <f t="shared" si="41"/>
        <v>+</v>
      </c>
      <c r="AY105" s="2">
        <v>39.200000000000003</v>
      </c>
      <c r="AZ105" s="8" t="str">
        <f t="shared" si="42"/>
        <v>+</v>
      </c>
      <c r="BA105" s="2">
        <v>32.200000000000003</v>
      </c>
      <c r="BB105" s="8" t="str">
        <f t="shared" si="43"/>
        <v>+</v>
      </c>
      <c r="BC105" s="2"/>
      <c r="BD105" s="8" t="str">
        <f t="shared" si="44"/>
        <v>+</v>
      </c>
      <c r="BE105" s="2">
        <v>49.6</v>
      </c>
      <c r="BF105" s="8" t="str">
        <f t="shared" si="35"/>
        <v>+</v>
      </c>
      <c r="BG105" s="2"/>
      <c r="BH105" s="8" t="str">
        <f t="shared" si="45"/>
        <v>+</v>
      </c>
      <c r="BI105" s="2"/>
      <c r="BJ105" s="8" t="str">
        <f t="shared" si="46"/>
        <v>+</v>
      </c>
      <c r="BK105" s="2"/>
      <c r="BL105" s="8" t="str">
        <f t="shared" si="47"/>
        <v>+</v>
      </c>
    </row>
    <row r="106" spans="1:64">
      <c r="A106" s="1">
        <v>21429</v>
      </c>
      <c r="B106">
        <v>57.3</v>
      </c>
      <c r="C106">
        <v>65.2</v>
      </c>
      <c r="D106">
        <v>52.1</v>
      </c>
      <c r="E106">
        <v>64.5</v>
      </c>
      <c r="F106">
        <v>44.7</v>
      </c>
      <c r="G106">
        <v>44.8</v>
      </c>
      <c r="I106">
        <v>65.2</v>
      </c>
      <c r="W106" s="1">
        <v>21429</v>
      </c>
      <c r="X106">
        <v>50.060001</v>
      </c>
      <c r="Y106" s="4">
        <f t="shared" si="34"/>
        <v>4.837698429319371E-2</v>
      </c>
      <c r="Z106" s="4">
        <f t="shared" si="36"/>
        <v>0.18010380387099501</v>
      </c>
      <c r="AA106">
        <v>57.3</v>
      </c>
      <c r="AB106">
        <f t="shared" si="37"/>
        <v>45.3</v>
      </c>
      <c r="AP106" s="3">
        <v>21398</v>
      </c>
      <c r="AQ106" s="2">
        <v>54.7</v>
      </c>
      <c r="AR106" s="2" t="str">
        <f t="shared" si="38"/>
        <v>+</v>
      </c>
      <c r="AS106" s="2">
        <v>66.5</v>
      </c>
      <c r="AT106" s="8" t="str">
        <f t="shared" si="39"/>
        <v>+</v>
      </c>
      <c r="AU106" s="2">
        <v>61.2</v>
      </c>
      <c r="AV106" s="8" t="str">
        <f t="shared" si="40"/>
        <v>+</v>
      </c>
      <c r="AW106" s="2">
        <v>47.6</v>
      </c>
      <c r="AX106" s="8" t="str">
        <f t="shared" si="41"/>
        <v>+</v>
      </c>
      <c r="AY106" s="2">
        <v>43</v>
      </c>
      <c r="AZ106" s="8" t="str">
        <f t="shared" si="42"/>
        <v>+</v>
      </c>
      <c r="BA106" s="2">
        <v>34.6</v>
      </c>
      <c r="BB106" s="8" t="str">
        <f t="shared" si="43"/>
        <v>+</v>
      </c>
      <c r="BC106" s="2"/>
      <c r="BD106" s="8" t="str">
        <f t="shared" si="44"/>
        <v>+</v>
      </c>
      <c r="BE106" s="2">
        <v>52.3</v>
      </c>
      <c r="BF106" s="8" t="str">
        <f t="shared" si="35"/>
        <v>+</v>
      </c>
      <c r="BG106" s="2"/>
      <c r="BH106" s="8" t="str">
        <f t="shared" si="45"/>
        <v>+</v>
      </c>
      <c r="BI106" s="2"/>
      <c r="BJ106" s="8" t="str">
        <f t="shared" si="46"/>
        <v>+</v>
      </c>
      <c r="BK106" s="2"/>
      <c r="BL106" s="8" t="str">
        <f t="shared" si="47"/>
        <v>+</v>
      </c>
    </row>
    <row r="107" spans="1:64">
      <c r="A107" s="1">
        <v>21459</v>
      </c>
      <c r="B107">
        <v>59.8</v>
      </c>
      <c r="C107">
        <v>67</v>
      </c>
      <c r="D107">
        <v>55.5</v>
      </c>
      <c r="E107">
        <v>66.8</v>
      </c>
      <c r="F107">
        <v>51.1</v>
      </c>
      <c r="G107">
        <v>42.5</v>
      </c>
      <c r="I107">
        <v>62.6</v>
      </c>
      <c r="W107" s="1">
        <v>21459</v>
      </c>
      <c r="X107">
        <v>51.330002</v>
      </c>
      <c r="Y107" s="4">
        <f t="shared" si="34"/>
        <v>2.5369576001406803E-2</v>
      </c>
      <c r="Z107" s="4">
        <f t="shared" si="36"/>
        <v>0.25012179127808598</v>
      </c>
      <c r="AA107">
        <v>59.8</v>
      </c>
      <c r="AB107">
        <f t="shared" si="37"/>
        <v>45.8</v>
      </c>
      <c r="AP107" s="3">
        <v>21429</v>
      </c>
      <c r="AQ107" s="2">
        <v>57.3</v>
      </c>
      <c r="AR107" s="2" t="str">
        <f t="shared" si="38"/>
        <v>+</v>
      </c>
      <c r="AS107" s="2">
        <v>65.2</v>
      </c>
      <c r="AT107" s="8" t="str">
        <f t="shared" si="39"/>
        <v>-</v>
      </c>
      <c r="AU107" s="2">
        <v>64.5</v>
      </c>
      <c r="AV107" s="8" t="str">
        <f t="shared" si="40"/>
        <v>+</v>
      </c>
      <c r="AW107" s="2">
        <v>52.1</v>
      </c>
      <c r="AX107" s="8" t="str">
        <f t="shared" si="41"/>
        <v>+</v>
      </c>
      <c r="AY107" s="2">
        <v>44.7</v>
      </c>
      <c r="AZ107" s="8" t="str">
        <f t="shared" si="42"/>
        <v>+</v>
      </c>
      <c r="BA107" s="2">
        <v>44.8</v>
      </c>
      <c r="BB107" s="8" t="str">
        <f t="shared" si="43"/>
        <v>+</v>
      </c>
      <c r="BC107" s="2"/>
      <c r="BD107" s="8" t="str">
        <f t="shared" si="44"/>
        <v>+</v>
      </c>
      <c r="BE107" s="2">
        <v>65.2</v>
      </c>
      <c r="BF107" s="8" t="str">
        <f t="shared" si="35"/>
        <v>+</v>
      </c>
      <c r="BG107" s="2"/>
      <c r="BH107" s="8" t="str">
        <f t="shared" si="45"/>
        <v>+</v>
      </c>
      <c r="BI107" s="2"/>
      <c r="BJ107" s="8" t="str">
        <f t="shared" si="46"/>
        <v>+</v>
      </c>
      <c r="BK107" s="2"/>
      <c r="BL107" s="8" t="str">
        <f t="shared" si="47"/>
        <v>+</v>
      </c>
    </row>
    <row r="108" spans="1:64">
      <c r="A108" s="1">
        <v>21490</v>
      </c>
      <c r="B108">
        <v>62.3</v>
      </c>
      <c r="C108">
        <v>67.900000000000006</v>
      </c>
      <c r="D108">
        <v>59.6</v>
      </c>
      <c r="E108">
        <v>70</v>
      </c>
      <c r="F108">
        <v>52.4</v>
      </c>
      <c r="G108">
        <v>46.4</v>
      </c>
      <c r="I108">
        <v>73.3</v>
      </c>
      <c r="W108" s="1">
        <v>21490</v>
      </c>
      <c r="X108">
        <v>52.48</v>
      </c>
      <c r="Y108" s="4">
        <f t="shared" si="34"/>
        <v>2.240401237467313E-2</v>
      </c>
      <c r="Z108" s="4">
        <f t="shared" si="36"/>
        <v>0.25790984520829691</v>
      </c>
      <c r="AA108">
        <v>62.3</v>
      </c>
      <c r="AB108">
        <f t="shared" si="37"/>
        <v>41.1</v>
      </c>
      <c r="AP108" s="3">
        <v>21459</v>
      </c>
      <c r="AQ108" s="2">
        <v>59.8</v>
      </c>
      <c r="AR108" s="2" t="str">
        <f t="shared" si="38"/>
        <v>+</v>
      </c>
      <c r="AS108" s="2">
        <v>67</v>
      </c>
      <c r="AT108" s="8" t="str">
        <f t="shared" si="39"/>
        <v>+</v>
      </c>
      <c r="AU108" s="2">
        <v>66.8</v>
      </c>
      <c r="AV108" s="8" t="str">
        <f t="shared" si="40"/>
        <v>+</v>
      </c>
      <c r="AW108" s="2">
        <v>55.5</v>
      </c>
      <c r="AX108" s="8" t="str">
        <f t="shared" si="41"/>
        <v>+</v>
      </c>
      <c r="AY108" s="2">
        <v>51.1</v>
      </c>
      <c r="AZ108" s="8" t="str">
        <f t="shared" si="42"/>
        <v>+</v>
      </c>
      <c r="BA108" s="2">
        <v>42.5</v>
      </c>
      <c r="BB108" s="8" t="str">
        <f t="shared" si="43"/>
        <v>-</v>
      </c>
      <c r="BC108" s="2"/>
      <c r="BD108" s="8" t="str">
        <f t="shared" si="44"/>
        <v>+</v>
      </c>
      <c r="BE108" s="2">
        <v>62.6</v>
      </c>
      <c r="BF108" s="8" t="str">
        <f t="shared" si="35"/>
        <v>-</v>
      </c>
      <c r="BG108" s="2"/>
      <c r="BH108" s="8" t="str">
        <f t="shared" si="45"/>
        <v>+</v>
      </c>
      <c r="BI108" s="2"/>
      <c r="BJ108" s="8" t="str">
        <f t="shared" si="46"/>
        <v>+</v>
      </c>
      <c r="BK108" s="2"/>
      <c r="BL108" s="8" t="str">
        <f t="shared" si="47"/>
        <v>+</v>
      </c>
    </row>
    <row r="109" spans="1:64">
      <c r="A109" s="1">
        <v>21520</v>
      </c>
      <c r="B109">
        <v>62.7</v>
      </c>
      <c r="C109">
        <v>68.5</v>
      </c>
      <c r="D109">
        <v>58</v>
      </c>
      <c r="E109">
        <v>68.3</v>
      </c>
      <c r="F109">
        <v>55.8</v>
      </c>
      <c r="G109">
        <v>51</v>
      </c>
      <c r="I109">
        <v>66.3</v>
      </c>
      <c r="W109" s="1">
        <v>21520</v>
      </c>
      <c r="X109">
        <v>55.209999000000003</v>
      </c>
      <c r="Y109" s="4">
        <f t="shared" si="34"/>
        <v>5.2019798018292811E-2</v>
      </c>
      <c r="Z109" s="4">
        <f t="shared" si="36"/>
        <v>0.38059505473393096</v>
      </c>
      <c r="AA109">
        <v>62.7</v>
      </c>
      <c r="AB109">
        <f t="shared" si="37"/>
        <v>40.4</v>
      </c>
      <c r="AP109" s="3">
        <v>21490</v>
      </c>
      <c r="AQ109" s="2">
        <v>62.3</v>
      </c>
      <c r="AR109" s="2" t="str">
        <f t="shared" si="38"/>
        <v>+</v>
      </c>
      <c r="AS109" s="2">
        <v>67.900000000000006</v>
      </c>
      <c r="AT109" s="8" t="str">
        <f t="shared" si="39"/>
        <v>+</v>
      </c>
      <c r="AU109" s="2">
        <v>70</v>
      </c>
      <c r="AV109" s="8" t="str">
        <f t="shared" si="40"/>
        <v>+</v>
      </c>
      <c r="AW109" s="2">
        <v>59.6</v>
      </c>
      <c r="AX109" s="8" t="str">
        <f t="shared" si="41"/>
        <v>+</v>
      </c>
      <c r="AY109" s="2">
        <v>52.4</v>
      </c>
      <c r="AZ109" s="8" t="str">
        <f t="shared" si="42"/>
        <v>+</v>
      </c>
      <c r="BA109" s="2">
        <v>46.4</v>
      </c>
      <c r="BB109" s="8" t="str">
        <f t="shared" si="43"/>
        <v>+</v>
      </c>
      <c r="BC109" s="2"/>
      <c r="BD109" s="8" t="str">
        <f t="shared" si="44"/>
        <v>+</v>
      </c>
      <c r="BE109" s="2">
        <v>73.3</v>
      </c>
      <c r="BF109" s="8" t="str">
        <f t="shared" si="35"/>
        <v>+</v>
      </c>
      <c r="BG109" s="2"/>
      <c r="BH109" s="8" t="str">
        <f t="shared" si="45"/>
        <v>+</v>
      </c>
      <c r="BI109" s="2"/>
      <c r="BJ109" s="8" t="str">
        <f t="shared" si="46"/>
        <v>+</v>
      </c>
      <c r="BK109" s="2"/>
      <c r="BL109" s="8" t="str">
        <f t="shared" si="47"/>
        <v>+</v>
      </c>
    </row>
    <row r="110" spans="1:64">
      <c r="A110" s="1">
        <v>21551</v>
      </c>
      <c r="B110">
        <v>60.5</v>
      </c>
      <c r="C110">
        <v>64.7</v>
      </c>
      <c r="D110">
        <v>59</v>
      </c>
      <c r="E110">
        <v>63.9</v>
      </c>
      <c r="F110">
        <v>56.4</v>
      </c>
      <c r="G110">
        <v>49</v>
      </c>
      <c r="I110">
        <v>63.2</v>
      </c>
      <c r="W110" s="1">
        <v>21551</v>
      </c>
      <c r="X110">
        <v>55.450001</v>
      </c>
      <c r="Y110" s="4">
        <f t="shared" si="34"/>
        <v>4.3470748840259343E-3</v>
      </c>
      <c r="Z110" s="4">
        <f t="shared" si="36"/>
        <v>0.32973620312383206</v>
      </c>
      <c r="AA110">
        <v>60.5</v>
      </c>
      <c r="AB110">
        <f t="shared" si="37"/>
        <v>36.799999999999997</v>
      </c>
      <c r="AP110" s="3">
        <v>21520</v>
      </c>
      <c r="AQ110" s="2">
        <v>62.7</v>
      </c>
      <c r="AR110" s="2" t="str">
        <f t="shared" si="38"/>
        <v>+</v>
      </c>
      <c r="AS110" s="2">
        <v>68.5</v>
      </c>
      <c r="AT110" s="8" t="str">
        <f t="shared" si="39"/>
        <v>+</v>
      </c>
      <c r="AU110" s="2">
        <v>68.3</v>
      </c>
      <c r="AV110" s="8" t="str">
        <f t="shared" si="40"/>
        <v>-</v>
      </c>
      <c r="AW110" s="2">
        <v>58</v>
      </c>
      <c r="AX110" s="8" t="str">
        <f t="shared" si="41"/>
        <v>-</v>
      </c>
      <c r="AY110" s="2">
        <v>55.8</v>
      </c>
      <c r="AZ110" s="8" t="str">
        <f t="shared" si="42"/>
        <v>+</v>
      </c>
      <c r="BA110" s="2">
        <v>51</v>
      </c>
      <c r="BB110" s="8" t="str">
        <f t="shared" si="43"/>
        <v>+</v>
      </c>
      <c r="BC110" s="2"/>
      <c r="BD110" s="8" t="str">
        <f t="shared" si="44"/>
        <v>+</v>
      </c>
      <c r="BE110" s="2">
        <v>66.3</v>
      </c>
      <c r="BF110" s="8" t="str">
        <f t="shared" si="35"/>
        <v>-</v>
      </c>
      <c r="BG110" s="2"/>
      <c r="BH110" s="8" t="str">
        <f t="shared" si="45"/>
        <v>+</v>
      </c>
      <c r="BI110" s="2"/>
      <c r="BJ110" s="8" t="str">
        <f t="shared" si="46"/>
        <v>+</v>
      </c>
      <c r="BK110" s="2"/>
      <c r="BL110" s="8" t="str">
        <f t="shared" si="47"/>
        <v>+</v>
      </c>
    </row>
    <row r="111" spans="1:64">
      <c r="A111" s="1">
        <v>21582</v>
      </c>
      <c r="B111">
        <v>64.400000000000006</v>
      </c>
      <c r="C111">
        <v>69</v>
      </c>
      <c r="D111">
        <v>60.8</v>
      </c>
      <c r="E111">
        <v>70.7</v>
      </c>
      <c r="F111">
        <v>61.8</v>
      </c>
      <c r="G111">
        <v>45.5</v>
      </c>
      <c r="I111">
        <v>59.1</v>
      </c>
      <c r="W111" s="1">
        <v>21582</v>
      </c>
      <c r="X111">
        <v>55.41</v>
      </c>
      <c r="Y111" s="4">
        <f t="shared" si="34"/>
        <v>-7.2138862540333817E-4</v>
      </c>
      <c r="Z111" s="4">
        <f t="shared" si="36"/>
        <v>0.35675808031341805</v>
      </c>
      <c r="AA111">
        <v>64.400000000000006</v>
      </c>
      <c r="AB111">
        <f t="shared" si="37"/>
        <v>33.4</v>
      </c>
      <c r="AP111" s="3">
        <v>21551</v>
      </c>
      <c r="AQ111" s="2">
        <v>60.5</v>
      </c>
      <c r="AR111" s="2" t="str">
        <f t="shared" si="38"/>
        <v>-</v>
      </c>
      <c r="AS111" s="2">
        <v>64.7</v>
      </c>
      <c r="AT111" s="8" t="str">
        <f t="shared" si="39"/>
        <v>-</v>
      </c>
      <c r="AU111" s="2">
        <v>63.9</v>
      </c>
      <c r="AV111" s="8" t="str">
        <f t="shared" si="40"/>
        <v>-</v>
      </c>
      <c r="AW111" s="2">
        <v>59</v>
      </c>
      <c r="AX111" s="8" t="str">
        <f t="shared" si="41"/>
        <v>+</v>
      </c>
      <c r="AY111" s="2">
        <v>56.4</v>
      </c>
      <c r="AZ111" s="8" t="str">
        <f t="shared" si="42"/>
        <v>+</v>
      </c>
      <c r="BA111" s="2">
        <v>49</v>
      </c>
      <c r="BB111" s="8" t="str">
        <f t="shared" si="43"/>
        <v>-</v>
      </c>
      <c r="BC111" s="2"/>
      <c r="BD111" s="8" t="str">
        <f t="shared" si="44"/>
        <v>+</v>
      </c>
      <c r="BE111" s="2">
        <v>63.2</v>
      </c>
      <c r="BF111" s="8" t="str">
        <f t="shared" si="35"/>
        <v>-</v>
      </c>
      <c r="BG111" s="2"/>
      <c r="BH111" s="8" t="str">
        <f t="shared" si="45"/>
        <v>+</v>
      </c>
      <c r="BI111" s="2"/>
      <c r="BJ111" s="8" t="str">
        <f t="shared" si="46"/>
        <v>+</v>
      </c>
      <c r="BK111" s="2"/>
      <c r="BL111" s="8" t="str">
        <f t="shared" si="47"/>
        <v>+</v>
      </c>
    </row>
    <row r="112" spans="1:64">
      <c r="A112" s="1">
        <v>21610</v>
      </c>
      <c r="B112">
        <v>66.900000000000006</v>
      </c>
      <c r="C112">
        <v>70.5</v>
      </c>
      <c r="D112">
        <v>62.5</v>
      </c>
      <c r="E112">
        <v>70.3</v>
      </c>
      <c r="F112">
        <v>67.3</v>
      </c>
      <c r="G112">
        <v>55.5</v>
      </c>
      <c r="I112">
        <v>66.599999999999994</v>
      </c>
      <c r="W112" s="1">
        <v>21610</v>
      </c>
      <c r="X112">
        <v>55.439999</v>
      </c>
      <c r="Y112" s="4">
        <f t="shared" si="34"/>
        <v>5.4140046922944711E-4</v>
      </c>
      <c r="Z112" s="4">
        <f t="shared" si="36"/>
        <v>0.316864646881931</v>
      </c>
      <c r="AA112">
        <v>66.900000000000006</v>
      </c>
      <c r="AB112">
        <f t="shared" si="37"/>
        <v>37.200000000000003</v>
      </c>
      <c r="AP112" s="3">
        <v>21582</v>
      </c>
      <c r="AQ112" s="2">
        <v>64.400000000000006</v>
      </c>
      <c r="AR112" s="2" t="str">
        <f t="shared" si="38"/>
        <v>+</v>
      </c>
      <c r="AS112" s="2">
        <v>69</v>
      </c>
      <c r="AT112" s="8" t="str">
        <f t="shared" si="39"/>
        <v>+</v>
      </c>
      <c r="AU112" s="2">
        <v>70.7</v>
      </c>
      <c r="AV112" s="8" t="str">
        <f t="shared" si="40"/>
        <v>+</v>
      </c>
      <c r="AW112" s="2">
        <v>60.8</v>
      </c>
      <c r="AX112" s="8" t="str">
        <f t="shared" si="41"/>
        <v>+</v>
      </c>
      <c r="AY112" s="2">
        <v>61.8</v>
      </c>
      <c r="AZ112" s="8" t="str">
        <f t="shared" si="42"/>
        <v>+</v>
      </c>
      <c r="BA112" s="2">
        <v>45.5</v>
      </c>
      <c r="BB112" s="8" t="str">
        <f t="shared" si="43"/>
        <v>-</v>
      </c>
      <c r="BC112" s="2"/>
      <c r="BD112" s="8" t="str">
        <f t="shared" si="44"/>
        <v>+</v>
      </c>
      <c r="BE112" s="2">
        <v>59.1</v>
      </c>
      <c r="BF112" s="8" t="str">
        <f t="shared" si="35"/>
        <v>-</v>
      </c>
      <c r="BG112" s="2"/>
      <c r="BH112" s="8" t="str">
        <f t="shared" si="45"/>
        <v>+</v>
      </c>
      <c r="BI112" s="2"/>
      <c r="BJ112" s="8" t="str">
        <f t="shared" si="46"/>
        <v>+</v>
      </c>
      <c r="BK112" s="2"/>
      <c r="BL112" s="8" t="str">
        <f t="shared" si="47"/>
        <v>+</v>
      </c>
    </row>
    <row r="113" spans="1:64">
      <c r="A113" s="1">
        <v>21641</v>
      </c>
      <c r="B113">
        <v>67.099999999999994</v>
      </c>
      <c r="C113">
        <v>70.2</v>
      </c>
      <c r="D113">
        <v>62.3</v>
      </c>
      <c r="E113">
        <v>71.2</v>
      </c>
      <c r="F113">
        <v>66.3</v>
      </c>
      <c r="G113">
        <v>58.4</v>
      </c>
      <c r="I113">
        <v>68.900000000000006</v>
      </c>
      <c r="W113" s="1">
        <v>21641</v>
      </c>
      <c r="X113">
        <v>57.59</v>
      </c>
      <c r="Y113" s="4">
        <f t="shared" si="34"/>
        <v>3.8780682517689138E-2</v>
      </c>
      <c r="Z113" s="4">
        <f t="shared" si="36"/>
        <v>0.32573667876926066</v>
      </c>
      <c r="AA113">
        <v>67.099999999999994</v>
      </c>
      <c r="AB113">
        <f t="shared" si="37"/>
        <v>39.799999999999997</v>
      </c>
      <c r="AP113" s="3">
        <v>21610</v>
      </c>
      <c r="AQ113" s="2">
        <v>66.900000000000006</v>
      </c>
      <c r="AR113" s="2" t="str">
        <f t="shared" si="38"/>
        <v>+</v>
      </c>
      <c r="AS113" s="2">
        <v>70.5</v>
      </c>
      <c r="AT113" s="8" t="str">
        <f t="shared" si="39"/>
        <v>+</v>
      </c>
      <c r="AU113" s="2">
        <v>70.3</v>
      </c>
      <c r="AV113" s="8" t="str">
        <f t="shared" si="40"/>
        <v>-</v>
      </c>
      <c r="AW113" s="2">
        <v>62.5</v>
      </c>
      <c r="AX113" s="8" t="str">
        <f t="shared" si="41"/>
        <v>+</v>
      </c>
      <c r="AY113" s="2">
        <v>67.3</v>
      </c>
      <c r="AZ113" s="8" t="str">
        <f t="shared" si="42"/>
        <v>+</v>
      </c>
      <c r="BA113" s="2">
        <v>55.5</v>
      </c>
      <c r="BB113" s="8" t="str">
        <f t="shared" si="43"/>
        <v>+</v>
      </c>
      <c r="BC113" s="2"/>
      <c r="BD113" s="8" t="str">
        <f t="shared" si="44"/>
        <v>+</v>
      </c>
      <c r="BE113" s="2">
        <v>66.599999999999994</v>
      </c>
      <c r="BF113" s="8" t="str">
        <f t="shared" si="35"/>
        <v>+</v>
      </c>
      <c r="BG113" s="2"/>
      <c r="BH113" s="8" t="str">
        <f t="shared" si="45"/>
        <v>+</v>
      </c>
      <c r="BI113" s="2"/>
      <c r="BJ113" s="8" t="str">
        <f t="shared" si="46"/>
        <v>+</v>
      </c>
      <c r="BK113" s="2"/>
      <c r="BL113" s="8" t="str">
        <f t="shared" si="47"/>
        <v>+</v>
      </c>
    </row>
    <row r="114" spans="1:64">
      <c r="A114" s="1">
        <v>21671</v>
      </c>
      <c r="B114">
        <v>66.900000000000006</v>
      </c>
      <c r="C114">
        <v>66.900000000000006</v>
      </c>
      <c r="D114">
        <v>63.6</v>
      </c>
      <c r="E114">
        <v>72.099999999999994</v>
      </c>
      <c r="F114">
        <v>64.8</v>
      </c>
      <c r="G114">
        <v>63.4</v>
      </c>
      <c r="I114">
        <v>63.6</v>
      </c>
      <c r="W114" s="1">
        <v>21671</v>
      </c>
      <c r="X114">
        <v>58.68</v>
      </c>
      <c r="Y114" s="4">
        <f t="shared" si="34"/>
        <v>1.8926897030734437E-2</v>
      </c>
      <c r="Z114" s="4">
        <f t="shared" si="36"/>
        <v>0.33091403946473114</v>
      </c>
      <c r="AA114">
        <v>66.900000000000006</v>
      </c>
      <c r="AB114">
        <f t="shared" si="37"/>
        <v>39.1</v>
      </c>
      <c r="AP114" s="3">
        <v>21641</v>
      </c>
      <c r="AQ114" s="2">
        <v>67.099999999999994</v>
      </c>
      <c r="AR114" s="2" t="str">
        <f t="shared" si="38"/>
        <v>+</v>
      </c>
      <c r="AS114" s="2">
        <v>70.2</v>
      </c>
      <c r="AT114" s="8" t="str">
        <f t="shared" si="39"/>
        <v>-</v>
      </c>
      <c r="AU114" s="2">
        <v>71.2</v>
      </c>
      <c r="AV114" s="8" t="str">
        <f t="shared" si="40"/>
        <v>+</v>
      </c>
      <c r="AW114" s="2">
        <v>62.3</v>
      </c>
      <c r="AX114" s="8" t="str">
        <f t="shared" si="41"/>
        <v>-</v>
      </c>
      <c r="AY114" s="2">
        <v>66.3</v>
      </c>
      <c r="AZ114" s="8" t="str">
        <f t="shared" si="42"/>
        <v>-</v>
      </c>
      <c r="BA114" s="2">
        <v>58.4</v>
      </c>
      <c r="BB114" s="8" t="str">
        <f t="shared" si="43"/>
        <v>+</v>
      </c>
      <c r="BC114" s="2"/>
      <c r="BD114" s="8" t="str">
        <f t="shared" si="44"/>
        <v>+</v>
      </c>
      <c r="BE114" s="2">
        <v>68.900000000000006</v>
      </c>
      <c r="BF114" s="8" t="str">
        <f t="shared" si="35"/>
        <v>+</v>
      </c>
      <c r="BG114" s="2"/>
      <c r="BH114" s="8" t="str">
        <f t="shared" si="45"/>
        <v>+</v>
      </c>
      <c r="BI114" s="2"/>
      <c r="BJ114" s="8" t="str">
        <f t="shared" si="46"/>
        <v>+</v>
      </c>
      <c r="BK114" s="2"/>
      <c r="BL114" s="8" t="str">
        <f t="shared" si="47"/>
        <v>+</v>
      </c>
    </row>
    <row r="115" spans="1:64">
      <c r="A115" s="1">
        <v>21702</v>
      </c>
      <c r="B115">
        <v>68.2</v>
      </c>
      <c r="C115">
        <v>69.900000000000006</v>
      </c>
      <c r="D115">
        <v>64.8</v>
      </c>
      <c r="E115">
        <v>73.900000000000006</v>
      </c>
      <c r="F115">
        <v>63</v>
      </c>
      <c r="G115">
        <v>63.8</v>
      </c>
      <c r="I115">
        <v>65.099999999999994</v>
      </c>
      <c r="W115" s="1">
        <v>21702</v>
      </c>
      <c r="X115">
        <v>58.470001000000003</v>
      </c>
      <c r="Y115" s="4">
        <f t="shared" si="34"/>
        <v>-3.5787150647579461E-3</v>
      </c>
      <c r="Z115" s="4">
        <f t="shared" si="36"/>
        <v>0.29244028326966048</v>
      </c>
      <c r="AA115">
        <v>68.2</v>
      </c>
      <c r="AB115">
        <f t="shared" si="37"/>
        <v>46.6</v>
      </c>
      <c r="AP115" s="3">
        <v>21671</v>
      </c>
      <c r="AQ115" s="2">
        <v>66.900000000000006</v>
      </c>
      <c r="AR115" s="2" t="str">
        <f t="shared" si="38"/>
        <v>-</v>
      </c>
      <c r="AS115" s="2">
        <v>66.900000000000006</v>
      </c>
      <c r="AT115" s="8" t="str">
        <f t="shared" si="39"/>
        <v>-</v>
      </c>
      <c r="AU115" s="2">
        <v>72.099999999999994</v>
      </c>
      <c r="AV115" s="8" t="str">
        <f t="shared" si="40"/>
        <v>+</v>
      </c>
      <c r="AW115" s="2">
        <v>63.6</v>
      </c>
      <c r="AX115" s="8" t="str">
        <f t="shared" si="41"/>
        <v>+</v>
      </c>
      <c r="AY115" s="2">
        <v>64.8</v>
      </c>
      <c r="AZ115" s="8" t="str">
        <f t="shared" si="42"/>
        <v>-</v>
      </c>
      <c r="BA115" s="2">
        <v>63.4</v>
      </c>
      <c r="BB115" s="8" t="str">
        <f t="shared" si="43"/>
        <v>+</v>
      </c>
      <c r="BC115" s="2"/>
      <c r="BD115" s="8" t="str">
        <f t="shared" si="44"/>
        <v>+</v>
      </c>
      <c r="BE115" s="2">
        <v>63.6</v>
      </c>
      <c r="BF115" s="8" t="str">
        <f t="shared" si="35"/>
        <v>-</v>
      </c>
      <c r="BG115" s="2"/>
      <c r="BH115" s="8" t="str">
        <f t="shared" si="45"/>
        <v>+</v>
      </c>
      <c r="BI115" s="2"/>
      <c r="BJ115" s="8" t="str">
        <f t="shared" si="46"/>
        <v>+</v>
      </c>
      <c r="BK115" s="2"/>
      <c r="BL115" s="8" t="str">
        <f t="shared" si="47"/>
        <v>+</v>
      </c>
    </row>
    <row r="116" spans="1:64">
      <c r="A116" s="1">
        <v>21732</v>
      </c>
      <c r="B116">
        <v>64.400000000000006</v>
      </c>
      <c r="C116">
        <v>64.2</v>
      </c>
      <c r="D116">
        <v>62.2</v>
      </c>
      <c r="E116">
        <v>66.3</v>
      </c>
      <c r="F116">
        <v>63.7</v>
      </c>
      <c r="G116">
        <v>65.599999999999994</v>
      </c>
      <c r="I116">
        <v>69.5</v>
      </c>
      <c r="W116" s="1">
        <v>21732</v>
      </c>
      <c r="X116">
        <v>60.509998000000003</v>
      </c>
      <c r="Y116" s="4">
        <f t="shared" si="34"/>
        <v>3.48896351139108E-2</v>
      </c>
      <c r="Z116" s="4">
        <f t="shared" si="36"/>
        <v>0.28226317614458951</v>
      </c>
      <c r="AA116">
        <v>64.400000000000006</v>
      </c>
      <c r="AB116">
        <f t="shared" si="37"/>
        <v>51.4</v>
      </c>
      <c r="AP116" s="3">
        <v>21702</v>
      </c>
      <c r="AQ116" s="2">
        <v>68.2</v>
      </c>
      <c r="AR116" s="2" t="str">
        <f t="shared" si="38"/>
        <v>+</v>
      </c>
      <c r="AS116" s="2">
        <v>69.900000000000006</v>
      </c>
      <c r="AT116" s="8" t="str">
        <f t="shared" si="39"/>
        <v>+</v>
      </c>
      <c r="AU116" s="2">
        <v>73.900000000000006</v>
      </c>
      <c r="AV116" s="8" t="str">
        <f t="shared" si="40"/>
        <v>+</v>
      </c>
      <c r="AW116" s="2">
        <v>64.8</v>
      </c>
      <c r="AX116" s="8" t="str">
        <f t="shared" si="41"/>
        <v>+</v>
      </c>
      <c r="AY116" s="2">
        <v>63</v>
      </c>
      <c r="AZ116" s="8" t="str">
        <f t="shared" si="42"/>
        <v>-</v>
      </c>
      <c r="BA116" s="2">
        <v>63.8</v>
      </c>
      <c r="BB116" s="8" t="str">
        <f t="shared" si="43"/>
        <v>+</v>
      </c>
      <c r="BC116" s="2"/>
      <c r="BD116" s="8" t="str">
        <f t="shared" si="44"/>
        <v>+</v>
      </c>
      <c r="BE116" s="2">
        <v>65.099999999999994</v>
      </c>
      <c r="BF116" s="8" t="str">
        <f t="shared" si="35"/>
        <v>+</v>
      </c>
      <c r="BG116" s="2"/>
      <c r="BH116" s="8" t="str">
        <f t="shared" si="45"/>
        <v>+</v>
      </c>
      <c r="BI116" s="2"/>
      <c r="BJ116" s="8" t="str">
        <f t="shared" si="46"/>
        <v>+</v>
      </c>
      <c r="BK116" s="2"/>
      <c r="BL116" s="8" t="str">
        <f t="shared" si="47"/>
        <v>+</v>
      </c>
    </row>
    <row r="117" spans="1:64">
      <c r="A117" s="1">
        <v>21763</v>
      </c>
      <c r="B117">
        <v>61.5</v>
      </c>
      <c r="C117">
        <v>61.3</v>
      </c>
      <c r="D117">
        <v>59</v>
      </c>
      <c r="E117">
        <v>64.8</v>
      </c>
      <c r="F117">
        <v>59.1</v>
      </c>
      <c r="G117">
        <v>62</v>
      </c>
      <c r="I117">
        <v>63.9</v>
      </c>
      <c r="W117" s="1">
        <v>21763</v>
      </c>
      <c r="X117">
        <v>59.599997999999999</v>
      </c>
      <c r="Y117" s="4">
        <f t="shared" si="34"/>
        <v>-1.5038837053010705E-2</v>
      </c>
      <c r="Z117" s="4">
        <f t="shared" si="36"/>
        <v>0.24816749738219893</v>
      </c>
      <c r="AA117">
        <v>61.5</v>
      </c>
      <c r="AB117">
        <f t="shared" si="37"/>
        <v>54.7</v>
      </c>
      <c r="AP117" s="3">
        <v>21732</v>
      </c>
      <c r="AQ117" s="2">
        <v>64.400000000000006</v>
      </c>
      <c r="AR117" s="2" t="str">
        <f t="shared" si="38"/>
        <v>-</v>
      </c>
      <c r="AS117" s="2">
        <v>64.2</v>
      </c>
      <c r="AT117" s="8" t="str">
        <f t="shared" si="39"/>
        <v>-</v>
      </c>
      <c r="AU117" s="2">
        <v>66.3</v>
      </c>
      <c r="AV117" s="8" t="str">
        <f t="shared" si="40"/>
        <v>-</v>
      </c>
      <c r="AW117" s="2">
        <v>62.2</v>
      </c>
      <c r="AX117" s="8" t="str">
        <f t="shared" si="41"/>
        <v>-</v>
      </c>
      <c r="AY117" s="2">
        <v>63.7</v>
      </c>
      <c r="AZ117" s="8" t="str">
        <f t="shared" si="42"/>
        <v>+</v>
      </c>
      <c r="BA117" s="2">
        <v>65.599999999999994</v>
      </c>
      <c r="BB117" s="8" t="str">
        <f t="shared" si="43"/>
        <v>+</v>
      </c>
      <c r="BC117" s="2"/>
      <c r="BD117" s="8" t="str">
        <f t="shared" si="44"/>
        <v>+</v>
      </c>
      <c r="BE117" s="2">
        <v>69.5</v>
      </c>
      <c r="BF117" s="8" t="str">
        <f t="shared" si="35"/>
        <v>+</v>
      </c>
      <c r="BG117" s="2"/>
      <c r="BH117" s="8" t="str">
        <f t="shared" si="45"/>
        <v>+</v>
      </c>
      <c r="BI117" s="2"/>
      <c r="BJ117" s="8" t="str">
        <f t="shared" si="46"/>
        <v>+</v>
      </c>
      <c r="BK117" s="2"/>
      <c r="BL117" s="8" t="str">
        <f t="shared" si="47"/>
        <v>+</v>
      </c>
    </row>
    <row r="118" spans="1:64">
      <c r="A118" s="1">
        <v>21794</v>
      </c>
      <c r="B118">
        <v>55.1</v>
      </c>
      <c r="C118">
        <v>54.4</v>
      </c>
      <c r="D118">
        <v>53.6</v>
      </c>
      <c r="E118">
        <v>57.4</v>
      </c>
      <c r="F118">
        <v>57.4</v>
      </c>
      <c r="G118">
        <v>50.9</v>
      </c>
      <c r="I118">
        <v>57.6</v>
      </c>
      <c r="W118" s="1">
        <v>21794</v>
      </c>
      <c r="X118">
        <v>56.880001</v>
      </c>
      <c r="Y118" s="4">
        <f t="shared" si="34"/>
        <v>-4.5637535088507881E-2</v>
      </c>
      <c r="Z118" s="4">
        <f t="shared" si="36"/>
        <v>0.1362365134591188</v>
      </c>
      <c r="AA118">
        <v>55.1</v>
      </c>
      <c r="AB118">
        <f t="shared" si="37"/>
        <v>57.3</v>
      </c>
      <c r="AP118" s="3">
        <v>21763</v>
      </c>
      <c r="AQ118" s="2">
        <v>61.5</v>
      </c>
      <c r="AR118" s="2" t="str">
        <f t="shared" si="38"/>
        <v>-</v>
      </c>
      <c r="AS118" s="2">
        <v>61.3</v>
      </c>
      <c r="AT118" s="8" t="str">
        <f t="shared" si="39"/>
        <v>-</v>
      </c>
      <c r="AU118" s="2">
        <v>64.8</v>
      </c>
      <c r="AV118" s="8" t="str">
        <f t="shared" si="40"/>
        <v>-</v>
      </c>
      <c r="AW118" s="2">
        <v>59</v>
      </c>
      <c r="AX118" s="8" t="str">
        <f t="shared" si="41"/>
        <v>-</v>
      </c>
      <c r="AY118" s="2">
        <v>59.1</v>
      </c>
      <c r="AZ118" s="8" t="str">
        <f t="shared" si="42"/>
        <v>-</v>
      </c>
      <c r="BA118" s="2">
        <v>62</v>
      </c>
      <c r="BB118" s="8" t="str">
        <f t="shared" si="43"/>
        <v>-</v>
      </c>
      <c r="BC118" s="2"/>
      <c r="BD118" s="8" t="str">
        <f t="shared" si="44"/>
        <v>+</v>
      </c>
      <c r="BE118" s="2">
        <v>63.9</v>
      </c>
      <c r="BF118" s="8" t="str">
        <f t="shared" si="35"/>
        <v>-</v>
      </c>
      <c r="BG118" s="2"/>
      <c r="BH118" s="8" t="str">
        <f t="shared" si="45"/>
        <v>+</v>
      </c>
      <c r="BI118" s="2"/>
      <c r="BJ118" s="8" t="str">
        <f t="shared" si="46"/>
        <v>+</v>
      </c>
      <c r="BK118" s="2"/>
      <c r="BL118" s="8" t="str">
        <f t="shared" si="47"/>
        <v>+</v>
      </c>
    </row>
    <row r="119" spans="1:64">
      <c r="A119" s="1">
        <v>21824</v>
      </c>
      <c r="B119">
        <v>48.3</v>
      </c>
      <c r="C119">
        <v>43.7</v>
      </c>
      <c r="D119">
        <v>48</v>
      </c>
      <c r="E119">
        <v>50.9</v>
      </c>
      <c r="F119">
        <v>57.5</v>
      </c>
      <c r="G119">
        <v>42.3</v>
      </c>
      <c r="I119">
        <v>61.6</v>
      </c>
      <c r="W119" s="1">
        <v>21824</v>
      </c>
      <c r="X119">
        <v>57.52</v>
      </c>
      <c r="Y119" s="4">
        <f t="shared" si="34"/>
        <v>1.1251740308513763E-2</v>
      </c>
      <c r="Z119" s="4">
        <f t="shared" si="36"/>
        <v>0.12059220258748485</v>
      </c>
      <c r="AA119">
        <v>48.3</v>
      </c>
      <c r="AB119">
        <f t="shared" si="37"/>
        <v>59.8</v>
      </c>
      <c r="AP119" s="3">
        <v>21794</v>
      </c>
      <c r="AQ119" s="2">
        <v>55.1</v>
      </c>
      <c r="AR119" s="2" t="str">
        <f t="shared" si="38"/>
        <v>-</v>
      </c>
      <c r="AS119" s="2">
        <v>54.4</v>
      </c>
      <c r="AT119" s="8" t="str">
        <f t="shared" si="39"/>
        <v>-</v>
      </c>
      <c r="AU119" s="2">
        <v>57.4</v>
      </c>
      <c r="AV119" s="8" t="str">
        <f t="shared" si="40"/>
        <v>-</v>
      </c>
      <c r="AW119" s="2">
        <v>53.6</v>
      </c>
      <c r="AX119" s="8" t="str">
        <f t="shared" si="41"/>
        <v>-</v>
      </c>
      <c r="AY119" s="2">
        <v>57.4</v>
      </c>
      <c r="AZ119" s="8" t="str">
        <f t="shared" si="42"/>
        <v>-</v>
      </c>
      <c r="BA119" s="2">
        <v>50.9</v>
      </c>
      <c r="BB119" s="8" t="str">
        <f t="shared" si="43"/>
        <v>-</v>
      </c>
      <c r="BC119" s="2"/>
      <c r="BD119" s="8" t="str">
        <f t="shared" si="44"/>
        <v>+</v>
      </c>
      <c r="BE119" s="2">
        <v>57.6</v>
      </c>
      <c r="BF119" s="8" t="str">
        <f t="shared" si="35"/>
        <v>-</v>
      </c>
      <c r="BG119" s="2"/>
      <c r="BH119" s="8" t="str">
        <f t="shared" si="45"/>
        <v>+</v>
      </c>
      <c r="BI119" s="2"/>
      <c r="BJ119" s="8" t="str">
        <f t="shared" si="46"/>
        <v>+</v>
      </c>
      <c r="BK119" s="2"/>
      <c r="BL119" s="8" t="str">
        <f t="shared" si="47"/>
        <v>+</v>
      </c>
    </row>
    <row r="120" spans="1:64">
      <c r="A120" s="1">
        <v>21855</v>
      </c>
      <c r="B120">
        <v>49.7</v>
      </c>
      <c r="C120">
        <v>50</v>
      </c>
      <c r="D120">
        <v>47.3</v>
      </c>
      <c r="E120">
        <v>50.4</v>
      </c>
      <c r="F120">
        <v>58.5</v>
      </c>
      <c r="G120">
        <v>39.1</v>
      </c>
      <c r="I120">
        <v>63.1</v>
      </c>
      <c r="W120" s="1">
        <v>21855</v>
      </c>
      <c r="X120">
        <v>58.279998999999997</v>
      </c>
      <c r="Y120" s="4">
        <f t="shared" si="34"/>
        <v>1.3212778164116715E-2</v>
      </c>
      <c r="Z120" s="4">
        <f t="shared" si="36"/>
        <v>0.11051827362804878</v>
      </c>
      <c r="AA120">
        <v>49.7</v>
      </c>
      <c r="AB120">
        <f t="shared" si="37"/>
        <v>62.3</v>
      </c>
      <c r="AP120" s="3">
        <v>21824</v>
      </c>
      <c r="AQ120" s="2">
        <v>48.3</v>
      </c>
      <c r="AR120" s="2" t="str">
        <f t="shared" si="38"/>
        <v>-</v>
      </c>
      <c r="AS120" s="2">
        <v>43.7</v>
      </c>
      <c r="AT120" s="8" t="str">
        <f t="shared" si="39"/>
        <v>-</v>
      </c>
      <c r="AU120" s="2">
        <v>50.9</v>
      </c>
      <c r="AV120" s="8" t="str">
        <f t="shared" si="40"/>
        <v>-</v>
      </c>
      <c r="AW120" s="2">
        <v>48</v>
      </c>
      <c r="AX120" s="8" t="str">
        <f t="shared" si="41"/>
        <v>-</v>
      </c>
      <c r="AY120" s="2">
        <v>57.5</v>
      </c>
      <c r="AZ120" s="8" t="str">
        <f t="shared" si="42"/>
        <v>+</v>
      </c>
      <c r="BA120" s="2">
        <v>42.3</v>
      </c>
      <c r="BB120" s="8" t="str">
        <f t="shared" si="43"/>
        <v>-</v>
      </c>
      <c r="BC120" s="2"/>
      <c r="BD120" s="8" t="str">
        <f t="shared" si="44"/>
        <v>+</v>
      </c>
      <c r="BE120" s="2">
        <v>61.6</v>
      </c>
      <c r="BF120" s="8" t="str">
        <f t="shared" si="35"/>
        <v>+</v>
      </c>
      <c r="BG120" s="2"/>
      <c r="BH120" s="8" t="str">
        <f t="shared" si="45"/>
        <v>+</v>
      </c>
      <c r="BI120" s="2"/>
      <c r="BJ120" s="8" t="str">
        <f t="shared" si="46"/>
        <v>+</v>
      </c>
      <c r="BK120" s="2"/>
      <c r="BL120" s="8" t="str">
        <f t="shared" si="47"/>
        <v>+</v>
      </c>
    </row>
    <row r="121" spans="1:64">
      <c r="A121" s="1">
        <v>21885</v>
      </c>
      <c r="B121">
        <v>50.6</v>
      </c>
      <c r="C121">
        <v>51.1</v>
      </c>
      <c r="D121">
        <v>48.8</v>
      </c>
      <c r="E121">
        <v>51.9</v>
      </c>
      <c r="F121">
        <v>54.6</v>
      </c>
      <c r="G121">
        <v>43.4</v>
      </c>
      <c r="I121">
        <v>65.099999999999994</v>
      </c>
      <c r="W121" s="1">
        <v>21885</v>
      </c>
      <c r="X121">
        <v>59.889999000000003</v>
      </c>
      <c r="Y121" s="4">
        <f t="shared" si="34"/>
        <v>2.7625257852183675E-2</v>
      </c>
      <c r="Z121" s="4">
        <f t="shared" si="36"/>
        <v>8.4767253844724749E-2</v>
      </c>
      <c r="AA121">
        <v>50.6</v>
      </c>
      <c r="AB121">
        <f t="shared" si="37"/>
        <v>62.7</v>
      </c>
      <c r="AP121" s="3">
        <v>21855</v>
      </c>
      <c r="AQ121" s="2">
        <v>49.7</v>
      </c>
      <c r="AR121" s="2" t="str">
        <f t="shared" si="38"/>
        <v>+</v>
      </c>
      <c r="AS121" s="2">
        <v>50</v>
      </c>
      <c r="AT121" s="8" t="str">
        <f t="shared" si="39"/>
        <v>+</v>
      </c>
      <c r="AU121" s="2">
        <v>50.4</v>
      </c>
      <c r="AV121" s="8" t="str">
        <f t="shared" si="40"/>
        <v>-</v>
      </c>
      <c r="AW121" s="2">
        <v>47.3</v>
      </c>
      <c r="AX121" s="8" t="str">
        <f t="shared" si="41"/>
        <v>-</v>
      </c>
      <c r="AY121" s="2">
        <v>58.5</v>
      </c>
      <c r="AZ121" s="8" t="str">
        <f t="shared" si="42"/>
        <v>+</v>
      </c>
      <c r="BA121" s="2">
        <v>39.1</v>
      </c>
      <c r="BB121" s="8" t="str">
        <f t="shared" si="43"/>
        <v>-</v>
      </c>
      <c r="BC121" s="2"/>
      <c r="BD121" s="8" t="str">
        <f t="shared" si="44"/>
        <v>+</v>
      </c>
      <c r="BE121" s="2">
        <v>63.1</v>
      </c>
      <c r="BF121" s="8" t="str">
        <f t="shared" si="35"/>
        <v>+</v>
      </c>
      <c r="BG121" s="2"/>
      <c r="BH121" s="8" t="str">
        <f t="shared" si="45"/>
        <v>+</v>
      </c>
      <c r="BI121" s="2"/>
      <c r="BJ121" s="8" t="str">
        <f t="shared" si="46"/>
        <v>+</v>
      </c>
      <c r="BK121" s="2"/>
      <c r="BL121" s="8" t="str">
        <f t="shared" si="47"/>
        <v>+</v>
      </c>
    </row>
    <row r="122" spans="1:64">
      <c r="A122" s="1">
        <v>21916</v>
      </c>
      <c r="B122">
        <v>58.2</v>
      </c>
      <c r="C122">
        <v>62.8</v>
      </c>
      <c r="D122">
        <v>54.8</v>
      </c>
      <c r="E122">
        <v>61.7</v>
      </c>
      <c r="F122">
        <v>53.7</v>
      </c>
      <c r="G122">
        <v>49.1</v>
      </c>
      <c r="I122">
        <v>63.6</v>
      </c>
      <c r="W122" s="1">
        <v>21916</v>
      </c>
      <c r="X122">
        <v>55.610000999999997</v>
      </c>
      <c r="Y122" s="4">
        <f t="shared" si="34"/>
        <v>-7.1464319109439386E-2</v>
      </c>
      <c r="Z122" s="4">
        <f t="shared" si="36"/>
        <v>2.8854823645539083E-3</v>
      </c>
      <c r="AA122">
        <v>58.2</v>
      </c>
      <c r="AB122">
        <f t="shared" si="37"/>
        <v>60.5</v>
      </c>
      <c r="AP122" s="3">
        <v>21885</v>
      </c>
      <c r="AQ122" s="2">
        <v>50.6</v>
      </c>
      <c r="AR122" s="2" t="str">
        <f t="shared" si="38"/>
        <v>+</v>
      </c>
      <c r="AS122" s="2">
        <v>51.1</v>
      </c>
      <c r="AT122" s="8" t="str">
        <f t="shared" si="39"/>
        <v>+</v>
      </c>
      <c r="AU122" s="2">
        <v>51.9</v>
      </c>
      <c r="AV122" s="8" t="str">
        <f t="shared" si="40"/>
        <v>+</v>
      </c>
      <c r="AW122" s="2">
        <v>48.8</v>
      </c>
      <c r="AX122" s="8" t="str">
        <f t="shared" si="41"/>
        <v>+</v>
      </c>
      <c r="AY122" s="2">
        <v>54.6</v>
      </c>
      <c r="AZ122" s="8" t="str">
        <f t="shared" si="42"/>
        <v>-</v>
      </c>
      <c r="BA122" s="2">
        <v>43.4</v>
      </c>
      <c r="BB122" s="8" t="str">
        <f t="shared" si="43"/>
        <v>+</v>
      </c>
      <c r="BC122" s="2"/>
      <c r="BD122" s="8" t="str">
        <f t="shared" si="44"/>
        <v>+</v>
      </c>
      <c r="BE122" s="2">
        <v>65.099999999999994</v>
      </c>
      <c r="BF122" s="8" t="str">
        <f t="shared" si="35"/>
        <v>+</v>
      </c>
      <c r="BG122" s="2"/>
      <c r="BH122" s="8" t="str">
        <f t="shared" si="45"/>
        <v>+</v>
      </c>
      <c r="BI122" s="2"/>
      <c r="BJ122" s="8" t="str">
        <f t="shared" si="46"/>
        <v>+</v>
      </c>
      <c r="BK122" s="2"/>
      <c r="BL122" s="8" t="str">
        <f t="shared" si="47"/>
        <v>+</v>
      </c>
    </row>
    <row r="123" spans="1:64">
      <c r="A123" s="1">
        <v>21947</v>
      </c>
      <c r="B123">
        <v>61.5</v>
      </c>
      <c r="C123">
        <v>65.400000000000006</v>
      </c>
      <c r="D123">
        <v>60.8</v>
      </c>
      <c r="E123">
        <v>71.900000000000006</v>
      </c>
      <c r="F123">
        <v>46.2</v>
      </c>
      <c r="G123">
        <v>48.3</v>
      </c>
      <c r="I123">
        <v>63.8</v>
      </c>
      <c r="W123" s="1">
        <v>21947</v>
      </c>
      <c r="X123">
        <v>56.119999</v>
      </c>
      <c r="Y123" s="4">
        <f t="shared" si="34"/>
        <v>9.1709762781698768E-3</v>
      </c>
      <c r="Z123" s="4">
        <f t="shared" si="36"/>
        <v>1.2813553510196777E-2</v>
      </c>
      <c r="AA123">
        <v>61.5</v>
      </c>
      <c r="AB123">
        <f t="shared" si="37"/>
        <v>64.400000000000006</v>
      </c>
      <c r="AP123" s="3">
        <v>21916</v>
      </c>
      <c r="AQ123" s="2">
        <v>58.2</v>
      </c>
      <c r="AR123" s="2" t="str">
        <f t="shared" si="38"/>
        <v>+</v>
      </c>
      <c r="AS123" s="2">
        <v>62.8</v>
      </c>
      <c r="AT123" s="8" t="str">
        <f t="shared" si="39"/>
        <v>+</v>
      </c>
      <c r="AU123" s="2">
        <v>61.7</v>
      </c>
      <c r="AV123" s="8" t="str">
        <f t="shared" si="40"/>
        <v>+</v>
      </c>
      <c r="AW123" s="2">
        <v>54.8</v>
      </c>
      <c r="AX123" s="8" t="str">
        <f t="shared" si="41"/>
        <v>+</v>
      </c>
      <c r="AY123" s="2">
        <v>53.7</v>
      </c>
      <c r="AZ123" s="8" t="str">
        <f t="shared" si="42"/>
        <v>-</v>
      </c>
      <c r="BA123" s="2">
        <v>49.1</v>
      </c>
      <c r="BB123" s="8" t="str">
        <f t="shared" si="43"/>
        <v>+</v>
      </c>
      <c r="BC123" s="2"/>
      <c r="BD123" s="8" t="str">
        <f t="shared" si="44"/>
        <v>+</v>
      </c>
      <c r="BE123" s="2">
        <v>63.6</v>
      </c>
      <c r="BF123" s="8" t="str">
        <f t="shared" si="35"/>
        <v>-</v>
      </c>
      <c r="BG123" s="2"/>
      <c r="BH123" s="8" t="str">
        <f t="shared" si="45"/>
        <v>+</v>
      </c>
      <c r="BI123" s="2"/>
      <c r="BJ123" s="8" t="str">
        <f t="shared" si="46"/>
        <v>+</v>
      </c>
      <c r="BK123" s="2"/>
      <c r="BL123" s="8" t="str">
        <f t="shared" si="47"/>
        <v>+</v>
      </c>
    </row>
    <row r="124" spans="1:64">
      <c r="A124" s="1">
        <v>21976</v>
      </c>
      <c r="B124">
        <v>52.3</v>
      </c>
      <c r="C124">
        <v>52.5</v>
      </c>
      <c r="D124">
        <v>57.2</v>
      </c>
      <c r="E124">
        <v>58.6</v>
      </c>
      <c r="F124">
        <v>31.7</v>
      </c>
      <c r="G124">
        <v>56.6</v>
      </c>
      <c r="I124">
        <v>60.9</v>
      </c>
      <c r="W124" s="1">
        <v>21976</v>
      </c>
      <c r="X124">
        <v>55.34</v>
      </c>
      <c r="Y124" s="4">
        <f t="shared" si="34"/>
        <v>-1.3898770739464848E-2</v>
      </c>
      <c r="Z124" s="4">
        <f t="shared" si="36"/>
        <v>-1.8037337987685902E-3</v>
      </c>
      <c r="AA124">
        <v>52.3</v>
      </c>
      <c r="AB124">
        <f t="shared" si="37"/>
        <v>66.900000000000006</v>
      </c>
      <c r="AP124" s="3">
        <v>21947</v>
      </c>
      <c r="AQ124" s="2">
        <v>61.5</v>
      </c>
      <c r="AR124" s="2" t="str">
        <f t="shared" si="38"/>
        <v>+</v>
      </c>
      <c r="AS124" s="2">
        <v>65.400000000000006</v>
      </c>
      <c r="AT124" s="8" t="str">
        <f t="shared" si="39"/>
        <v>+</v>
      </c>
      <c r="AU124" s="2">
        <v>71.900000000000006</v>
      </c>
      <c r="AV124" s="8" t="str">
        <f t="shared" si="40"/>
        <v>+</v>
      </c>
      <c r="AW124" s="2">
        <v>60.8</v>
      </c>
      <c r="AX124" s="8" t="str">
        <f t="shared" si="41"/>
        <v>+</v>
      </c>
      <c r="AY124" s="2">
        <v>46.2</v>
      </c>
      <c r="AZ124" s="8" t="str">
        <f t="shared" si="42"/>
        <v>-</v>
      </c>
      <c r="BA124" s="2">
        <v>48.3</v>
      </c>
      <c r="BB124" s="8" t="str">
        <f t="shared" si="43"/>
        <v>-</v>
      </c>
      <c r="BC124" s="2"/>
      <c r="BD124" s="8" t="str">
        <f t="shared" si="44"/>
        <v>+</v>
      </c>
      <c r="BE124" s="2">
        <v>63.8</v>
      </c>
      <c r="BF124" s="8" t="str">
        <f t="shared" si="35"/>
        <v>+</v>
      </c>
      <c r="BG124" s="2"/>
      <c r="BH124" s="8" t="str">
        <f t="shared" si="45"/>
        <v>+</v>
      </c>
      <c r="BI124" s="2"/>
      <c r="BJ124" s="8" t="str">
        <f t="shared" si="46"/>
        <v>+</v>
      </c>
      <c r="BK124" s="2"/>
      <c r="BL124" s="8" t="str">
        <f t="shared" si="47"/>
        <v>+</v>
      </c>
    </row>
    <row r="125" spans="1:64">
      <c r="A125" s="1">
        <v>22007</v>
      </c>
      <c r="B125">
        <v>47.8</v>
      </c>
      <c r="C125">
        <v>52.2</v>
      </c>
      <c r="D125">
        <v>48</v>
      </c>
      <c r="E125">
        <v>52.4</v>
      </c>
      <c r="F125">
        <v>28.8</v>
      </c>
      <c r="G125">
        <v>50.7</v>
      </c>
      <c r="I125">
        <v>57.3</v>
      </c>
      <c r="W125" s="1">
        <v>22007</v>
      </c>
      <c r="X125">
        <v>54.369999</v>
      </c>
      <c r="Y125" s="4">
        <f t="shared" si="34"/>
        <v>-1.7528026743765874E-2</v>
      </c>
      <c r="Z125" s="4">
        <f t="shared" si="36"/>
        <v>-5.5912502170515771E-2</v>
      </c>
      <c r="AA125">
        <v>47.8</v>
      </c>
      <c r="AB125">
        <f t="shared" si="37"/>
        <v>67.099999999999994</v>
      </c>
      <c r="AP125" s="3">
        <v>21976</v>
      </c>
      <c r="AQ125" s="2">
        <v>52.3</v>
      </c>
      <c r="AR125" s="2" t="str">
        <f t="shared" si="38"/>
        <v>-</v>
      </c>
      <c r="AS125" s="2">
        <v>52.5</v>
      </c>
      <c r="AT125" s="8" t="str">
        <f t="shared" si="39"/>
        <v>-</v>
      </c>
      <c r="AU125" s="2">
        <v>58.6</v>
      </c>
      <c r="AV125" s="8" t="str">
        <f t="shared" si="40"/>
        <v>-</v>
      </c>
      <c r="AW125" s="2">
        <v>57.2</v>
      </c>
      <c r="AX125" s="8" t="str">
        <f t="shared" si="41"/>
        <v>-</v>
      </c>
      <c r="AY125" s="2">
        <v>31.7</v>
      </c>
      <c r="AZ125" s="8" t="str">
        <f t="shared" si="42"/>
        <v>-</v>
      </c>
      <c r="BA125" s="2">
        <v>56.6</v>
      </c>
      <c r="BB125" s="8" t="str">
        <f t="shared" si="43"/>
        <v>+</v>
      </c>
      <c r="BC125" s="2"/>
      <c r="BD125" s="8" t="str">
        <f t="shared" si="44"/>
        <v>+</v>
      </c>
      <c r="BE125" s="2">
        <v>60.9</v>
      </c>
      <c r="BF125" s="8" t="str">
        <f t="shared" si="35"/>
        <v>-</v>
      </c>
      <c r="BG125" s="2"/>
      <c r="BH125" s="8" t="str">
        <f t="shared" si="45"/>
        <v>+</v>
      </c>
      <c r="BI125" s="2"/>
      <c r="BJ125" s="8" t="str">
        <f t="shared" si="46"/>
        <v>+</v>
      </c>
      <c r="BK125" s="2"/>
      <c r="BL125" s="8" t="str">
        <f t="shared" si="47"/>
        <v>+</v>
      </c>
    </row>
    <row r="126" spans="1:64">
      <c r="A126" s="1">
        <v>22037</v>
      </c>
      <c r="B126">
        <v>45.3</v>
      </c>
      <c r="C126">
        <v>52</v>
      </c>
      <c r="D126">
        <v>42</v>
      </c>
      <c r="E126">
        <v>49.8</v>
      </c>
      <c r="F126">
        <v>28.9</v>
      </c>
      <c r="G126">
        <v>45.5</v>
      </c>
      <c r="I126">
        <v>60.4</v>
      </c>
      <c r="W126" s="1">
        <v>22037</v>
      </c>
      <c r="X126">
        <v>55.830002</v>
      </c>
      <c r="Y126" s="4">
        <f t="shared" si="34"/>
        <v>2.6853099629448225E-2</v>
      </c>
      <c r="Z126" s="4">
        <f t="shared" si="36"/>
        <v>-4.8568473074301281E-2</v>
      </c>
      <c r="AA126">
        <v>45.3</v>
      </c>
      <c r="AB126">
        <f t="shared" si="37"/>
        <v>66.900000000000006</v>
      </c>
      <c r="AP126" s="3">
        <v>22007</v>
      </c>
      <c r="AQ126" s="2">
        <v>47.8</v>
      </c>
      <c r="AR126" s="2" t="str">
        <f t="shared" si="38"/>
        <v>-</v>
      </c>
      <c r="AS126" s="2">
        <v>52.2</v>
      </c>
      <c r="AT126" s="8" t="str">
        <f t="shared" si="39"/>
        <v>-</v>
      </c>
      <c r="AU126" s="2">
        <v>52.4</v>
      </c>
      <c r="AV126" s="8" t="str">
        <f t="shared" si="40"/>
        <v>-</v>
      </c>
      <c r="AW126" s="2">
        <v>48</v>
      </c>
      <c r="AX126" s="8" t="str">
        <f t="shared" si="41"/>
        <v>-</v>
      </c>
      <c r="AY126" s="2">
        <v>28.8</v>
      </c>
      <c r="AZ126" s="8" t="str">
        <f t="shared" si="42"/>
        <v>-</v>
      </c>
      <c r="BA126" s="2">
        <v>50.7</v>
      </c>
      <c r="BB126" s="8" t="str">
        <f t="shared" si="43"/>
        <v>-</v>
      </c>
      <c r="BC126" s="2"/>
      <c r="BD126" s="8" t="str">
        <f t="shared" si="44"/>
        <v>+</v>
      </c>
      <c r="BE126" s="2">
        <v>57.3</v>
      </c>
      <c r="BF126" s="8" t="str">
        <f t="shared" si="35"/>
        <v>-</v>
      </c>
      <c r="BG126" s="2"/>
      <c r="BH126" s="8" t="str">
        <f t="shared" si="45"/>
        <v>+</v>
      </c>
      <c r="BI126" s="2"/>
      <c r="BJ126" s="8" t="str">
        <f t="shared" si="46"/>
        <v>+</v>
      </c>
      <c r="BK126" s="2"/>
      <c r="BL126" s="8" t="str">
        <f t="shared" si="47"/>
        <v>+</v>
      </c>
    </row>
    <row r="127" spans="1:64">
      <c r="A127" s="1">
        <v>22068</v>
      </c>
      <c r="B127">
        <v>42.6</v>
      </c>
      <c r="C127">
        <v>45.8</v>
      </c>
      <c r="D127">
        <v>42.5</v>
      </c>
      <c r="E127">
        <v>45</v>
      </c>
      <c r="F127">
        <v>32.299999999999997</v>
      </c>
      <c r="G127">
        <v>42.5</v>
      </c>
      <c r="I127">
        <v>57</v>
      </c>
      <c r="W127" s="1">
        <v>22068</v>
      </c>
      <c r="X127">
        <v>56.919998</v>
      </c>
      <c r="Y127" s="4">
        <f t="shared" si="34"/>
        <v>1.9523481299534958E-2</v>
      </c>
      <c r="Z127" s="4">
        <f t="shared" si="36"/>
        <v>-2.6509371874305316E-2</v>
      </c>
      <c r="AA127">
        <v>42.6</v>
      </c>
      <c r="AB127">
        <f t="shared" si="37"/>
        <v>68.2</v>
      </c>
      <c r="AP127" s="3">
        <v>22037</v>
      </c>
      <c r="AQ127" s="2">
        <v>45.3</v>
      </c>
      <c r="AR127" s="2" t="str">
        <f t="shared" si="38"/>
        <v>-</v>
      </c>
      <c r="AS127" s="2">
        <v>52</v>
      </c>
      <c r="AT127" s="8" t="str">
        <f t="shared" si="39"/>
        <v>-</v>
      </c>
      <c r="AU127" s="2">
        <v>49.8</v>
      </c>
      <c r="AV127" s="8" t="str">
        <f t="shared" si="40"/>
        <v>-</v>
      </c>
      <c r="AW127" s="2">
        <v>42</v>
      </c>
      <c r="AX127" s="8" t="str">
        <f t="shared" si="41"/>
        <v>-</v>
      </c>
      <c r="AY127" s="2">
        <v>28.9</v>
      </c>
      <c r="AZ127" s="8" t="str">
        <f t="shared" si="42"/>
        <v>+</v>
      </c>
      <c r="BA127" s="2">
        <v>45.5</v>
      </c>
      <c r="BB127" s="8" t="str">
        <f t="shared" si="43"/>
        <v>-</v>
      </c>
      <c r="BC127" s="2"/>
      <c r="BD127" s="8" t="str">
        <f t="shared" si="44"/>
        <v>+</v>
      </c>
      <c r="BE127" s="2">
        <v>60.4</v>
      </c>
      <c r="BF127" s="8" t="str">
        <f t="shared" si="35"/>
        <v>+</v>
      </c>
      <c r="BG127" s="2"/>
      <c r="BH127" s="8" t="str">
        <f t="shared" si="45"/>
        <v>+</v>
      </c>
      <c r="BI127" s="2"/>
      <c r="BJ127" s="8" t="str">
        <f t="shared" si="46"/>
        <v>+</v>
      </c>
      <c r="BK127" s="2"/>
      <c r="BL127" s="8" t="str">
        <f t="shared" si="47"/>
        <v>+</v>
      </c>
    </row>
    <row r="128" spans="1:64">
      <c r="A128" s="1">
        <v>22098</v>
      </c>
      <c r="B128">
        <v>44.4</v>
      </c>
      <c r="C128">
        <v>49.2</v>
      </c>
      <c r="D128">
        <v>39.700000000000003</v>
      </c>
      <c r="E128">
        <v>48.5</v>
      </c>
      <c r="F128">
        <v>34.799999999999997</v>
      </c>
      <c r="G128">
        <v>43.9</v>
      </c>
      <c r="I128">
        <v>52.6</v>
      </c>
      <c r="W128" s="1">
        <v>22098</v>
      </c>
      <c r="X128">
        <v>55.509998000000003</v>
      </c>
      <c r="Y128" s="4">
        <f t="shared" si="34"/>
        <v>-2.4771610146577951E-2</v>
      </c>
      <c r="Z128" s="4">
        <f t="shared" si="36"/>
        <v>-8.2630972818739795E-2</v>
      </c>
      <c r="AA128">
        <v>44.4</v>
      </c>
      <c r="AB128">
        <f t="shared" si="37"/>
        <v>64.400000000000006</v>
      </c>
      <c r="AP128" s="3">
        <v>22068</v>
      </c>
      <c r="AQ128" s="2">
        <v>42.6</v>
      </c>
      <c r="AR128" s="2" t="str">
        <f t="shared" si="38"/>
        <v>-</v>
      </c>
      <c r="AS128" s="2">
        <v>45.8</v>
      </c>
      <c r="AT128" s="8" t="str">
        <f t="shared" si="39"/>
        <v>-</v>
      </c>
      <c r="AU128" s="2">
        <v>45</v>
      </c>
      <c r="AV128" s="8" t="str">
        <f t="shared" si="40"/>
        <v>-</v>
      </c>
      <c r="AW128" s="2">
        <v>42.5</v>
      </c>
      <c r="AX128" s="8" t="str">
        <f t="shared" si="41"/>
        <v>+</v>
      </c>
      <c r="AY128" s="2">
        <v>32.299999999999997</v>
      </c>
      <c r="AZ128" s="8" t="str">
        <f t="shared" si="42"/>
        <v>+</v>
      </c>
      <c r="BA128" s="2">
        <v>42.5</v>
      </c>
      <c r="BB128" s="8" t="str">
        <f t="shared" si="43"/>
        <v>-</v>
      </c>
      <c r="BC128" s="2"/>
      <c r="BD128" s="8" t="str">
        <f t="shared" si="44"/>
        <v>+</v>
      </c>
      <c r="BE128" s="2">
        <v>57</v>
      </c>
      <c r="BF128" s="8" t="str">
        <f t="shared" si="35"/>
        <v>-</v>
      </c>
      <c r="BG128" s="2"/>
      <c r="BH128" s="8" t="str">
        <f t="shared" si="45"/>
        <v>+</v>
      </c>
      <c r="BI128" s="2"/>
      <c r="BJ128" s="8" t="str">
        <f t="shared" si="46"/>
        <v>+</v>
      </c>
      <c r="BK128" s="2"/>
      <c r="BL128" s="8" t="str">
        <f t="shared" si="47"/>
        <v>+</v>
      </c>
    </row>
    <row r="129" spans="1:64">
      <c r="A129" s="1">
        <v>22129</v>
      </c>
      <c r="B129">
        <v>43.7</v>
      </c>
      <c r="C129">
        <v>45.7</v>
      </c>
      <c r="D129">
        <v>42.1</v>
      </c>
      <c r="E129">
        <v>48.2</v>
      </c>
      <c r="F129">
        <v>35.799999999999997</v>
      </c>
      <c r="G129">
        <v>41.9</v>
      </c>
      <c r="I129">
        <v>49.9</v>
      </c>
      <c r="W129" s="1">
        <v>22129</v>
      </c>
      <c r="X129">
        <v>56.959999000000003</v>
      </c>
      <c r="Y129" s="4">
        <f t="shared" si="34"/>
        <v>2.6121438519958157E-2</v>
      </c>
      <c r="Z129" s="4">
        <f t="shared" si="36"/>
        <v>-4.4295286721318279E-2</v>
      </c>
      <c r="AA129">
        <v>43.7</v>
      </c>
      <c r="AB129">
        <f t="shared" si="37"/>
        <v>61.5</v>
      </c>
      <c r="AP129" s="3">
        <v>22098</v>
      </c>
      <c r="AQ129" s="2">
        <v>44.4</v>
      </c>
      <c r="AR129" s="2" t="str">
        <f t="shared" si="38"/>
        <v>+</v>
      </c>
      <c r="AS129" s="2">
        <v>49.2</v>
      </c>
      <c r="AT129" s="8" t="str">
        <f t="shared" si="39"/>
        <v>+</v>
      </c>
      <c r="AU129" s="2">
        <v>48.5</v>
      </c>
      <c r="AV129" s="8" t="str">
        <f t="shared" si="40"/>
        <v>+</v>
      </c>
      <c r="AW129" s="2">
        <v>39.700000000000003</v>
      </c>
      <c r="AX129" s="8" t="str">
        <f t="shared" si="41"/>
        <v>-</v>
      </c>
      <c r="AY129" s="2">
        <v>34.799999999999997</v>
      </c>
      <c r="AZ129" s="8" t="str">
        <f t="shared" si="42"/>
        <v>+</v>
      </c>
      <c r="BA129" s="2">
        <v>43.9</v>
      </c>
      <c r="BB129" s="8" t="str">
        <f t="shared" si="43"/>
        <v>+</v>
      </c>
      <c r="BC129" s="2"/>
      <c r="BD129" s="8" t="str">
        <f t="shared" si="44"/>
        <v>+</v>
      </c>
      <c r="BE129" s="2">
        <v>52.6</v>
      </c>
      <c r="BF129" s="8" t="str">
        <f t="shared" si="35"/>
        <v>-</v>
      </c>
      <c r="BG129" s="2"/>
      <c r="BH129" s="8" t="str">
        <f t="shared" si="45"/>
        <v>+</v>
      </c>
      <c r="BI129" s="2"/>
      <c r="BJ129" s="8" t="str">
        <f t="shared" si="46"/>
        <v>+</v>
      </c>
      <c r="BK129" s="2"/>
      <c r="BL129" s="8" t="str">
        <f t="shared" si="47"/>
        <v>+</v>
      </c>
    </row>
    <row r="130" spans="1:64">
      <c r="A130" s="1">
        <v>22160</v>
      </c>
      <c r="B130">
        <v>47.6</v>
      </c>
      <c r="C130">
        <v>55.6</v>
      </c>
      <c r="D130">
        <v>43.6</v>
      </c>
      <c r="E130">
        <v>50.3</v>
      </c>
      <c r="F130">
        <v>38</v>
      </c>
      <c r="G130">
        <v>39.1</v>
      </c>
      <c r="I130">
        <v>50.6</v>
      </c>
      <c r="W130" s="1">
        <v>22160</v>
      </c>
      <c r="X130">
        <v>53.52</v>
      </c>
      <c r="Y130" s="4">
        <f t="shared" si="34"/>
        <v>-6.0393241931061131E-2</v>
      </c>
      <c r="Z130" s="4">
        <f t="shared" si="36"/>
        <v>-5.9071746500145052E-2</v>
      </c>
      <c r="AA130">
        <v>47.6</v>
      </c>
      <c r="AB130">
        <f t="shared" si="37"/>
        <v>55.1</v>
      </c>
      <c r="AP130" s="3">
        <v>22129</v>
      </c>
      <c r="AQ130" s="2">
        <v>43.7</v>
      </c>
      <c r="AR130" s="2" t="str">
        <f t="shared" si="38"/>
        <v>-</v>
      </c>
      <c r="AS130" s="2">
        <v>45.7</v>
      </c>
      <c r="AT130" s="8" t="str">
        <f t="shared" si="39"/>
        <v>-</v>
      </c>
      <c r="AU130" s="2">
        <v>48.2</v>
      </c>
      <c r="AV130" s="8" t="str">
        <f t="shared" si="40"/>
        <v>-</v>
      </c>
      <c r="AW130" s="2">
        <v>42.1</v>
      </c>
      <c r="AX130" s="8" t="str">
        <f t="shared" si="41"/>
        <v>+</v>
      </c>
      <c r="AY130" s="2">
        <v>35.799999999999997</v>
      </c>
      <c r="AZ130" s="8" t="str">
        <f t="shared" si="42"/>
        <v>+</v>
      </c>
      <c r="BA130" s="2">
        <v>41.9</v>
      </c>
      <c r="BB130" s="8" t="str">
        <f t="shared" si="43"/>
        <v>-</v>
      </c>
      <c r="BC130" s="2"/>
      <c r="BD130" s="8" t="str">
        <f t="shared" si="44"/>
        <v>+</v>
      </c>
      <c r="BE130" s="2">
        <v>49.9</v>
      </c>
      <c r="BF130" s="8" t="str">
        <f t="shared" si="35"/>
        <v>-</v>
      </c>
      <c r="BG130" s="2"/>
      <c r="BH130" s="8" t="str">
        <f t="shared" si="45"/>
        <v>+</v>
      </c>
      <c r="BI130" s="2"/>
      <c r="BJ130" s="8" t="str">
        <f t="shared" si="46"/>
        <v>+</v>
      </c>
      <c r="BK130" s="2"/>
      <c r="BL130" s="8" t="str">
        <f t="shared" si="47"/>
        <v>+</v>
      </c>
    </row>
    <row r="131" spans="1:64">
      <c r="A131" s="1">
        <v>22190</v>
      </c>
      <c r="B131">
        <v>45.4</v>
      </c>
      <c r="C131">
        <v>50.5</v>
      </c>
      <c r="D131">
        <v>40.200000000000003</v>
      </c>
      <c r="E131">
        <v>50</v>
      </c>
      <c r="F131">
        <v>37.299999999999997</v>
      </c>
      <c r="G131">
        <v>40.799999999999997</v>
      </c>
      <c r="I131">
        <v>48.4</v>
      </c>
      <c r="W131" s="1">
        <v>22190</v>
      </c>
      <c r="X131">
        <v>53.389999000000003</v>
      </c>
      <c r="Y131" s="4">
        <f t="shared" si="34"/>
        <v>-2.429017189835576E-3</v>
      </c>
      <c r="Z131" s="4">
        <f t="shared" si="36"/>
        <v>-7.1801130041724615E-2</v>
      </c>
      <c r="AA131">
        <v>45.4</v>
      </c>
      <c r="AB131">
        <f t="shared" si="37"/>
        <v>48.3</v>
      </c>
      <c r="AP131" s="3">
        <v>22160</v>
      </c>
      <c r="AQ131" s="2">
        <v>47.6</v>
      </c>
      <c r="AR131" s="2" t="str">
        <f t="shared" si="38"/>
        <v>+</v>
      </c>
      <c r="AS131" s="2">
        <v>55.6</v>
      </c>
      <c r="AT131" s="8" t="str">
        <f t="shared" si="39"/>
        <v>+</v>
      </c>
      <c r="AU131" s="2">
        <v>50.3</v>
      </c>
      <c r="AV131" s="8" t="str">
        <f t="shared" si="40"/>
        <v>+</v>
      </c>
      <c r="AW131" s="2">
        <v>43.6</v>
      </c>
      <c r="AX131" s="8" t="str">
        <f t="shared" si="41"/>
        <v>+</v>
      </c>
      <c r="AY131" s="2">
        <v>38</v>
      </c>
      <c r="AZ131" s="8" t="str">
        <f t="shared" si="42"/>
        <v>+</v>
      </c>
      <c r="BA131" s="2">
        <v>39.1</v>
      </c>
      <c r="BB131" s="8" t="str">
        <f t="shared" si="43"/>
        <v>-</v>
      </c>
      <c r="BC131" s="2"/>
      <c r="BD131" s="8" t="str">
        <f t="shared" si="44"/>
        <v>+</v>
      </c>
      <c r="BE131" s="2">
        <v>50.6</v>
      </c>
      <c r="BF131" s="8" t="str">
        <f t="shared" si="35"/>
        <v>+</v>
      </c>
      <c r="BG131" s="2"/>
      <c r="BH131" s="8" t="str">
        <f t="shared" si="45"/>
        <v>+</v>
      </c>
      <c r="BI131" s="2"/>
      <c r="BJ131" s="8" t="str">
        <f t="shared" si="46"/>
        <v>+</v>
      </c>
      <c r="BK131" s="2"/>
      <c r="BL131" s="8" t="str">
        <f t="shared" si="47"/>
        <v>+</v>
      </c>
    </row>
    <row r="132" spans="1:64">
      <c r="A132" s="1">
        <v>22221</v>
      </c>
      <c r="B132">
        <v>46</v>
      </c>
      <c r="C132">
        <v>50.1</v>
      </c>
      <c r="D132">
        <v>43.7</v>
      </c>
      <c r="E132">
        <v>51.2</v>
      </c>
      <c r="F132">
        <v>36.200000000000003</v>
      </c>
      <c r="G132">
        <v>39.700000000000003</v>
      </c>
      <c r="I132">
        <v>45</v>
      </c>
      <c r="W132" s="1">
        <v>22221</v>
      </c>
      <c r="X132">
        <v>55.540000999999997</v>
      </c>
      <c r="Y132" s="4">
        <f t="shared" ref="Y132:Y195" si="48">(X132-X131)/X131</f>
        <v>4.0269751643936036E-2</v>
      </c>
      <c r="Z132" s="4">
        <f t="shared" si="36"/>
        <v>-4.7014379667370966E-2</v>
      </c>
      <c r="AA132">
        <v>46</v>
      </c>
      <c r="AB132">
        <f t="shared" si="37"/>
        <v>49.7</v>
      </c>
      <c r="AP132" s="3">
        <v>22190</v>
      </c>
      <c r="AQ132" s="2">
        <v>45.4</v>
      </c>
      <c r="AR132" s="2" t="str">
        <f t="shared" si="38"/>
        <v>-</v>
      </c>
      <c r="AS132" s="2">
        <v>50.5</v>
      </c>
      <c r="AT132" s="8" t="str">
        <f t="shared" si="39"/>
        <v>-</v>
      </c>
      <c r="AU132" s="2">
        <v>50</v>
      </c>
      <c r="AV132" s="8" t="str">
        <f t="shared" si="40"/>
        <v>-</v>
      </c>
      <c r="AW132" s="2">
        <v>40.200000000000003</v>
      </c>
      <c r="AX132" s="8" t="str">
        <f t="shared" si="41"/>
        <v>-</v>
      </c>
      <c r="AY132" s="2">
        <v>37.299999999999997</v>
      </c>
      <c r="AZ132" s="8" t="str">
        <f t="shared" si="42"/>
        <v>-</v>
      </c>
      <c r="BA132" s="2">
        <v>40.799999999999997</v>
      </c>
      <c r="BB132" s="8" t="str">
        <f t="shared" si="43"/>
        <v>+</v>
      </c>
      <c r="BC132" s="2"/>
      <c r="BD132" s="8" t="str">
        <f t="shared" si="44"/>
        <v>+</v>
      </c>
      <c r="BE132" s="2">
        <v>48.4</v>
      </c>
      <c r="BF132" s="8" t="str">
        <f t="shared" si="35"/>
        <v>-</v>
      </c>
      <c r="BG132" s="2"/>
      <c r="BH132" s="8" t="str">
        <f t="shared" si="45"/>
        <v>+</v>
      </c>
      <c r="BI132" s="2"/>
      <c r="BJ132" s="8" t="str">
        <f t="shared" si="46"/>
        <v>+</v>
      </c>
      <c r="BK132" s="2"/>
      <c r="BL132" s="8" t="str">
        <f t="shared" si="47"/>
        <v>+</v>
      </c>
    </row>
    <row r="133" spans="1:64">
      <c r="A133" s="1">
        <v>22251</v>
      </c>
      <c r="B133">
        <v>44.3</v>
      </c>
      <c r="C133">
        <v>48.2</v>
      </c>
      <c r="D133">
        <v>43</v>
      </c>
      <c r="E133">
        <v>45.6</v>
      </c>
      <c r="F133">
        <v>37.6</v>
      </c>
      <c r="G133">
        <v>41.7</v>
      </c>
      <c r="I133">
        <v>46.9</v>
      </c>
      <c r="W133" s="1">
        <v>22251</v>
      </c>
      <c r="X133">
        <v>58.110000999999997</v>
      </c>
      <c r="Y133" s="4">
        <f t="shared" si="48"/>
        <v>4.627295559465331E-2</v>
      </c>
      <c r="Z133" s="4">
        <f t="shared" si="36"/>
        <v>-2.972112255336665E-2</v>
      </c>
      <c r="AA133">
        <v>44.3</v>
      </c>
      <c r="AB133">
        <f t="shared" si="37"/>
        <v>50.6</v>
      </c>
      <c r="AP133" s="3">
        <v>22221</v>
      </c>
      <c r="AQ133" s="2">
        <v>46</v>
      </c>
      <c r="AR133" s="2" t="str">
        <f t="shared" si="38"/>
        <v>+</v>
      </c>
      <c r="AS133" s="2">
        <v>50.1</v>
      </c>
      <c r="AT133" s="8" t="str">
        <f t="shared" si="39"/>
        <v>-</v>
      </c>
      <c r="AU133" s="2">
        <v>51.2</v>
      </c>
      <c r="AV133" s="8" t="str">
        <f t="shared" si="40"/>
        <v>+</v>
      </c>
      <c r="AW133" s="2">
        <v>43.7</v>
      </c>
      <c r="AX133" s="8" t="str">
        <f t="shared" si="41"/>
        <v>+</v>
      </c>
      <c r="AY133" s="2">
        <v>36.200000000000003</v>
      </c>
      <c r="AZ133" s="8" t="str">
        <f t="shared" si="42"/>
        <v>-</v>
      </c>
      <c r="BA133" s="2">
        <v>39.700000000000003</v>
      </c>
      <c r="BB133" s="8" t="str">
        <f t="shared" si="43"/>
        <v>-</v>
      </c>
      <c r="BC133" s="2"/>
      <c r="BD133" s="8" t="str">
        <f t="shared" si="44"/>
        <v>+</v>
      </c>
      <c r="BE133" s="2">
        <v>45</v>
      </c>
      <c r="BF133" s="8" t="str">
        <f t="shared" si="35"/>
        <v>-</v>
      </c>
      <c r="BG133" s="2"/>
      <c r="BH133" s="8" t="str">
        <f t="shared" si="45"/>
        <v>+</v>
      </c>
      <c r="BI133" s="2"/>
      <c r="BJ133" s="8" t="str">
        <f t="shared" si="46"/>
        <v>+</v>
      </c>
      <c r="BK133" s="2"/>
      <c r="BL133" s="8" t="str">
        <f t="shared" si="47"/>
        <v>+</v>
      </c>
    </row>
    <row r="134" spans="1:64">
      <c r="A134" s="1">
        <v>22282</v>
      </c>
      <c r="B134">
        <v>44.3</v>
      </c>
      <c r="C134">
        <v>47.5</v>
      </c>
      <c r="D134">
        <v>40.700000000000003</v>
      </c>
      <c r="E134">
        <v>47.5</v>
      </c>
      <c r="F134">
        <v>40.4</v>
      </c>
      <c r="G134">
        <v>39.299999999999997</v>
      </c>
      <c r="I134">
        <v>46.6</v>
      </c>
      <c r="W134" s="1">
        <v>22282</v>
      </c>
      <c r="X134">
        <v>61.779998999999997</v>
      </c>
      <c r="Y134" s="4">
        <f t="shared" si="48"/>
        <v>6.3156047785991265E-2</v>
      </c>
      <c r="Z134" s="4">
        <f t="shared" si="36"/>
        <v>0.11095122979767615</v>
      </c>
      <c r="AA134">
        <v>44.3</v>
      </c>
      <c r="AB134">
        <f t="shared" si="37"/>
        <v>58.2</v>
      </c>
      <c r="AP134" s="3">
        <v>22251</v>
      </c>
      <c r="AQ134" s="2">
        <v>44.3</v>
      </c>
      <c r="AR134" s="2" t="str">
        <f t="shared" si="38"/>
        <v>-</v>
      </c>
      <c r="AS134" s="2">
        <v>48.2</v>
      </c>
      <c r="AT134" s="8" t="str">
        <f t="shared" si="39"/>
        <v>-</v>
      </c>
      <c r="AU134" s="2">
        <v>45.6</v>
      </c>
      <c r="AV134" s="8" t="str">
        <f t="shared" si="40"/>
        <v>-</v>
      </c>
      <c r="AW134" s="2">
        <v>43</v>
      </c>
      <c r="AX134" s="8" t="str">
        <f t="shared" si="41"/>
        <v>-</v>
      </c>
      <c r="AY134" s="2">
        <v>37.6</v>
      </c>
      <c r="AZ134" s="8" t="str">
        <f t="shared" si="42"/>
        <v>+</v>
      </c>
      <c r="BA134" s="2">
        <v>41.7</v>
      </c>
      <c r="BB134" s="8" t="str">
        <f t="shared" si="43"/>
        <v>+</v>
      </c>
      <c r="BC134" s="2"/>
      <c r="BD134" s="8" t="str">
        <f t="shared" si="44"/>
        <v>+</v>
      </c>
      <c r="BE134" s="2">
        <v>46.9</v>
      </c>
      <c r="BF134" s="8" t="str">
        <f t="shared" ref="BF134:BF197" si="49">IF(OR(BE134&gt;BE133,BE134=BE133),"+","-")</f>
        <v>+</v>
      </c>
      <c r="BG134" s="2"/>
      <c r="BH134" s="8" t="str">
        <f t="shared" si="45"/>
        <v>+</v>
      </c>
      <c r="BI134" s="2"/>
      <c r="BJ134" s="8" t="str">
        <f t="shared" si="46"/>
        <v>+</v>
      </c>
      <c r="BK134" s="2"/>
      <c r="BL134" s="8" t="str">
        <f t="shared" si="47"/>
        <v>+</v>
      </c>
    </row>
    <row r="135" spans="1:64">
      <c r="A135" s="1">
        <v>22313</v>
      </c>
      <c r="B135">
        <v>43.9</v>
      </c>
      <c r="C135">
        <v>47.2</v>
      </c>
      <c r="D135">
        <v>39.700000000000003</v>
      </c>
      <c r="E135">
        <v>47.3</v>
      </c>
      <c r="F135">
        <v>39.200000000000003</v>
      </c>
      <c r="G135">
        <v>40.5</v>
      </c>
      <c r="I135">
        <v>49.1</v>
      </c>
      <c r="W135" s="1">
        <v>22313</v>
      </c>
      <c r="X135">
        <v>63.439999</v>
      </c>
      <c r="Y135" s="4">
        <f t="shared" si="48"/>
        <v>2.6869537501934951E-2</v>
      </c>
      <c r="Z135" s="4">
        <f t="shared" si="36"/>
        <v>0.1304347849329078</v>
      </c>
      <c r="AA135">
        <v>43.9</v>
      </c>
      <c r="AB135">
        <f t="shared" si="37"/>
        <v>61.5</v>
      </c>
      <c r="AP135" s="3">
        <v>22282</v>
      </c>
      <c r="AQ135" s="2">
        <v>44.3</v>
      </c>
      <c r="AR135" s="2" t="str">
        <f t="shared" si="38"/>
        <v>+</v>
      </c>
      <c r="AS135" s="2">
        <v>47.5</v>
      </c>
      <c r="AT135" s="8" t="str">
        <f t="shared" si="39"/>
        <v>-</v>
      </c>
      <c r="AU135" s="2">
        <v>47.5</v>
      </c>
      <c r="AV135" s="8" t="str">
        <f t="shared" si="40"/>
        <v>+</v>
      </c>
      <c r="AW135" s="2">
        <v>40.700000000000003</v>
      </c>
      <c r="AX135" s="8" t="str">
        <f t="shared" si="41"/>
        <v>-</v>
      </c>
      <c r="AY135" s="2">
        <v>40.4</v>
      </c>
      <c r="AZ135" s="8" t="str">
        <f t="shared" si="42"/>
        <v>+</v>
      </c>
      <c r="BA135" s="2">
        <v>39.299999999999997</v>
      </c>
      <c r="BB135" s="8" t="str">
        <f t="shared" si="43"/>
        <v>-</v>
      </c>
      <c r="BC135" s="2"/>
      <c r="BD135" s="8" t="str">
        <f t="shared" si="44"/>
        <v>+</v>
      </c>
      <c r="BE135" s="2">
        <v>46.6</v>
      </c>
      <c r="BF135" s="8" t="str">
        <f t="shared" si="49"/>
        <v>-</v>
      </c>
      <c r="BG135" s="2"/>
      <c r="BH135" s="8" t="str">
        <f t="shared" si="45"/>
        <v>+</v>
      </c>
      <c r="BI135" s="2"/>
      <c r="BJ135" s="8" t="str">
        <f t="shared" si="46"/>
        <v>+</v>
      </c>
      <c r="BK135" s="2"/>
      <c r="BL135" s="8" t="str">
        <f t="shared" si="47"/>
        <v>+</v>
      </c>
    </row>
    <row r="136" spans="1:64">
      <c r="A136" s="1">
        <v>22341</v>
      </c>
      <c r="B136">
        <v>43.6</v>
      </c>
      <c r="C136">
        <v>48.7</v>
      </c>
      <c r="D136">
        <v>34.200000000000003</v>
      </c>
      <c r="E136">
        <v>49.2</v>
      </c>
      <c r="F136">
        <v>41.1</v>
      </c>
      <c r="G136">
        <v>36.6</v>
      </c>
      <c r="I136">
        <v>50.3</v>
      </c>
      <c r="W136" s="1">
        <v>22341</v>
      </c>
      <c r="X136">
        <v>65.059997999999993</v>
      </c>
      <c r="Y136" s="4">
        <f t="shared" si="48"/>
        <v>2.5535924109960861E-2</v>
      </c>
      <c r="Z136" s="4">
        <f t="shared" si="36"/>
        <v>0.17564145283700738</v>
      </c>
      <c r="AA136">
        <v>43.6</v>
      </c>
      <c r="AB136">
        <f t="shared" si="37"/>
        <v>52.3</v>
      </c>
      <c r="AP136" s="3">
        <v>22313</v>
      </c>
      <c r="AQ136" s="2">
        <v>43.9</v>
      </c>
      <c r="AR136" s="2" t="str">
        <f t="shared" si="38"/>
        <v>-</v>
      </c>
      <c r="AS136" s="2">
        <v>47.2</v>
      </c>
      <c r="AT136" s="8" t="str">
        <f t="shared" si="39"/>
        <v>-</v>
      </c>
      <c r="AU136" s="2">
        <v>47.3</v>
      </c>
      <c r="AV136" s="8" t="str">
        <f t="shared" si="40"/>
        <v>-</v>
      </c>
      <c r="AW136" s="2">
        <v>39.700000000000003</v>
      </c>
      <c r="AX136" s="8" t="str">
        <f t="shared" si="41"/>
        <v>-</v>
      </c>
      <c r="AY136" s="2">
        <v>39.200000000000003</v>
      </c>
      <c r="AZ136" s="8" t="str">
        <f t="shared" si="42"/>
        <v>-</v>
      </c>
      <c r="BA136" s="2">
        <v>40.5</v>
      </c>
      <c r="BB136" s="8" t="str">
        <f t="shared" si="43"/>
        <v>+</v>
      </c>
      <c r="BC136" s="2"/>
      <c r="BD136" s="8" t="str">
        <f t="shared" si="44"/>
        <v>+</v>
      </c>
      <c r="BE136" s="2">
        <v>49.1</v>
      </c>
      <c r="BF136" s="8" t="str">
        <f t="shared" si="49"/>
        <v>+</v>
      </c>
      <c r="BG136" s="2"/>
      <c r="BH136" s="8" t="str">
        <f t="shared" si="45"/>
        <v>+</v>
      </c>
      <c r="BI136" s="2"/>
      <c r="BJ136" s="8" t="str">
        <f t="shared" si="46"/>
        <v>+</v>
      </c>
      <c r="BK136" s="2"/>
      <c r="BL136" s="8" t="str">
        <f t="shared" si="47"/>
        <v>+</v>
      </c>
    </row>
    <row r="137" spans="1:64">
      <c r="A137" s="1">
        <v>22372</v>
      </c>
      <c r="B137">
        <v>49.1</v>
      </c>
      <c r="C137">
        <v>55.2</v>
      </c>
      <c r="D137">
        <v>42.2</v>
      </c>
      <c r="E137">
        <v>55.4</v>
      </c>
      <c r="F137">
        <v>42.1</v>
      </c>
      <c r="G137">
        <v>38.9</v>
      </c>
      <c r="I137">
        <v>50.2</v>
      </c>
      <c r="W137" s="1">
        <v>22372</v>
      </c>
      <c r="X137">
        <v>65.309997999999993</v>
      </c>
      <c r="Y137" s="4">
        <f t="shared" si="48"/>
        <v>3.842606942594742E-3</v>
      </c>
      <c r="Z137" s="4">
        <f t="shared" si="36"/>
        <v>0.2012138900352011</v>
      </c>
      <c r="AA137">
        <v>49.1</v>
      </c>
      <c r="AB137">
        <f t="shared" si="37"/>
        <v>47.8</v>
      </c>
      <c r="AP137" s="3">
        <v>22341</v>
      </c>
      <c r="AQ137" s="2">
        <v>43.6</v>
      </c>
      <c r="AR137" s="2" t="str">
        <f t="shared" si="38"/>
        <v>-</v>
      </c>
      <c r="AS137" s="2">
        <v>48.7</v>
      </c>
      <c r="AT137" s="8" t="str">
        <f t="shared" si="39"/>
        <v>+</v>
      </c>
      <c r="AU137" s="2">
        <v>49.2</v>
      </c>
      <c r="AV137" s="8" t="str">
        <f t="shared" si="40"/>
        <v>+</v>
      </c>
      <c r="AW137" s="2">
        <v>34.200000000000003</v>
      </c>
      <c r="AX137" s="8" t="str">
        <f t="shared" si="41"/>
        <v>-</v>
      </c>
      <c r="AY137" s="2">
        <v>41.1</v>
      </c>
      <c r="AZ137" s="8" t="str">
        <f t="shared" si="42"/>
        <v>+</v>
      </c>
      <c r="BA137" s="2">
        <v>36.6</v>
      </c>
      <c r="BB137" s="8" t="str">
        <f t="shared" si="43"/>
        <v>-</v>
      </c>
      <c r="BC137" s="2"/>
      <c r="BD137" s="8" t="str">
        <f t="shared" si="44"/>
        <v>+</v>
      </c>
      <c r="BE137" s="2">
        <v>50.3</v>
      </c>
      <c r="BF137" s="8" t="str">
        <f t="shared" si="49"/>
        <v>+</v>
      </c>
      <c r="BG137" s="2"/>
      <c r="BH137" s="8" t="str">
        <f t="shared" si="45"/>
        <v>+</v>
      </c>
      <c r="BI137" s="2"/>
      <c r="BJ137" s="8" t="str">
        <f t="shared" si="46"/>
        <v>+</v>
      </c>
      <c r="BK137" s="2"/>
      <c r="BL137" s="8" t="str">
        <f t="shared" si="47"/>
        <v>+</v>
      </c>
    </row>
    <row r="138" spans="1:64">
      <c r="A138" s="1">
        <v>22402</v>
      </c>
      <c r="B138">
        <v>57.6</v>
      </c>
      <c r="C138">
        <v>67.7</v>
      </c>
      <c r="D138">
        <v>53.2</v>
      </c>
      <c r="E138">
        <v>61.7</v>
      </c>
      <c r="F138">
        <v>47.5</v>
      </c>
      <c r="G138">
        <v>41.3</v>
      </c>
      <c r="I138">
        <v>51.8</v>
      </c>
      <c r="W138" s="1">
        <v>22402</v>
      </c>
      <c r="X138">
        <v>66.559997999999993</v>
      </c>
      <c r="Y138" s="4">
        <f t="shared" si="48"/>
        <v>1.9139489178976857E-2</v>
      </c>
      <c r="Z138" s="4">
        <f t="shared" si="36"/>
        <v>0.19219050001108709</v>
      </c>
      <c r="AA138">
        <v>57.6</v>
      </c>
      <c r="AB138">
        <f t="shared" si="37"/>
        <v>45.3</v>
      </c>
      <c r="AP138" s="3">
        <v>22372</v>
      </c>
      <c r="AQ138" s="2">
        <v>49.1</v>
      </c>
      <c r="AR138" s="2" t="str">
        <f t="shared" si="38"/>
        <v>+</v>
      </c>
      <c r="AS138" s="2">
        <v>55.2</v>
      </c>
      <c r="AT138" s="8" t="str">
        <f t="shared" si="39"/>
        <v>+</v>
      </c>
      <c r="AU138" s="2">
        <v>55.4</v>
      </c>
      <c r="AV138" s="8" t="str">
        <f t="shared" si="40"/>
        <v>+</v>
      </c>
      <c r="AW138" s="2">
        <v>42.2</v>
      </c>
      <c r="AX138" s="8" t="str">
        <f t="shared" si="41"/>
        <v>+</v>
      </c>
      <c r="AY138" s="2">
        <v>42.1</v>
      </c>
      <c r="AZ138" s="8" t="str">
        <f t="shared" si="42"/>
        <v>+</v>
      </c>
      <c r="BA138" s="2">
        <v>38.9</v>
      </c>
      <c r="BB138" s="8" t="str">
        <f t="shared" si="43"/>
        <v>+</v>
      </c>
      <c r="BC138" s="2"/>
      <c r="BD138" s="8" t="str">
        <f t="shared" si="44"/>
        <v>+</v>
      </c>
      <c r="BE138" s="2">
        <v>50.2</v>
      </c>
      <c r="BF138" s="8" t="str">
        <f t="shared" si="49"/>
        <v>-</v>
      </c>
      <c r="BG138" s="2"/>
      <c r="BH138" s="8" t="str">
        <f t="shared" si="45"/>
        <v>+</v>
      </c>
      <c r="BI138" s="2"/>
      <c r="BJ138" s="8" t="str">
        <f t="shared" si="46"/>
        <v>+</v>
      </c>
      <c r="BK138" s="2"/>
      <c r="BL138" s="8" t="str">
        <f t="shared" si="47"/>
        <v>+</v>
      </c>
    </row>
    <row r="139" spans="1:64">
      <c r="A139" s="1">
        <v>22433</v>
      </c>
      <c r="B139">
        <v>58.9</v>
      </c>
      <c r="C139">
        <v>64.8</v>
      </c>
      <c r="D139">
        <v>56.3</v>
      </c>
      <c r="E139">
        <v>66.599999999999994</v>
      </c>
      <c r="F139">
        <v>47.9</v>
      </c>
      <c r="G139">
        <v>44</v>
      </c>
      <c r="I139">
        <v>55</v>
      </c>
      <c r="W139" s="1">
        <v>22433</v>
      </c>
      <c r="X139">
        <v>64.639999000000003</v>
      </c>
      <c r="Y139" s="4">
        <f t="shared" si="48"/>
        <v>-2.884613968888626E-2</v>
      </c>
      <c r="Z139" s="4">
        <f t="shared" si="36"/>
        <v>0.13562897525049111</v>
      </c>
      <c r="AA139">
        <v>58.9</v>
      </c>
      <c r="AB139">
        <f t="shared" si="37"/>
        <v>42.6</v>
      </c>
      <c r="AP139" s="3">
        <v>22402</v>
      </c>
      <c r="AQ139" s="2">
        <v>57.6</v>
      </c>
      <c r="AR139" s="2" t="str">
        <f t="shared" si="38"/>
        <v>+</v>
      </c>
      <c r="AS139" s="2">
        <v>67.7</v>
      </c>
      <c r="AT139" s="8" t="str">
        <f t="shared" si="39"/>
        <v>+</v>
      </c>
      <c r="AU139" s="2">
        <v>61.7</v>
      </c>
      <c r="AV139" s="8" t="str">
        <f t="shared" si="40"/>
        <v>+</v>
      </c>
      <c r="AW139" s="2">
        <v>53.2</v>
      </c>
      <c r="AX139" s="8" t="str">
        <f t="shared" si="41"/>
        <v>+</v>
      </c>
      <c r="AY139" s="2">
        <v>47.5</v>
      </c>
      <c r="AZ139" s="8" t="str">
        <f t="shared" si="42"/>
        <v>+</v>
      </c>
      <c r="BA139" s="2">
        <v>41.3</v>
      </c>
      <c r="BB139" s="8" t="str">
        <f t="shared" si="43"/>
        <v>+</v>
      </c>
      <c r="BC139" s="2"/>
      <c r="BD139" s="8" t="str">
        <f t="shared" si="44"/>
        <v>+</v>
      </c>
      <c r="BE139" s="2">
        <v>51.8</v>
      </c>
      <c r="BF139" s="8" t="str">
        <f t="shared" si="49"/>
        <v>+</v>
      </c>
      <c r="BG139" s="2"/>
      <c r="BH139" s="8" t="str">
        <f t="shared" si="45"/>
        <v>+</v>
      </c>
      <c r="BI139" s="2"/>
      <c r="BJ139" s="8" t="str">
        <f t="shared" si="46"/>
        <v>+</v>
      </c>
      <c r="BK139" s="2"/>
      <c r="BL139" s="8" t="str">
        <f t="shared" si="47"/>
        <v>+</v>
      </c>
    </row>
    <row r="140" spans="1:64">
      <c r="A140" s="1">
        <v>22463</v>
      </c>
      <c r="B140">
        <v>58.1</v>
      </c>
      <c r="C140">
        <v>64</v>
      </c>
      <c r="D140">
        <v>55.1</v>
      </c>
      <c r="E140">
        <v>65.3</v>
      </c>
      <c r="F140">
        <v>49.3</v>
      </c>
      <c r="G140">
        <v>42</v>
      </c>
      <c r="I140">
        <v>50</v>
      </c>
      <c r="W140" s="1">
        <v>22463</v>
      </c>
      <c r="X140">
        <v>66.760002</v>
      </c>
      <c r="Y140" s="4">
        <f t="shared" si="48"/>
        <v>3.2797076621241858E-2</v>
      </c>
      <c r="Z140" s="4">
        <f t="shared" si="36"/>
        <v>0.20266626563380521</v>
      </c>
      <c r="AA140">
        <v>58.1</v>
      </c>
      <c r="AB140">
        <f t="shared" si="37"/>
        <v>44.4</v>
      </c>
      <c r="AP140" s="3">
        <v>22433</v>
      </c>
      <c r="AQ140" s="2">
        <v>58.9</v>
      </c>
      <c r="AR140" s="2" t="str">
        <f t="shared" si="38"/>
        <v>+</v>
      </c>
      <c r="AS140" s="2">
        <v>64.8</v>
      </c>
      <c r="AT140" s="8" t="str">
        <f t="shared" si="39"/>
        <v>-</v>
      </c>
      <c r="AU140" s="2">
        <v>66.599999999999994</v>
      </c>
      <c r="AV140" s="8" t="str">
        <f t="shared" si="40"/>
        <v>+</v>
      </c>
      <c r="AW140" s="2">
        <v>56.3</v>
      </c>
      <c r="AX140" s="8" t="str">
        <f t="shared" si="41"/>
        <v>+</v>
      </c>
      <c r="AY140" s="2">
        <v>47.9</v>
      </c>
      <c r="AZ140" s="8" t="str">
        <f t="shared" si="42"/>
        <v>+</v>
      </c>
      <c r="BA140" s="2">
        <v>44</v>
      </c>
      <c r="BB140" s="8" t="str">
        <f t="shared" si="43"/>
        <v>+</v>
      </c>
      <c r="BC140" s="2"/>
      <c r="BD140" s="8" t="str">
        <f t="shared" si="44"/>
        <v>+</v>
      </c>
      <c r="BE140" s="2">
        <v>55</v>
      </c>
      <c r="BF140" s="8" t="str">
        <f t="shared" si="49"/>
        <v>+</v>
      </c>
      <c r="BG140" s="2"/>
      <c r="BH140" s="8" t="str">
        <f t="shared" si="45"/>
        <v>+</v>
      </c>
      <c r="BI140" s="2"/>
      <c r="BJ140" s="8" t="str">
        <f t="shared" si="46"/>
        <v>+</v>
      </c>
      <c r="BK140" s="2"/>
      <c r="BL140" s="8" t="str">
        <f t="shared" si="47"/>
        <v>+</v>
      </c>
    </row>
    <row r="141" spans="1:64">
      <c r="A141" s="1">
        <v>22494</v>
      </c>
      <c r="B141">
        <v>58.2</v>
      </c>
      <c r="C141">
        <v>64.5</v>
      </c>
      <c r="D141">
        <v>54.1</v>
      </c>
      <c r="E141">
        <v>64.3</v>
      </c>
      <c r="F141">
        <v>49.4</v>
      </c>
      <c r="G141">
        <v>45.3</v>
      </c>
      <c r="I141">
        <v>50.9</v>
      </c>
      <c r="W141" s="1">
        <v>22494</v>
      </c>
      <c r="X141">
        <v>68.069999999999993</v>
      </c>
      <c r="Y141" s="4">
        <f t="shared" si="48"/>
        <v>1.9622497914245016E-2</v>
      </c>
      <c r="Z141" s="4">
        <f t="shared" si="36"/>
        <v>0.19504917828386881</v>
      </c>
      <c r="AA141">
        <v>58.2</v>
      </c>
      <c r="AB141">
        <f t="shared" si="37"/>
        <v>43.7</v>
      </c>
      <c r="AP141" s="3">
        <v>22463</v>
      </c>
      <c r="AQ141" s="2">
        <v>58.1</v>
      </c>
      <c r="AR141" s="2" t="str">
        <f t="shared" si="38"/>
        <v>-</v>
      </c>
      <c r="AS141" s="2">
        <v>64</v>
      </c>
      <c r="AT141" s="8" t="str">
        <f t="shared" si="39"/>
        <v>-</v>
      </c>
      <c r="AU141" s="2">
        <v>65.3</v>
      </c>
      <c r="AV141" s="8" t="str">
        <f t="shared" si="40"/>
        <v>-</v>
      </c>
      <c r="AW141" s="2">
        <v>55.1</v>
      </c>
      <c r="AX141" s="8" t="str">
        <f t="shared" si="41"/>
        <v>-</v>
      </c>
      <c r="AY141" s="2">
        <v>49.3</v>
      </c>
      <c r="AZ141" s="8" t="str">
        <f t="shared" si="42"/>
        <v>+</v>
      </c>
      <c r="BA141" s="2">
        <v>42</v>
      </c>
      <c r="BB141" s="8" t="str">
        <f t="shared" si="43"/>
        <v>-</v>
      </c>
      <c r="BC141" s="2"/>
      <c r="BD141" s="8" t="str">
        <f t="shared" si="44"/>
        <v>+</v>
      </c>
      <c r="BE141" s="2">
        <v>50</v>
      </c>
      <c r="BF141" s="8" t="str">
        <f t="shared" si="49"/>
        <v>-</v>
      </c>
      <c r="BG141" s="2"/>
      <c r="BH141" s="8" t="str">
        <f t="shared" si="45"/>
        <v>+</v>
      </c>
      <c r="BI141" s="2"/>
      <c r="BJ141" s="8" t="str">
        <f t="shared" si="46"/>
        <v>+</v>
      </c>
      <c r="BK141" s="2"/>
      <c r="BL141" s="8" t="str">
        <f t="shared" si="47"/>
        <v>+</v>
      </c>
    </row>
    <row r="142" spans="1:64">
      <c r="A142" s="1">
        <v>22525</v>
      </c>
      <c r="B142">
        <v>60.7</v>
      </c>
      <c r="C142">
        <v>62.9</v>
      </c>
      <c r="D142">
        <v>58.3</v>
      </c>
      <c r="E142">
        <v>68.400000000000006</v>
      </c>
      <c r="F142">
        <v>50.6</v>
      </c>
      <c r="G142">
        <v>54.5</v>
      </c>
      <c r="I142">
        <v>52.2</v>
      </c>
      <c r="W142" s="1">
        <v>22525</v>
      </c>
      <c r="X142">
        <v>66.730002999999996</v>
      </c>
      <c r="Y142" s="4">
        <f t="shared" si="48"/>
        <v>-1.9685573674158907E-2</v>
      </c>
      <c r="Z142" s="4">
        <f t="shared" si="36"/>
        <v>0.24682367339312392</v>
      </c>
      <c r="AA142">
        <v>60.7</v>
      </c>
      <c r="AB142">
        <f t="shared" si="37"/>
        <v>47.6</v>
      </c>
      <c r="AP142" s="3">
        <v>22494</v>
      </c>
      <c r="AQ142" s="2">
        <v>58.2</v>
      </c>
      <c r="AR142" s="2" t="str">
        <f t="shared" si="38"/>
        <v>+</v>
      </c>
      <c r="AS142" s="2">
        <v>64.5</v>
      </c>
      <c r="AT142" s="8" t="str">
        <f t="shared" si="39"/>
        <v>+</v>
      </c>
      <c r="AU142" s="2">
        <v>64.3</v>
      </c>
      <c r="AV142" s="8" t="str">
        <f t="shared" si="40"/>
        <v>-</v>
      </c>
      <c r="AW142" s="2">
        <v>54.1</v>
      </c>
      <c r="AX142" s="8" t="str">
        <f t="shared" si="41"/>
        <v>-</v>
      </c>
      <c r="AY142" s="2">
        <v>49.4</v>
      </c>
      <c r="AZ142" s="8" t="str">
        <f t="shared" si="42"/>
        <v>+</v>
      </c>
      <c r="BA142" s="2">
        <v>45.3</v>
      </c>
      <c r="BB142" s="8" t="str">
        <f t="shared" si="43"/>
        <v>+</v>
      </c>
      <c r="BC142" s="2"/>
      <c r="BD142" s="8" t="str">
        <f t="shared" si="44"/>
        <v>+</v>
      </c>
      <c r="BE142" s="2">
        <v>50.9</v>
      </c>
      <c r="BF142" s="8" t="str">
        <f t="shared" si="49"/>
        <v>+</v>
      </c>
      <c r="BG142" s="2"/>
      <c r="BH142" s="8" t="str">
        <f t="shared" si="45"/>
        <v>+</v>
      </c>
      <c r="BI142" s="2"/>
      <c r="BJ142" s="8" t="str">
        <f t="shared" si="46"/>
        <v>+</v>
      </c>
      <c r="BK142" s="2"/>
      <c r="BL142" s="8" t="str">
        <f t="shared" si="47"/>
        <v>+</v>
      </c>
    </row>
    <row r="143" spans="1:64">
      <c r="A143" s="1">
        <v>22555</v>
      </c>
      <c r="B143">
        <v>63</v>
      </c>
      <c r="C143">
        <v>69.5</v>
      </c>
      <c r="D143">
        <v>61.1</v>
      </c>
      <c r="E143">
        <v>66.8</v>
      </c>
      <c r="F143">
        <v>50.7</v>
      </c>
      <c r="G143">
        <v>56.3</v>
      </c>
      <c r="I143">
        <v>53.9</v>
      </c>
      <c r="W143" s="1">
        <v>22555</v>
      </c>
      <c r="X143">
        <v>68.620002999999997</v>
      </c>
      <c r="Y143" s="4">
        <f t="shared" si="48"/>
        <v>2.832309178826203E-2</v>
      </c>
      <c r="Z143" s="4">
        <f t="shared" ref="Z143:Z206" si="50">(X143-X131)/X131</f>
        <v>0.2852594921382185</v>
      </c>
      <c r="AA143">
        <v>63</v>
      </c>
      <c r="AB143">
        <f t="shared" ref="AB143:AB206" si="51">AA131</f>
        <v>45.4</v>
      </c>
      <c r="AP143" s="3">
        <v>22525</v>
      </c>
      <c r="AQ143" s="2">
        <v>60.7</v>
      </c>
      <c r="AR143" s="2" t="str">
        <f t="shared" si="38"/>
        <v>+</v>
      </c>
      <c r="AS143" s="2">
        <v>62.9</v>
      </c>
      <c r="AT143" s="8" t="str">
        <f t="shared" si="39"/>
        <v>-</v>
      </c>
      <c r="AU143" s="2">
        <v>68.400000000000006</v>
      </c>
      <c r="AV143" s="8" t="str">
        <f t="shared" si="40"/>
        <v>+</v>
      </c>
      <c r="AW143" s="2">
        <v>58.3</v>
      </c>
      <c r="AX143" s="8" t="str">
        <f t="shared" si="41"/>
        <v>+</v>
      </c>
      <c r="AY143" s="2">
        <v>50.6</v>
      </c>
      <c r="AZ143" s="8" t="str">
        <f t="shared" si="42"/>
        <v>+</v>
      </c>
      <c r="BA143" s="2">
        <v>54.5</v>
      </c>
      <c r="BB143" s="8" t="str">
        <f t="shared" si="43"/>
        <v>+</v>
      </c>
      <c r="BC143" s="2"/>
      <c r="BD143" s="8" t="str">
        <f t="shared" si="44"/>
        <v>+</v>
      </c>
      <c r="BE143" s="2">
        <v>52.2</v>
      </c>
      <c r="BF143" s="8" t="str">
        <f t="shared" si="49"/>
        <v>+</v>
      </c>
      <c r="BG143" s="2"/>
      <c r="BH143" s="8" t="str">
        <f t="shared" si="45"/>
        <v>+</v>
      </c>
      <c r="BI143" s="2"/>
      <c r="BJ143" s="8" t="str">
        <f t="shared" si="46"/>
        <v>+</v>
      </c>
      <c r="BK143" s="2"/>
      <c r="BL143" s="8" t="str">
        <f t="shared" si="47"/>
        <v>+</v>
      </c>
    </row>
    <row r="144" spans="1:64">
      <c r="A144" s="1">
        <v>22586</v>
      </c>
      <c r="B144">
        <v>62.2</v>
      </c>
      <c r="C144">
        <v>68.3</v>
      </c>
      <c r="D144">
        <v>58.2</v>
      </c>
      <c r="E144">
        <v>66.3</v>
      </c>
      <c r="F144">
        <v>52.4</v>
      </c>
      <c r="G144">
        <v>56.7</v>
      </c>
      <c r="I144">
        <v>55.5</v>
      </c>
      <c r="W144" s="1">
        <v>22586</v>
      </c>
      <c r="X144">
        <v>71.319999999999993</v>
      </c>
      <c r="Y144" s="4">
        <f t="shared" si="48"/>
        <v>3.9347083677626717E-2</v>
      </c>
      <c r="Z144" s="4">
        <f t="shared" si="50"/>
        <v>0.28411953035434762</v>
      </c>
      <c r="AA144">
        <v>62.2</v>
      </c>
      <c r="AB144">
        <f t="shared" si="51"/>
        <v>46</v>
      </c>
      <c r="AP144" s="3">
        <v>22555</v>
      </c>
      <c r="AQ144" s="2">
        <v>63</v>
      </c>
      <c r="AR144" s="2" t="str">
        <f t="shared" si="38"/>
        <v>+</v>
      </c>
      <c r="AS144" s="2">
        <v>69.5</v>
      </c>
      <c r="AT144" s="8" t="str">
        <f t="shared" si="39"/>
        <v>+</v>
      </c>
      <c r="AU144" s="2">
        <v>66.8</v>
      </c>
      <c r="AV144" s="8" t="str">
        <f t="shared" si="40"/>
        <v>-</v>
      </c>
      <c r="AW144" s="2">
        <v>61.1</v>
      </c>
      <c r="AX144" s="8" t="str">
        <f t="shared" si="41"/>
        <v>+</v>
      </c>
      <c r="AY144" s="2">
        <v>50.7</v>
      </c>
      <c r="AZ144" s="8" t="str">
        <f t="shared" si="42"/>
        <v>+</v>
      </c>
      <c r="BA144" s="2">
        <v>56.3</v>
      </c>
      <c r="BB144" s="8" t="str">
        <f t="shared" si="43"/>
        <v>+</v>
      </c>
      <c r="BC144" s="2"/>
      <c r="BD144" s="8" t="str">
        <f t="shared" si="44"/>
        <v>+</v>
      </c>
      <c r="BE144" s="2">
        <v>53.9</v>
      </c>
      <c r="BF144" s="8" t="str">
        <f t="shared" si="49"/>
        <v>+</v>
      </c>
      <c r="BG144" s="2"/>
      <c r="BH144" s="8" t="str">
        <f t="shared" si="45"/>
        <v>+</v>
      </c>
      <c r="BI144" s="2"/>
      <c r="BJ144" s="8" t="str">
        <f t="shared" si="46"/>
        <v>+</v>
      </c>
      <c r="BK144" s="2"/>
      <c r="BL144" s="8" t="str">
        <f t="shared" si="47"/>
        <v>+</v>
      </c>
    </row>
    <row r="145" spans="1:64">
      <c r="A145" s="1">
        <v>22616</v>
      </c>
      <c r="B145">
        <v>59</v>
      </c>
      <c r="C145">
        <v>65.099999999999994</v>
      </c>
      <c r="D145">
        <v>59</v>
      </c>
      <c r="E145">
        <v>58.3</v>
      </c>
      <c r="F145">
        <v>51.1</v>
      </c>
      <c r="G145">
        <v>54.6</v>
      </c>
      <c r="I145">
        <v>51.9</v>
      </c>
      <c r="W145" s="1">
        <v>22616</v>
      </c>
      <c r="X145">
        <v>71.550003000000004</v>
      </c>
      <c r="Y145" s="4">
        <f t="shared" si="48"/>
        <v>3.2249439147505696E-3</v>
      </c>
      <c r="Z145" s="4">
        <f t="shared" si="50"/>
        <v>0.23128552346781078</v>
      </c>
      <c r="AA145">
        <v>59</v>
      </c>
      <c r="AB145">
        <f t="shared" si="51"/>
        <v>44.3</v>
      </c>
      <c r="AP145" s="3">
        <v>22586</v>
      </c>
      <c r="AQ145" s="2">
        <v>62.2</v>
      </c>
      <c r="AR145" s="2" t="str">
        <f t="shared" si="38"/>
        <v>-</v>
      </c>
      <c r="AS145" s="2">
        <v>68.3</v>
      </c>
      <c r="AT145" s="8" t="str">
        <f t="shared" si="39"/>
        <v>-</v>
      </c>
      <c r="AU145" s="2">
        <v>66.3</v>
      </c>
      <c r="AV145" s="8" t="str">
        <f t="shared" si="40"/>
        <v>-</v>
      </c>
      <c r="AW145" s="2">
        <v>58.2</v>
      </c>
      <c r="AX145" s="8" t="str">
        <f t="shared" si="41"/>
        <v>-</v>
      </c>
      <c r="AY145" s="2">
        <v>52.4</v>
      </c>
      <c r="AZ145" s="8" t="str">
        <f t="shared" si="42"/>
        <v>+</v>
      </c>
      <c r="BA145" s="2">
        <v>56.7</v>
      </c>
      <c r="BB145" s="8" t="str">
        <f t="shared" si="43"/>
        <v>+</v>
      </c>
      <c r="BC145" s="2"/>
      <c r="BD145" s="8" t="str">
        <f t="shared" si="44"/>
        <v>+</v>
      </c>
      <c r="BE145" s="2">
        <v>55.5</v>
      </c>
      <c r="BF145" s="8" t="str">
        <f t="shared" si="49"/>
        <v>+</v>
      </c>
      <c r="BG145" s="2"/>
      <c r="BH145" s="8" t="str">
        <f t="shared" si="45"/>
        <v>+</v>
      </c>
      <c r="BI145" s="2"/>
      <c r="BJ145" s="8" t="str">
        <f t="shared" si="46"/>
        <v>+</v>
      </c>
      <c r="BK145" s="2"/>
      <c r="BL145" s="8" t="str">
        <f t="shared" si="47"/>
        <v>+</v>
      </c>
    </row>
    <row r="146" spans="1:64">
      <c r="A146" s="1">
        <v>22647</v>
      </c>
      <c r="B146">
        <v>64.2</v>
      </c>
      <c r="C146">
        <v>73.400000000000006</v>
      </c>
      <c r="D146">
        <v>58.6</v>
      </c>
      <c r="E146">
        <v>66.099999999999994</v>
      </c>
      <c r="F146">
        <v>55.8</v>
      </c>
      <c r="G146">
        <v>56.1</v>
      </c>
      <c r="I146">
        <v>56.3</v>
      </c>
      <c r="W146" s="1">
        <v>22647</v>
      </c>
      <c r="X146">
        <v>68.839995999999999</v>
      </c>
      <c r="Y146" s="4">
        <f t="shared" si="48"/>
        <v>-3.7875707706119935E-2</v>
      </c>
      <c r="Z146" s="4">
        <f t="shared" si="50"/>
        <v>0.11427641816569151</v>
      </c>
      <c r="AA146">
        <v>64.2</v>
      </c>
      <c r="AB146">
        <f t="shared" si="51"/>
        <v>44.3</v>
      </c>
      <c r="AP146" s="3">
        <v>22616</v>
      </c>
      <c r="AQ146" s="2">
        <v>59</v>
      </c>
      <c r="AR146" s="2" t="str">
        <f t="shared" si="38"/>
        <v>-</v>
      </c>
      <c r="AS146" s="2">
        <v>65.099999999999994</v>
      </c>
      <c r="AT146" s="8" t="str">
        <f t="shared" si="39"/>
        <v>-</v>
      </c>
      <c r="AU146" s="2">
        <v>58.3</v>
      </c>
      <c r="AV146" s="8" t="str">
        <f t="shared" si="40"/>
        <v>-</v>
      </c>
      <c r="AW146" s="2">
        <v>59</v>
      </c>
      <c r="AX146" s="8" t="str">
        <f t="shared" si="41"/>
        <v>+</v>
      </c>
      <c r="AY146" s="2">
        <v>51.1</v>
      </c>
      <c r="AZ146" s="8" t="str">
        <f t="shared" si="42"/>
        <v>-</v>
      </c>
      <c r="BA146" s="2">
        <v>54.6</v>
      </c>
      <c r="BB146" s="8" t="str">
        <f t="shared" si="43"/>
        <v>-</v>
      </c>
      <c r="BC146" s="2"/>
      <c r="BD146" s="8" t="str">
        <f t="shared" si="44"/>
        <v>+</v>
      </c>
      <c r="BE146" s="2">
        <v>51.9</v>
      </c>
      <c r="BF146" s="8" t="str">
        <f t="shared" si="49"/>
        <v>-</v>
      </c>
      <c r="BG146" s="2"/>
      <c r="BH146" s="8" t="str">
        <f t="shared" si="45"/>
        <v>+</v>
      </c>
      <c r="BI146" s="2"/>
      <c r="BJ146" s="8" t="str">
        <f t="shared" si="46"/>
        <v>+</v>
      </c>
      <c r="BK146" s="2"/>
      <c r="BL146" s="8" t="str">
        <f t="shared" si="47"/>
        <v>+</v>
      </c>
    </row>
    <row r="147" spans="1:64">
      <c r="A147" s="1">
        <v>22678</v>
      </c>
      <c r="B147">
        <v>60.9</v>
      </c>
      <c r="C147">
        <v>59.4</v>
      </c>
      <c r="D147">
        <v>60.3</v>
      </c>
      <c r="E147">
        <v>66.400000000000006</v>
      </c>
      <c r="F147">
        <v>57.1</v>
      </c>
      <c r="G147">
        <v>59</v>
      </c>
      <c r="I147">
        <v>57.1</v>
      </c>
      <c r="W147" s="1">
        <v>22678</v>
      </c>
      <c r="X147">
        <v>69.959998999999996</v>
      </c>
      <c r="Y147" s="4">
        <f t="shared" si="48"/>
        <v>1.626965521613332E-2</v>
      </c>
      <c r="Z147" s="4">
        <f t="shared" si="50"/>
        <v>0.10277427652544566</v>
      </c>
      <c r="AA147">
        <v>60.9</v>
      </c>
      <c r="AB147">
        <f t="shared" si="51"/>
        <v>43.9</v>
      </c>
      <c r="AP147" s="3">
        <v>22647</v>
      </c>
      <c r="AQ147" s="2">
        <v>64.2</v>
      </c>
      <c r="AR147" s="2" t="str">
        <f t="shared" si="38"/>
        <v>+</v>
      </c>
      <c r="AS147" s="2">
        <v>73.400000000000006</v>
      </c>
      <c r="AT147" s="8" t="str">
        <f t="shared" si="39"/>
        <v>+</v>
      </c>
      <c r="AU147" s="2">
        <v>66.099999999999994</v>
      </c>
      <c r="AV147" s="8" t="str">
        <f t="shared" si="40"/>
        <v>+</v>
      </c>
      <c r="AW147" s="2">
        <v>58.6</v>
      </c>
      <c r="AX147" s="8" t="str">
        <f t="shared" si="41"/>
        <v>-</v>
      </c>
      <c r="AY147" s="2">
        <v>55.8</v>
      </c>
      <c r="AZ147" s="8" t="str">
        <f t="shared" si="42"/>
        <v>+</v>
      </c>
      <c r="BA147" s="2">
        <v>56.1</v>
      </c>
      <c r="BB147" s="8" t="str">
        <f t="shared" si="43"/>
        <v>+</v>
      </c>
      <c r="BC147" s="2"/>
      <c r="BD147" s="8" t="str">
        <f t="shared" si="44"/>
        <v>+</v>
      </c>
      <c r="BE147" s="2">
        <v>56.3</v>
      </c>
      <c r="BF147" s="8" t="str">
        <f t="shared" si="49"/>
        <v>+</v>
      </c>
      <c r="BG147" s="2"/>
      <c r="BH147" s="8" t="str">
        <f t="shared" si="45"/>
        <v>+</v>
      </c>
      <c r="BI147" s="2"/>
      <c r="BJ147" s="8" t="str">
        <f t="shared" si="46"/>
        <v>+</v>
      </c>
      <c r="BK147" s="2"/>
      <c r="BL147" s="8" t="str">
        <f t="shared" si="47"/>
        <v>+</v>
      </c>
    </row>
    <row r="148" spans="1:64">
      <c r="A148" s="1">
        <v>22706</v>
      </c>
      <c r="B148">
        <v>61.1</v>
      </c>
      <c r="C148">
        <v>61.8</v>
      </c>
      <c r="D148">
        <v>60.5</v>
      </c>
      <c r="E148">
        <v>64.7</v>
      </c>
      <c r="F148">
        <v>56.2</v>
      </c>
      <c r="G148">
        <v>58.6</v>
      </c>
      <c r="I148">
        <v>54.7</v>
      </c>
      <c r="W148" s="1">
        <v>22706</v>
      </c>
      <c r="X148">
        <v>69.550003000000004</v>
      </c>
      <c r="Y148" s="4">
        <f t="shared" si="48"/>
        <v>-5.8604346177876946E-3</v>
      </c>
      <c r="Z148" s="4">
        <f t="shared" si="50"/>
        <v>6.9013297541140578E-2</v>
      </c>
      <c r="AA148">
        <v>61.1</v>
      </c>
      <c r="AB148">
        <f t="shared" si="51"/>
        <v>43.6</v>
      </c>
      <c r="AP148" s="3">
        <v>22678</v>
      </c>
      <c r="AQ148" s="2">
        <v>60.9</v>
      </c>
      <c r="AR148" s="2" t="str">
        <f t="shared" si="38"/>
        <v>-</v>
      </c>
      <c r="AS148" s="2">
        <v>59.4</v>
      </c>
      <c r="AT148" s="8" t="str">
        <f t="shared" si="39"/>
        <v>-</v>
      </c>
      <c r="AU148" s="2">
        <v>66.400000000000006</v>
      </c>
      <c r="AV148" s="8" t="str">
        <f t="shared" si="40"/>
        <v>+</v>
      </c>
      <c r="AW148" s="2">
        <v>60.3</v>
      </c>
      <c r="AX148" s="8" t="str">
        <f t="shared" si="41"/>
        <v>+</v>
      </c>
      <c r="AY148" s="2">
        <v>57.1</v>
      </c>
      <c r="AZ148" s="8" t="str">
        <f t="shared" si="42"/>
        <v>+</v>
      </c>
      <c r="BA148" s="2">
        <v>59</v>
      </c>
      <c r="BB148" s="8" t="str">
        <f t="shared" si="43"/>
        <v>+</v>
      </c>
      <c r="BC148" s="2"/>
      <c r="BD148" s="8" t="str">
        <f t="shared" si="44"/>
        <v>+</v>
      </c>
      <c r="BE148" s="2">
        <v>57.1</v>
      </c>
      <c r="BF148" s="8" t="str">
        <f t="shared" si="49"/>
        <v>+</v>
      </c>
      <c r="BG148" s="2"/>
      <c r="BH148" s="8" t="str">
        <f t="shared" si="45"/>
        <v>+</v>
      </c>
      <c r="BI148" s="2"/>
      <c r="BJ148" s="8" t="str">
        <f t="shared" si="46"/>
        <v>+</v>
      </c>
      <c r="BK148" s="2"/>
      <c r="BL148" s="8" t="str">
        <f t="shared" si="47"/>
        <v>+</v>
      </c>
    </row>
    <row r="149" spans="1:64">
      <c r="A149" s="1">
        <v>22737</v>
      </c>
      <c r="B149">
        <v>60.6</v>
      </c>
      <c r="C149">
        <v>60.1</v>
      </c>
      <c r="D149">
        <v>57.6</v>
      </c>
      <c r="E149">
        <v>66.900000000000006</v>
      </c>
      <c r="F149">
        <v>57</v>
      </c>
      <c r="G149">
        <v>57.5</v>
      </c>
      <c r="I149">
        <v>56.8</v>
      </c>
      <c r="W149" s="1">
        <v>22737</v>
      </c>
      <c r="X149">
        <v>65.239998</v>
      </c>
      <c r="Y149" s="4">
        <f t="shared" si="48"/>
        <v>-6.1969875112730097E-2</v>
      </c>
      <c r="Z149" s="4">
        <f t="shared" si="50"/>
        <v>-1.0718113940225995E-3</v>
      </c>
      <c r="AA149">
        <v>60.6</v>
      </c>
      <c r="AB149">
        <f t="shared" si="51"/>
        <v>49.1</v>
      </c>
      <c r="AP149" s="3">
        <v>22706</v>
      </c>
      <c r="AQ149" s="2">
        <v>61.1</v>
      </c>
      <c r="AR149" s="2" t="str">
        <f t="shared" si="38"/>
        <v>+</v>
      </c>
      <c r="AS149" s="2">
        <v>61.8</v>
      </c>
      <c r="AT149" s="8" t="str">
        <f t="shared" si="39"/>
        <v>+</v>
      </c>
      <c r="AU149" s="2">
        <v>64.7</v>
      </c>
      <c r="AV149" s="8" t="str">
        <f t="shared" si="40"/>
        <v>-</v>
      </c>
      <c r="AW149" s="2">
        <v>60.5</v>
      </c>
      <c r="AX149" s="8" t="str">
        <f t="shared" si="41"/>
        <v>+</v>
      </c>
      <c r="AY149" s="2">
        <v>56.2</v>
      </c>
      <c r="AZ149" s="8" t="str">
        <f t="shared" si="42"/>
        <v>-</v>
      </c>
      <c r="BA149" s="2">
        <v>58.6</v>
      </c>
      <c r="BB149" s="8" t="str">
        <f t="shared" si="43"/>
        <v>-</v>
      </c>
      <c r="BC149" s="2"/>
      <c r="BD149" s="8" t="str">
        <f t="shared" si="44"/>
        <v>+</v>
      </c>
      <c r="BE149" s="2">
        <v>54.7</v>
      </c>
      <c r="BF149" s="8" t="str">
        <f t="shared" si="49"/>
        <v>-</v>
      </c>
      <c r="BG149" s="2"/>
      <c r="BH149" s="8" t="str">
        <f t="shared" si="45"/>
        <v>+</v>
      </c>
      <c r="BI149" s="2"/>
      <c r="BJ149" s="8" t="str">
        <f t="shared" si="46"/>
        <v>+</v>
      </c>
      <c r="BK149" s="2"/>
      <c r="BL149" s="8" t="str">
        <f t="shared" si="47"/>
        <v>+</v>
      </c>
    </row>
    <row r="150" spans="1:64">
      <c r="A150" s="1">
        <v>22767</v>
      </c>
      <c r="B150">
        <v>55.1</v>
      </c>
      <c r="C150">
        <v>57.3</v>
      </c>
      <c r="D150">
        <v>55.6</v>
      </c>
      <c r="E150">
        <v>57.4</v>
      </c>
      <c r="F150">
        <v>47.4</v>
      </c>
      <c r="G150">
        <v>53.5</v>
      </c>
      <c r="I150">
        <v>53.6</v>
      </c>
      <c r="W150" s="1">
        <v>22767</v>
      </c>
      <c r="X150">
        <v>59.630001</v>
      </c>
      <c r="Y150" s="4">
        <f t="shared" si="48"/>
        <v>-8.5990146719501739E-2</v>
      </c>
      <c r="Z150" s="4">
        <f t="shared" si="50"/>
        <v>-0.104116544594848</v>
      </c>
      <c r="AA150">
        <v>55.1</v>
      </c>
      <c r="AB150">
        <f t="shared" si="51"/>
        <v>57.6</v>
      </c>
      <c r="AP150" s="3">
        <v>22737</v>
      </c>
      <c r="AQ150" s="2">
        <v>60.6</v>
      </c>
      <c r="AR150" s="2" t="str">
        <f t="shared" si="38"/>
        <v>-</v>
      </c>
      <c r="AS150" s="2">
        <v>60.1</v>
      </c>
      <c r="AT150" s="8" t="str">
        <f t="shared" si="39"/>
        <v>-</v>
      </c>
      <c r="AU150" s="2">
        <v>66.900000000000006</v>
      </c>
      <c r="AV150" s="8" t="str">
        <f t="shared" si="40"/>
        <v>+</v>
      </c>
      <c r="AW150" s="2">
        <v>57.6</v>
      </c>
      <c r="AX150" s="8" t="str">
        <f t="shared" si="41"/>
        <v>-</v>
      </c>
      <c r="AY150" s="2">
        <v>57</v>
      </c>
      <c r="AZ150" s="8" t="str">
        <f t="shared" si="42"/>
        <v>+</v>
      </c>
      <c r="BA150" s="2">
        <v>57.5</v>
      </c>
      <c r="BB150" s="8" t="str">
        <f t="shared" si="43"/>
        <v>-</v>
      </c>
      <c r="BC150" s="2"/>
      <c r="BD150" s="8" t="str">
        <f t="shared" si="44"/>
        <v>+</v>
      </c>
      <c r="BE150" s="2">
        <v>56.8</v>
      </c>
      <c r="BF150" s="8" t="str">
        <f t="shared" si="49"/>
        <v>+</v>
      </c>
      <c r="BG150" s="2"/>
      <c r="BH150" s="8" t="str">
        <f t="shared" si="45"/>
        <v>+</v>
      </c>
      <c r="BI150" s="2"/>
      <c r="BJ150" s="8" t="str">
        <f t="shared" si="46"/>
        <v>+</v>
      </c>
      <c r="BK150" s="2"/>
      <c r="BL150" s="8" t="str">
        <f t="shared" si="47"/>
        <v>+</v>
      </c>
    </row>
    <row r="151" spans="1:64">
      <c r="A151" s="1">
        <v>22798</v>
      </c>
      <c r="B151">
        <v>52.2</v>
      </c>
      <c r="C151">
        <v>53.6</v>
      </c>
      <c r="D151">
        <v>52.3</v>
      </c>
      <c r="E151">
        <v>55.3</v>
      </c>
      <c r="F151">
        <v>45.2</v>
      </c>
      <c r="G151">
        <v>50.3</v>
      </c>
      <c r="I151">
        <v>52</v>
      </c>
      <c r="W151" s="1">
        <v>22798</v>
      </c>
      <c r="X151">
        <v>54.75</v>
      </c>
      <c r="Y151" s="4">
        <f t="shared" si="48"/>
        <v>-8.183801640385685E-2</v>
      </c>
      <c r="Z151" s="4">
        <f t="shared" si="50"/>
        <v>-0.15300122452043977</v>
      </c>
      <c r="AA151">
        <v>52.2</v>
      </c>
      <c r="AB151">
        <f t="shared" si="51"/>
        <v>58.9</v>
      </c>
      <c r="AP151" s="3">
        <v>22767</v>
      </c>
      <c r="AQ151" s="2">
        <v>55.1</v>
      </c>
      <c r="AR151" s="2" t="str">
        <f t="shared" si="38"/>
        <v>-</v>
      </c>
      <c r="AS151" s="2">
        <v>57.3</v>
      </c>
      <c r="AT151" s="8" t="str">
        <f t="shared" si="39"/>
        <v>-</v>
      </c>
      <c r="AU151" s="2">
        <v>57.4</v>
      </c>
      <c r="AV151" s="8" t="str">
        <f t="shared" si="40"/>
        <v>-</v>
      </c>
      <c r="AW151" s="2">
        <v>55.6</v>
      </c>
      <c r="AX151" s="8" t="str">
        <f t="shared" si="41"/>
        <v>-</v>
      </c>
      <c r="AY151" s="2">
        <v>47.4</v>
      </c>
      <c r="AZ151" s="8" t="str">
        <f t="shared" si="42"/>
        <v>-</v>
      </c>
      <c r="BA151" s="2">
        <v>53.5</v>
      </c>
      <c r="BB151" s="8" t="str">
        <f t="shared" si="43"/>
        <v>-</v>
      </c>
      <c r="BC151" s="2"/>
      <c r="BD151" s="8" t="str">
        <f t="shared" si="44"/>
        <v>+</v>
      </c>
      <c r="BE151" s="2">
        <v>53.6</v>
      </c>
      <c r="BF151" s="8" t="str">
        <f t="shared" si="49"/>
        <v>-</v>
      </c>
      <c r="BG151" s="2"/>
      <c r="BH151" s="8" t="str">
        <f t="shared" si="45"/>
        <v>+</v>
      </c>
      <c r="BI151" s="2"/>
      <c r="BJ151" s="8" t="str">
        <f t="shared" si="46"/>
        <v>+</v>
      </c>
      <c r="BK151" s="2"/>
      <c r="BL151" s="8" t="str">
        <f t="shared" si="47"/>
        <v>+</v>
      </c>
    </row>
    <row r="152" spans="1:64">
      <c r="A152" s="1">
        <v>22828</v>
      </c>
      <c r="B152">
        <v>50.8</v>
      </c>
      <c r="C152">
        <v>52.5</v>
      </c>
      <c r="D152">
        <v>51.6</v>
      </c>
      <c r="E152">
        <v>54.8</v>
      </c>
      <c r="F152">
        <v>43.3</v>
      </c>
      <c r="G152">
        <v>46.4</v>
      </c>
      <c r="I152">
        <v>51.7</v>
      </c>
      <c r="W152" s="1">
        <v>22828</v>
      </c>
      <c r="X152">
        <v>58.23</v>
      </c>
      <c r="Y152" s="4">
        <f t="shared" si="48"/>
        <v>6.3561643835616383E-2</v>
      </c>
      <c r="Z152" s="4">
        <f t="shared" si="50"/>
        <v>-0.12777114656167929</v>
      </c>
      <c r="AA152">
        <v>50.8</v>
      </c>
      <c r="AB152">
        <f t="shared" si="51"/>
        <v>58.1</v>
      </c>
      <c r="AP152" s="3">
        <v>22798</v>
      </c>
      <c r="AQ152" s="2">
        <v>52.2</v>
      </c>
      <c r="AR152" s="2" t="str">
        <f t="shared" si="38"/>
        <v>-</v>
      </c>
      <c r="AS152" s="2">
        <v>53.6</v>
      </c>
      <c r="AT152" s="8" t="str">
        <f t="shared" si="39"/>
        <v>-</v>
      </c>
      <c r="AU152" s="2">
        <v>55.3</v>
      </c>
      <c r="AV152" s="8" t="str">
        <f t="shared" si="40"/>
        <v>-</v>
      </c>
      <c r="AW152" s="2">
        <v>52.3</v>
      </c>
      <c r="AX152" s="8" t="str">
        <f t="shared" si="41"/>
        <v>-</v>
      </c>
      <c r="AY152" s="2">
        <v>45.2</v>
      </c>
      <c r="AZ152" s="8" t="str">
        <f t="shared" si="42"/>
        <v>-</v>
      </c>
      <c r="BA152" s="2">
        <v>50.3</v>
      </c>
      <c r="BB152" s="8" t="str">
        <f t="shared" si="43"/>
        <v>-</v>
      </c>
      <c r="BC152" s="2"/>
      <c r="BD152" s="8" t="str">
        <f t="shared" si="44"/>
        <v>+</v>
      </c>
      <c r="BE152" s="2">
        <v>52</v>
      </c>
      <c r="BF152" s="8" t="str">
        <f t="shared" si="49"/>
        <v>-</v>
      </c>
      <c r="BG152" s="2"/>
      <c r="BH152" s="8" t="str">
        <f t="shared" si="45"/>
        <v>+</v>
      </c>
      <c r="BI152" s="2"/>
      <c r="BJ152" s="8" t="str">
        <f t="shared" si="46"/>
        <v>+</v>
      </c>
      <c r="BK152" s="2"/>
      <c r="BL152" s="8" t="str">
        <f t="shared" si="47"/>
        <v>+</v>
      </c>
    </row>
    <row r="153" spans="1:64">
      <c r="A153" s="1">
        <v>22859</v>
      </c>
      <c r="B153">
        <v>51</v>
      </c>
      <c r="C153">
        <v>53.2</v>
      </c>
      <c r="D153">
        <v>51.2</v>
      </c>
      <c r="E153">
        <v>54.7</v>
      </c>
      <c r="F153">
        <v>45.1</v>
      </c>
      <c r="G153">
        <v>43.8</v>
      </c>
      <c r="I153">
        <v>51.6</v>
      </c>
      <c r="W153" s="1">
        <v>22859</v>
      </c>
      <c r="X153">
        <v>59.119999</v>
      </c>
      <c r="Y153" s="4">
        <f t="shared" si="48"/>
        <v>1.5284200583891518E-2</v>
      </c>
      <c r="Z153" s="4">
        <f t="shared" si="50"/>
        <v>-0.13148231232554713</v>
      </c>
      <c r="AA153">
        <v>51</v>
      </c>
      <c r="AB153">
        <f t="shared" si="51"/>
        <v>58.2</v>
      </c>
      <c r="AP153" s="3">
        <v>22828</v>
      </c>
      <c r="AQ153" s="2">
        <v>50.8</v>
      </c>
      <c r="AR153" s="2" t="str">
        <f t="shared" si="38"/>
        <v>-</v>
      </c>
      <c r="AS153" s="2">
        <v>52.5</v>
      </c>
      <c r="AT153" s="8" t="str">
        <f t="shared" si="39"/>
        <v>-</v>
      </c>
      <c r="AU153" s="2">
        <v>54.8</v>
      </c>
      <c r="AV153" s="8" t="str">
        <f t="shared" si="40"/>
        <v>-</v>
      </c>
      <c r="AW153" s="2">
        <v>51.6</v>
      </c>
      <c r="AX153" s="8" t="str">
        <f t="shared" si="41"/>
        <v>-</v>
      </c>
      <c r="AY153" s="2">
        <v>43.3</v>
      </c>
      <c r="AZ153" s="8" t="str">
        <f t="shared" si="42"/>
        <v>-</v>
      </c>
      <c r="BA153" s="2">
        <v>46.4</v>
      </c>
      <c r="BB153" s="8" t="str">
        <f t="shared" si="43"/>
        <v>-</v>
      </c>
      <c r="BC153" s="2"/>
      <c r="BD153" s="8" t="str">
        <f t="shared" si="44"/>
        <v>+</v>
      </c>
      <c r="BE153" s="2">
        <v>51.7</v>
      </c>
      <c r="BF153" s="8" t="str">
        <f t="shared" si="49"/>
        <v>-</v>
      </c>
      <c r="BG153" s="2"/>
      <c r="BH153" s="8" t="str">
        <f t="shared" si="45"/>
        <v>+</v>
      </c>
      <c r="BI153" s="2"/>
      <c r="BJ153" s="8" t="str">
        <f t="shared" si="46"/>
        <v>+</v>
      </c>
      <c r="BK153" s="2"/>
      <c r="BL153" s="8" t="str">
        <f t="shared" si="47"/>
        <v>+</v>
      </c>
    </row>
    <row r="154" spans="1:64">
      <c r="A154" s="1">
        <v>22890</v>
      </c>
      <c r="B154">
        <v>49.5</v>
      </c>
      <c r="C154">
        <v>52.9</v>
      </c>
      <c r="D154">
        <v>47</v>
      </c>
      <c r="E154">
        <v>52.5</v>
      </c>
      <c r="F154">
        <v>43.7</v>
      </c>
      <c r="G154">
        <v>45.2</v>
      </c>
      <c r="I154">
        <v>47.7</v>
      </c>
      <c r="W154" s="1">
        <v>22890</v>
      </c>
      <c r="X154">
        <v>56.27</v>
      </c>
      <c r="Y154" s="4">
        <f t="shared" si="48"/>
        <v>-4.8207020436519234E-2</v>
      </c>
      <c r="Z154" s="4">
        <f t="shared" si="50"/>
        <v>-0.15675112437804017</v>
      </c>
      <c r="AA154">
        <v>49.5</v>
      </c>
      <c r="AB154">
        <f t="shared" si="51"/>
        <v>60.7</v>
      </c>
      <c r="AP154" s="3">
        <v>22859</v>
      </c>
      <c r="AQ154" s="2">
        <v>51</v>
      </c>
      <c r="AR154" s="2" t="str">
        <f t="shared" si="38"/>
        <v>+</v>
      </c>
      <c r="AS154" s="2">
        <v>53.2</v>
      </c>
      <c r="AT154" s="8" t="str">
        <f t="shared" si="39"/>
        <v>+</v>
      </c>
      <c r="AU154" s="2">
        <v>54.7</v>
      </c>
      <c r="AV154" s="8" t="str">
        <f t="shared" si="40"/>
        <v>-</v>
      </c>
      <c r="AW154" s="2">
        <v>51.2</v>
      </c>
      <c r="AX154" s="8" t="str">
        <f t="shared" si="41"/>
        <v>-</v>
      </c>
      <c r="AY154" s="2">
        <v>45.1</v>
      </c>
      <c r="AZ154" s="8" t="str">
        <f t="shared" si="42"/>
        <v>+</v>
      </c>
      <c r="BA154" s="2">
        <v>43.8</v>
      </c>
      <c r="BB154" s="8" t="str">
        <f t="shared" si="43"/>
        <v>-</v>
      </c>
      <c r="BC154" s="2"/>
      <c r="BD154" s="8" t="str">
        <f t="shared" si="44"/>
        <v>+</v>
      </c>
      <c r="BE154" s="2">
        <v>51.6</v>
      </c>
      <c r="BF154" s="8" t="str">
        <f t="shared" si="49"/>
        <v>-</v>
      </c>
      <c r="BG154" s="2"/>
      <c r="BH154" s="8" t="str">
        <f t="shared" si="45"/>
        <v>+</v>
      </c>
      <c r="BI154" s="2"/>
      <c r="BJ154" s="8" t="str">
        <f t="shared" si="46"/>
        <v>+</v>
      </c>
      <c r="BK154" s="2"/>
      <c r="BL154" s="8" t="str">
        <f t="shared" si="47"/>
        <v>+</v>
      </c>
    </row>
    <row r="155" spans="1:64">
      <c r="A155" s="1">
        <v>22920</v>
      </c>
      <c r="B155">
        <v>50</v>
      </c>
      <c r="C155">
        <v>53</v>
      </c>
      <c r="D155">
        <v>49.7</v>
      </c>
      <c r="E155">
        <v>52.4</v>
      </c>
      <c r="F155">
        <v>45.1</v>
      </c>
      <c r="G155">
        <v>42.5</v>
      </c>
      <c r="I155">
        <v>45.4</v>
      </c>
      <c r="W155" s="1">
        <v>22920</v>
      </c>
      <c r="X155">
        <v>56.52</v>
      </c>
      <c r="Y155" s="4">
        <f t="shared" si="48"/>
        <v>4.4428647591967301E-3</v>
      </c>
      <c r="Z155" s="4">
        <f t="shared" si="50"/>
        <v>-0.1763334664966423</v>
      </c>
      <c r="AA155">
        <v>50</v>
      </c>
      <c r="AB155">
        <f t="shared" si="51"/>
        <v>63</v>
      </c>
      <c r="AP155" s="3">
        <v>22890</v>
      </c>
      <c r="AQ155" s="2">
        <v>49.5</v>
      </c>
      <c r="AR155" s="2" t="str">
        <f t="shared" si="38"/>
        <v>-</v>
      </c>
      <c r="AS155" s="2">
        <v>52.9</v>
      </c>
      <c r="AT155" s="8" t="str">
        <f t="shared" si="39"/>
        <v>-</v>
      </c>
      <c r="AU155" s="2">
        <v>52.5</v>
      </c>
      <c r="AV155" s="8" t="str">
        <f t="shared" si="40"/>
        <v>-</v>
      </c>
      <c r="AW155" s="2">
        <v>47</v>
      </c>
      <c r="AX155" s="8" t="str">
        <f t="shared" si="41"/>
        <v>-</v>
      </c>
      <c r="AY155" s="2">
        <v>43.7</v>
      </c>
      <c r="AZ155" s="8" t="str">
        <f t="shared" si="42"/>
        <v>-</v>
      </c>
      <c r="BA155" s="2">
        <v>45.2</v>
      </c>
      <c r="BB155" s="8" t="str">
        <f t="shared" si="43"/>
        <v>+</v>
      </c>
      <c r="BC155" s="2"/>
      <c r="BD155" s="8" t="str">
        <f t="shared" si="44"/>
        <v>+</v>
      </c>
      <c r="BE155" s="2">
        <v>47.7</v>
      </c>
      <c r="BF155" s="8" t="str">
        <f t="shared" si="49"/>
        <v>-</v>
      </c>
      <c r="BG155" s="2"/>
      <c r="BH155" s="8" t="str">
        <f t="shared" si="45"/>
        <v>+</v>
      </c>
      <c r="BI155" s="2"/>
      <c r="BJ155" s="8" t="str">
        <f t="shared" si="46"/>
        <v>+</v>
      </c>
      <c r="BK155" s="2"/>
      <c r="BL155" s="8" t="str">
        <f t="shared" si="47"/>
        <v>+</v>
      </c>
    </row>
    <row r="156" spans="1:64">
      <c r="A156" s="1">
        <v>22951</v>
      </c>
      <c r="B156">
        <v>51.2</v>
      </c>
      <c r="C156">
        <v>53.6</v>
      </c>
      <c r="D156">
        <v>49.9</v>
      </c>
      <c r="E156">
        <v>54</v>
      </c>
      <c r="F156">
        <v>46.7</v>
      </c>
      <c r="G156">
        <v>46.2</v>
      </c>
      <c r="I156">
        <v>43.9</v>
      </c>
      <c r="W156" s="1">
        <v>22951</v>
      </c>
      <c r="X156">
        <v>62.259998000000003</v>
      </c>
      <c r="Y156" s="4">
        <f t="shared" si="48"/>
        <v>0.1015569355980184</v>
      </c>
      <c r="Z156" s="4">
        <f t="shared" si="50"/>
        <v>-0.12703311833987649</v>
      </c>
      <c r="AA156">
        <v>51.2</v>
      </c>
      <c r="AB156">
        <f t="shared" si="51"/>
        <v>62.2</v>
      </c>
      <c r="AP156" s="3">
        <v>22920</v>
      </c>
      <c r="AQ156" s="2">
        <v>50</v>
      </c>
      <c r="AR156" s="2" t="str">
        <f t="shared" si="38"/>
        <v>+</v>
      </c>
      <c r="AS156" s="2">
        <v>53</v>
      </c>
      <c r="AT156" s="8" t="str">
        <f t="shared" si="39"/>
        <v>+</v>
      </c>
      <c r="AU156" s="2">
        <v>52.4</v>
      </c>
      <c r="AV156" s="8" t="str">
        <f t="shared" si="40"/>
        <v>-</v>
      </c>
      <c r="AW156" s="2">
        <v>49.7</v>
      </c>
      <c r="AX156" s="8" t="str">
        <f t="shared" si="41"/>
        <v>+</v>
      </c>
      <c r="AY156" s="2">
        <v>45.1</v>
      </c>
      <c r="AZ156" s="8" t="str">
        <f t="shared" si="42"/>
        <v>+</v>
      </c>
      <c r="BA156" s="2">
        <v>42.5</v>
      </c>
      <c r="BB156" s="8" t="str">
        <f t="shared" si="43"/>
        <v>-</v>
      </c>
      <c r="BC156" s="2"/>
      <c r="BD156" s="8" t="str">
        <f t="shared" si="44"/>
        <v>+</v>
      </c>
      <c r="BE156" s="2">
        <v>45.4</v>
      </c>
      <c r="BF156" s="8" t="str">
        <f t="shared" si="49"/>
        <v>-</v>
      </c>
      <c r="BG156" s="2"/>
      <c r="BH156" s="8" t="str">
        <f t="shared" si="45"/>
        <v>+</v>
      </c>
      <c r="BI156" s="2"/>
      <c r="BJ156" s="8" t="str">
        <f t="shared" si="46"/>
        <v>+</v>
      </c>
      <c r="BK156" s="2"/>
      <c r="BL156" s="8" t="str">
        <f t="shared" si="47"/>
        <v>+</v>
      </c>
    </row>
    <row r="157" spans="1:64">
      <c r="A157" s="1">
        <v>22981</v>
      </c>
      <c r="B157">
        <v>53.8</v>
      </c>
      <c r="C157">
        <v>57.8</v>
      </c>
      <c r="D157">
        <v>48.7</v>
      </c>
      <c r="E157">
        <v>56.9</v>
      </c>
      <c r="F157">
        <v>48.7</v>
      </c>
      <c r="G157">
        <v>51.5</v>
      </c>
      <c r="I157">
        <v>47.1</v>
      </c>
      <c r="W157" s="1">
        <v>22981</v>
      </c>
      <c r="X157">
        <v>63.099997999999999</v>
      </c>
      <c r="Y157" s="4">
        <f t="shared" si="48"/>
        <v>1.349180897821417E-2</v>
      </c>
      <c r="Z157" s="4">
        <f t="shared" si="50"/>
        <v>-0.11809929623622803</v>
      </c>
      <c r="AA157">
        <v>53.8</v>
      </c>
      <c r="AB157">
        <f t="shared" si="51"/>
        <v>59</v>
      </c>
      <c r="AP157" s="3">
        <v>22951</v>
      </c>
      <c r="AQ157" s="2">
        <v>51.2</v>
      </c>
      <c r="AR157" s="2" t="str">
        <f t="shared" si="38"/>
        <v>+</v>
      </c>
      <c r="AS157" s="2">
        <v>53.6</v>
      </c>
      <c r="AT157" s="8" t="str">
        <f t="shared" si="39"/>
        <v>+</v>
      </c>
      <c r="AU157" s="2">
        <v>54</v>
      </c>
      <c r="AV157" s="8" t="str">
        <f t="shared" si="40"/>
        <v>+</v>
      </c>
      <c r="AW157" s="2">
        <v>49.9</v>
      </c>
      <c r="AX157" s="8" t="str">
        <f t="shared" si="41"/>
        <v>+</v>
      </c>
      <c r="AY157" s="2">
        <v>46.7</v>
      </c>
      <c r="AZ157" s="8" t="str">
        <f t="shared" si="42"/>
        <v>+</v>
      </c>
      <c r="BA157" s="2">
        <v>46.2</v>
      </c>
      <c r="BB157" s="8" t="str">
        <f t="shared" si="43"/>
        <v>+</v>
      </c>
      <c r="BC157" s="2"/>
      <c r="BD157" s="8" t="str">
        <f t="shared" si="44"/>
        <v>+</v>
      </c>
      <c r="BE157" s="2">
        <v>43.9</v>
      </c>
      <c r="BF157" s="8" t="str">
        <f t="shared" si="49"/>
        <v>-</v>
      </c>
      <c r="BG157" s="2"/>
      <c r="BH157" s="8" t="str">
        <f t="shared" si="45"/>
        <v>+</v>
      </c>
      <c r="BI157" s="2"/>
      <c r="BJ157" s="8" t="str">
        <f t="shared" si="46"/>
        <v>+</v>
      </c>
      <c r="BK157" s="2"/>
      <c r="BL157" s="8" t="str">
        <f t="shared" si="47"/>
        <v>+</v>
      </c>
    </row>
    <row r="158" spans="1:64">
      <c r="A158" s="1">
        <v>23012</v>
      </c>
      <c r="B158">
        <v>57.2</v>
      </c>
      <c r="C158">
        <v>59.7</v>
      </c>
      <c r="D158">
        <v>54.6</v>
      </c>
      <c r="E158">
        <v>63.3</v>
      </c>
      <c r="F158">
        <v>50.1</v>
      </c>
      <c r="G158">
        <v>50.1</v>
      </c>
      <c r="I158">
        <v>47.3</v>
      </c>
      <c r="W158" s="1">
        <v>23012</v>
      </c>
      <c r="X158">
        <v>66.199996999999996</v>
      </c>
      <c r="Y158" s="4">
        <f t="shared" si="48"/>
        <v>4.9128353379662495E-2</v>
      </c>
      <c r="Z158" s="4">
        <f t="shared" si="50"/>
        <v>-3.8349784331771358E-2</v>
      </c>
      <c r="AA158">
        <v>57.2</v>
      </c>
      <c r="AB158">
        <f t="shared" si="51"/>
        <v>64.2</v>
      </c>
      <c r="AP158" s="3">
        <v>22981</v>
      </c>
      <c r="AQ158" s="2">
        <v>53.8</v>
      </c>
      <c r="AR158" s="2" t="str">
        <f t="shared" si="38"/>
        <v>+</v>
      </c>
      <c r="AS158" s="2">
        <v>57.8</v>
      </c>
      <c r="AT158" s="8" t="str">
        <f t="shared" si="39"/>
        <v>+</v>
      </c>
      <c r="AU158" s="2">
        <v>56.9</v>
      </c>
      <c r="AV158" s="8" t="str">
        <f t="shared" si="40"/>
        <v>+</v>
      </c>
      <c r="AW158" s="2">
        <v>48.7</v>
      </c>
      <c r="AX158" s="8" t="str">
        <f t="shared" si="41"/>
        <v>-</v>
      </c>
      <c r="AY158" s="2">
        <v>48.7</v>
      </c>
      <c r="AZ158" s="8" t="str">
        <f t="shared" si="42"/>
        <v>+</v>
      </c>
      <c r="BA158" s="2">
        <v>51.5</v>
      </c>
      <c r="BB158" s="8" t="str">
        <f t="shared" si="43"/>
        <v>+</v>
      </c>
      <c r="BC158" s="2"/>
      <c r="BD158" s="8" t="str">
        <f t="shared" si="44"/>
        <v>+</v>
      </c>
      <c r="BE158" s="2">
        <v>47.1</v>
      </c>
      <c r="BF158" s="8" t="str">
        <f t="shared" si="49"/>
        <v>+</v>
      </c>
      <c r="BG158" s="2"/>
      <c r="BH158" s="8" t="str">
        <f t="shared" si="45"/>
        <v>+</v>
      </c>
      <c r="BI158" s="2"/>
      <c r="BJ158" s="8" t="str">
        <f t="shared" si="46"/>
        <v>+</v>
      </c>
      <c r="BK158" s="2"/>
      <c r="BL158" s="8" t="str">
        <f t="shared" si="47"/>
        <v>+</v>
      </c>
    </row>
    <row r="159" spans="1:64">
      <c r="A159" s="1">
        <v>23043</v>
      </c>
      <c r="B159">
        <v>55.2</v>
      </c>
      <c r="C159">
        <v>60.9</v>
      </c>
      <c r="D159">
        <v>52.5</v>
      </c>
      <c r="E159">
        <v>56.5</v>
      </c>
      <c r="F159">
        <v>50.4</v>
      </c>
      <c r="G159">
        <v>47.4</v>
      </c>
      <c r="I159">
        <v>48.5</v>
      </c>
      <c r="W159" s="1">
        <v>23043</v>
      </c>
      <c r="X159">
        <v>64.290001000000004</v>
      </c>
      <c r="Y159" s="4">
        <f t="shared" si="48"/>
        <v>-2.8851904630750852E-2</v>
      </c>
      <c r="Z159" s="4">
        <f t="shared" si="50"/>
        <v>-8.1046284749089162E-2</v>
      </c>
      <c r="AA159">
        <v>55.2</v>
      </c>
      <c r="AB159">
        <f t="shared" si="51"/>
        <v>60.9</v>
      </c>
      <c r="AP159" s="3">
        <v>23012</v>
      </c>
      <c r="AQ159" s="2">
        <v>57.2</v>
      </c>
      <c r="AR159" s="2" t="str">
        <f t="shared" si="38"/>
        <v>+</v>
      </c>
      <c r="AS159" s="2">
        <v>59.7</v>
      </c>
      <c r="AT159" s="8" t="str">
        <f t="shared" si="39"/>
        <v>+</v>
      </c>
      <c r="AU159" s="2">
        <v>63.3</v>
      </c>
      <c r="AV159" s="8" t="str">
        <f t="shared" si="40"/>
        <v>+</v>
      </c>
      <c r="AW159" s="2">
        <v>54.6</v>
      </c>
      <c r="AX159" s="8" t="str">
        <f t="shared" si="41"/>
        <v>+</v>
      </c>
      <c r="AY159" s="2">
        <v>50.1</v>
      </c>
      <c r="AZ159" s="8" t="str">
        <f t="shared" si="42"/>
        <v>+</v>
      </c>
      <c r="BA159" s="2">
        <v>50.1</v>
      </c>
      <c r="BB159" s="8" t="str">
        <f t="shared" si="43"/>
        <v>-</v>
      </c>
      <c r="BC159" s="2"/>
      <c r="BD159" s="8" t="str">
        <f t="shared" si="44"/>
        <v>+</v>
      </c>
      <c r="BE159" s="2">
        <v>47.3</v>
      </c>
      <c r="BF159" s="8" t="str">
        <f t="shared" si="49"/>
        <v>+</v>
      </c>
      <c r="BG159" s="2"/>
      <c r="BH159" s="8" t="str">
        <f t="shared" si="45"/>
        <v>+</v>
      </c>
      <c r="BI159" s="2"/>
      <c r="BJ159" s="8" t="str">
        <f t="shared" si="46"/>
        <v>+</v>
      </c>
      <c r="BK159" s="2"/>
      <c r="BL159" s="8" t="str">
        <f t="shared" si="47"/>
        <v>+</v>
      </c>
    </row>
    <row r="160" spans="1:64">
      <c r="A160" s="1">
        <v>23071</v>
      </c>
      <c r="B160">
        <v>55.1</v>
      </c>
      <c r="C160">
        <v>60.4</v>
      </c>
      <c r="D160">
        <v>50.2</v>
      </c>
      <c r="E160">
        <v>57.7</v>
      </c>
      <c r="F160">
        <v>51</v>
      </c>
      <c r="G160">
        <v>48.3</v>
      </c>
      <c r="I160">
        <v>51.7</v>
      </c>
      <c r="W160" s="1">
        <v>23071</v>
      </c>
      <c r="X160">
        <v>66.569999999999993</v>
      </c>
      <c r="Y160" s="4">
        <f t="shared" si="48"/>
        <v>3.5464286273692691E-2</v>
      </c>
      <c r="Z160" s="4">
        <f t="shared" si="50"/>
        <v>-4.284691403967316E-2</v>
      </c>
      <c r="AA160">
        <v>55.1</v>
      </c>
      <c r="AB160">
        <f t="shared" si="51"/>
        <v>61.1</v>
      </c>
      <c r="AP160" s="3">
        <v>23043</v>
      </c>
      <c r="AQ160" s="2">
        <v>55.2</v>
      </c>
      <c r="AR160" s="2" t="str">
        <f t="shared" si="38"/>
        <v>-</v>
      </c>
      <c r="AS160" s="2">
        <v>60.9</v>
      </c>
      <c r="AT160" s="8" t="str">
        <f t="shared" si="39"/>
        <v>+</v>
      </c>
      <c r="AU160" s="2">
        <v>56.5</v>
      </c>
      <c r="AV160" s="8" t="str">
        <f t="shared" si="40"/>
        <v>-</v>
      </c>
      <c r="AW160" s="2">
        <v>52.5</v>
      </c>
      <c r="AX160" s="8" t="str">
        <f t="shared" si="41"/>
        <v>-</v>
      </c>
      <c r="AY160" s="2">
        <v>50.4</v>
      </c>
      <c r="AZ160" s="8" t="str">
        <f t="shared" si="42"/>
        <v>+</v>
      </c>
      <c r="BA160" s="2">
        <v>47.4</v>
      </c>
      <c r="BB160" s="8" t="str">
        <f t="shared" si="43"/>
        <v>-</v>
      </c>
      <c r="BC160" s="2"/>
      <c r="BD160" s="8" t="str">
        <f t="shared" si="44"/>
        <v>+</v>
      </c>
      <c r="BE160" s="2">
        <v>48.5</v>
      </c>
      <c r="BF160" s="8" t="str">
        <f t="shared" si="49"/>
        <v>+</v>
      </c>
      <c r="BG160" s="2"/>
      <c r="BH160" s="8" t="str">
        <f t="shared" si="45"/>
        <v>+</v>
      </c>
      <c r="BI160" s="2"/>
      <c r="BJ160" s="8" t="str">
        <f t="shared" si="46"/>
        <v>+</v>
      </c>
      <c r="BK160" s="2"/>
      <c r="BL160" s="8" t="str">
        <f t="shared" si="47"/>
        <v>+</v>
      </c>
    </row>
    <row r="161" spans="1:64">
      <c r="A161" s="1">
        <v>23102</v>
      </c>
      <c r="B161">
        <v>54.7</v>
      </c>
      <c r="C161">
        <v>57.5</v>
      </c>
      <c r="D161">
        <v>52.4</v>
      </c>
      <c r="E161">
        <v>56.3</v>
      </c>
      <c r="F161">
        <v>54.9</v>
      </c>
      <c r="G161">
        <v>46.8</v>
      </c>
      <c r="I161">
        <v>47.5</v>
      </c>
      <c r="W161" s="1">
        <v>23102</v>
      </c>
      <c r="X161">
        <v>69.800003000000004</v>
      </c>
      <c r="Y161" s="4">
        <f t="shared" si="48"/>
        <v>4.8520399579390278E-2</v>
      </c>
      <c r="Z161" s="4">
        <f t="shared" si="50"/>
        <v>6.9895848249412945E-2</v>
      </c>
      <c r="AA161">
        <v>54.7</v>
      </c>
      <c r="AB161">
        <f t="shared" si="51"/>
        <v>60.6</v>
      </c>
      <c r="AP161" s="3">
        <v>23071</v>
      </c>
      <c r="AQ161" s="2">
        <v>55.1</v>
      </c>
      <c r="AR161" s="2" t="str">
        <f t="shared" si="38"/>
        <v>-</v>
      </c>
      <c r="AS161" s="2">
        <v>60.4</v>
      </c>
      <c r="AT161" s="8" t="str">
        <f t="shared" si="39"/>
        <v>-</v>
      </c>
      <c r="AU161" s="2">
        <v>57.7</v>
      </c>
      <c r="AV161" s="8" t="str">
        <f t="shared" si="40"/>
        <v>+</v>
      </c>
      <c r="AW161" s="2">
        <v>50.2</v>
      </c>
      <c r="AX161" s="8" t="str">
        <f t="shared" si="41"/>
        <v>-</v>
      </c>
      <c r="AY161" s="2">
        <v>51</v>
      </c>
      <c r="AZ161" s="8" t="str">
        <f t="shared" si="42"/>
        <v>+</v>
      </c>
      <c r="BA161" s="2">
        <v>48.3</v>
      </c>
      <c r="BB161" s="8" t="str">
        <f t="shared" si="43"/>
        <v>+</v>
      </c>
      <c r="BC161" s="2"/>
      <c r="BD161" s="8" t="str">
        <f t="shared" si="44"/>
        <v>+</v>
      </c>
      <c r="BE161" s="2">
        <v>51.7</v>
      </c>
      <c r="BF161" s="8" t="str">
        <f t="shared" si="49"/>
        <v>+</v>
      </c>
      <c r="BG161" s="2"/>
      <c r="BH161" s="8" t="str">
        <f t="shared" si="45"/>
        <v>+</v>
      </c>
      <c r="BI161" s="2"/>
      <c r="BJ161" s="8" t="str">
        <f t="shared" si="46"/>
        <v>+</v>
      </c>
      <c r="BK161" s="2"/>
      <c r="BL161" s="8" t="str">
        <f t="shared" si="47"/>
        <v>+</v>
      </c>
    </row>
    <row r="162" spans="1:64">
      <c r="A162" s="1">
        <v>23132</v>
      </c>
      <c r="B162">
        <v>57.6</v>
      </c>
      <c r="C162">
        <v>60.6</v>
      </c>
      <c r="D162">
        <v>52.7</v>
      </c>
      <c r="E162">
        <v>61</v>
      </c>
      <c r="F162">
        <v>58.2</v>
      </c>
      <c r="G162">
        <v>48.6</v>
      </c>
      <c r="I162">
        <v>55</v>
      </c>
      <c r="W162" s="1">
        <v>23132</v>
      </c>
      <c r="X162">
        <v>70.800003000000004</v>
      </c>
      <c r="Y162" s="4">
        <f t="shared" si="48"/>
        <v>1.4326646948711448E-2</v>
      </c>
      <c r="Z162" s="4">
        <f t="shared" si="50"/>
        <v>0.18732184827566922</v>
      </c>
      <c r="AA162">
        <v>57.6</v>
      </c>
      <c r="AB162">
        <f t="shared" si="51"/>
        <v>55.1</v>
      </c>
      <c r="AP162" s="3">
        <v>23102</v>
      </c>
      <c r="AQ162" s="2">
        <v>54.7</v>
      </c>
      <c r="AR162" s="2" t="str">
        <f t="shared" si="38"/>
        <v>-</v>
      </c>
      <c r="AS162" s="2">
        <v>57.5</v>
      </c>
      <c r="AT162" s="8" t="str">
        <f t="shared" si="39"/>
        <v>-</v>
      </c>
      <c r="AU162" s="2">
        <v>56.3</v>
      </c>
      <c r="AV162" s="8" t="str">
        <f t="shared" si="40"/>
        <v>-</v>
      </c>
      <c r="AW162" s="2">
        <v>52.4</v>
      </c>
      <c r="AX162" s="8" t="str">
        <f t="shared" si="41"/>
        <v>+</v>
      </c>
      <c r="AY162" s="2">
        <v>54.9</v>
      </c>
      <c r="AZ162" s="8" t="str">
        <f t="shared" si="42"/>
        <v>+</v>
      </c>
      <c r="BA162" s="2">
        <v>46.8</v>
      </c>
      <c r="BB162" s="8" t="str">
        <f t="shared" si="43"/>
        <v>-</v>
      </c>
      <c r="BC162" s="2"/>
      <c r="BD162" s="8" t="str">
        <f t="shared" si="44"/>
        <v>+</v>
      </c>
      <c r="BE162" s="2">
        <v>47.5</v>
      </c>
      <c r="BF162" s="8" t="str">
        <f t="shared" si="49"/>
        <v>-</v>
      </c>
      <c r="BG162" s="2"/>
      <c r="BH162" s="8" t="str">
        <f t="shared" si="45"/>
        <v>+</v>
      </c>
      <c r="BI162" s="2"/>
      <c r="BJ162" s="8" t="str">
        <f t="shared" si="46"/>
        <v>+</v>
      </c>
      <c r="BK162" s="2"/>
      <c r="BL162" s="8" t="str">
        <f t="shared" si="47"/>
        <v>+</v>
      </c>
    </row>
    <row r="163" spans="1:64">
      <c r="A163" s="1">
        <v>23163</v>
      </c>
      <c r="B163">
        <v>59.8</v>
      </c>
      <c r="C163">
        <v>66.900000000000006</v>
      </c>
      <c r="D163">
        <v>53.5</v>
      </c>
      <c r="E163">
        <v>60.4</v>
      </c>
      <c r="F163">
        <v>56.4</v>
      </c>
      <c r="G163">
        <v>54.2</v>
      </c>
      <c r="I163">
        <v>67.099999999999994</v>
      </c>
      <c r="W163" s="1">
        <v>23163</v>
      </c>
      <c r="X163">
        <v>69.370002999999997</v>
      </c>
      <c r="Y163" s="4">
        <f t="shared" si="48"/>
        <v>-2.0197739257158037E-2</v>
      </c>
      <c r="Z163" s="4">
        <f t="shared" si="50"/>
        <v>0.26703201826484013</v>
      </c>
      <c r="AA163">
        <v>59.8</v>
      </c>
      <c r="AB163">
        <f t="shared" si="51"/>
        <v>52.2</v>
      </c>
      <c r="AP163" s="3">
        <v>23132</v>
      </c>
      <c r="AQ163" s="2">
        <v>57.6</v>
      </c>
      <c r="AR163" s="2" t="str">
        <f t="shared" si="38"/>
        <v>+</v>
      </c>
      <c r="AS163" s="2">
        <v>60.6</v>
      </c>
      <c r="AT163" s="8" t="str">
        <f t="shared" si="39"/>
        <v>+</v>
      </c>
      <c r="AU163" s="2">
        <v>61</v>
      </c>
      <c r="AV163" s="8" t="str">
        <f t="shared" si="40"/>
        <v>+</v>
      </c>
      <c r="AW163" s="2">
        <v>52.7</v>
      </c>
      <c r="AX163" s="8" t="str">
        <f t="shared" si="41"/>
        <v>+</v>
      </c>
      <c r="AY163" s="2">
        <v>58.2</v>
      </c>
      <c r="AZ163" s="8" t="str">
        <f t="shared" si="42"/>
        <v>+</v>
      </c>
      <c r="BA163" s="2">
        <v>48.6</v>
      </c>
      <c r="BB163" s="8" t="str">
        <f t="shared" si="43"/>
        <v>+</v>
      </c>
      <c r="BC163" s="2"/>
      <c r="BD163" s="8" t="str">
        <f t="shared" si="44"/>
        <v>+</v>
      </c>
      <c r="BE163" s="2">
        <v>55</v>
      </c>
      <c r="BF163" s="8" t="str">
        <f t="shared" si="49"/>
        <v>+</v>
      </c>
      <c r="BG163" s="2"/>
      <c r="BH163" s="8" t="str">
        <f t="shared" si="45"/>
        <v>+</v>
      </c>
      <c r="BI163" s="2"/>
      <c r="BJ163" s="8" t="str">
        <f t="shared" si="46"/>
        <v>+</v>
      </c>
      <c r="BK163" s="2"/>
      <c r="BL163" s="8" t="str">
        <f t="shared" si="47"/>
        <v>+</v>
      </c>
    </row>
    <row r="164" spans="1:64">
      <c r="A164" s="1">
        <v>23193</v>
      </c>
      <c r="B164">
        <v>58.2</v>
      </c>
      <c r="C164">
        <v>61.9</v>
      </c>
      <c r="D164">
        <v>52.6</v>
      </c>
      <c r="E164">
        <v>60.6</v>
      </c>
      <c r="F164">
        <v>56.3</v>
      </c>
      <c r="G164">
        <v>55</v>
      </c>
      <c r="I164">
        <v>58.7</v>
      </c>
      <c r="W164" s="1">
        <v>23193</v>
      </c>
      <c r="X164">
        <v>69.129997000000003</v>
      </c>
      <c r="Y164" s="4">
        <f t="shared" si="48"/>
        <v>-3.4597951509385688E-3</v>
      </c>
      <c r="Z164" s="4">
        <f t="shared" si="50"/>
        <v>0.18718868280954845</v>
      </c>
      <c r="AA164">
        <v>58.2</v>
      </c>
      <c r="AB164">
        <f t="shared" si="51"/>
        <v>50.8</v>
      </c>
      <c r="AP164" s="3">
        <v>23163</v>
      </c>
      <c r="AQ164" s="2">
        <v>59.8</v>
      </c>
      <c r="AR164" s="2" t="str">
        <f t="shared" si="38"/>
        <v>+</v>
      </c>
      <c r="AS164" s="2">
        <v>66.900000000000006</v>
      </c>
      <c r="AT164" s="8" t="str">
        <f t="shared" si="39"/>
        <v>+</v>
      </c>
      <c r="AU164" s="2">
        <v>60.4</v>
      </c>
      <c r="AV164" s="8" t="str">
        <f t="shared" si="40"/>
        <v>-</v>
      </c>
      <c r="AW164" s="2">
        <v>53.5</v>
      </c>
      <c r="AX164" s="8" t="str">
        <f t="shared" si="41"/>
        <v>+</v>
      </c>
      <c r="AY164" s="2">
        <v>56.4</v>
      </c>
      <c r="AZ164" s="8" t="str">
        <f t="shared" si="42"/>
        <v>-</v>
      </c>
      <c r="BA164" s="2">
        <v>54.2</v>
      </c>
      <c r="BB164" s="8" t="str">
        <f t="shared" si="43"/>
        <v>+</v>
      </c>
      <c r="BC164" s="2"/>
      <c r="BD164" s="8" t="str">
        <f t="shared" si="44"/>
        <v>+</v>
      </c>
      <c r="BE164" s="2">
        <v>67.099999999999994</v>
      </c>
      <c r="BF164" s="8" t="str">
        <f t="shared" si="49"/>
        <v>+</v>
      </c>
      <c r="BG164" s="2"/>
      <c r="BH164" s="8" t="str">
        <f t="shared" si="45"/>
        <v>+</v>
      </c>
      <c r="BI164" s="2"/>
      <c r="BJ164" s="8" t="str">
        <f t="shared" si="46"/>
        <v>+</v>
      </c>
      <c r="BK164" s="2"/>
      <c r="BL164" s="8" t="str">
        <f t="shared" si="47"/>
        <v>+</v>
      </c>
    </row>
    <row r="165" spans="1:64">
      <c r="A165" s="1">
        <v>23224</v>
      </c>
      <c r="B165">
        <v>55.5</v>
      </c>
      <c r="C165">
        <v>60.1</v>
      </c>
      <c r="D165">
        <v>52</v>
      </c>
      <c r="E165">
        <v>60.4</v>
      </c>
      <c r="F165">
        <v>43.6</v>
      </c>
      <c r="G165">
        <v>54</v>
      </c>
      <c r="I165">
        <v>61</v>
      </c>
      <c r="W165" s="1">
        <v>23224</v>
      </c>
      <c r="X165">
        <v>72.5</v>
      </c>
      <c r="Y165" s="4">
        <f t="shared" si="48"/>
        <v>4.8748779780794678E-2</v>
      </c>
      <c r="Z165" s="4">
        <f t="shared" si="50"/>
        <v>0.22631937121649817</v>
      </c>
      <c r="AA165">
        <v>55.5</v>
      </c>
      <c r="AB165">
        <f t="shared" si="51"/>
        <v>51</v>
      </c>
      <c r="AP165" s="3">
        <v>23193</v>
      </c>
      <c r="AQ165" s="2">
        <v>58.2</v>
      </c>
      <c r="AR165" s="2" t="str">
        <f t="shared" si="38"/>
        <v>-</v>
      </c>
      <c r="AS165" s="2">
        <v>61.9</v>
      </c>
      <c r="AT165" s="8" t="str">
        <f t="shared" si="39"/>
        <v>-</v>
      </c>
      <c r="AU165" s="2">
        <v>60.6</v>
      </c>
      <c r="AV165" s="8" t="str">
        <f t="shared" si="40"/>
        <v>+</v>
      </c>
      <c r="AW165" s="2">
        <v>52.6</v>
      </c>
      <c r="AX165" s="8" t="str">
        <f t="shared" si="41"/>
        <v>-</v>
      </c>
      <c r="AY165" s="2">
        <v>56.3</v>
      </c>
      <c r="AZ165" s="8" t="str">
        <f t="shared" si="42"/>
        <v>-</v>
      </c>
      <c r="BA165" s="2">
        <v>55</v>
      </c>
      <c r="BB165" s="8" t="str">
        <f t="shared" si="43"/>
        <v>+</v>
      </c>
      <c r="BC165" s="2"/>
      <c r="BD165" s="8" t="str">
        <f t="shared" si="44"/>
        <v>+</v>
      </c>
      <c r="BE165" s="2">
        <v>58.7</v>
      </c>
      <c r="BF165" s="8" t="str">
        <f t="shared" si="49"/>
        <v>-</v>
      </c>
      <c r="BG165" s="2"/>
      <c r="BH165" s="8" t="str">
        <f t="shared" si="45"/>
        <v>+</v>
      </c>
      <c r="BI165" s="2"/>
      <c r="BJ165" s="8" t="str">
        <f t="shared" si="46"/>
        <v>+</v>
      </c>
      <c r="BK165" s="2"/>
      <c r="BL165" s="8" t="str">
        <f t="shared" si="47"/>
        <v>+</v>
      </c>
    </row>
    <row r="166" spans="1:64">
      <c r="A166" s="1">
        <v>23255</v>
      </c>
      <c r="B166">
        <v>55.1</v>
      </c>
      <c r="C166">
        <v>62</v>
      </c>
      <c r="D166">
        <v>51.1</v>
      </c>
      <c r="E166">
        <v>56.8</v>
      </c>
      <c r="F166">
        <v>48.5</v>
      </c>
      <c r="G166">
        <v>48.1</v>
      </c>
      <c r="I166">
        <v>59.8</v>
      </c>
      <c r="W166" s="1">
        <v>23255</v>
      </c>
      <c r="X166">
        <v>71.699996999999996</v>
      </c>
      <c r="Y166" s="4">
        <f t="shared" si="48"/>
        <v>-1.1034524137931087E-2</v>
      </c>
      <c r="Z166" s="4">
        <f t="shared" si="50"/>
        <v>0.27421355962324495</v>
      </c>
      <c r="AA166">
        <v>55.1</v>
      </c>
      <c r="AB166">
        <f t="shared" si="51"/>
        <v>49.5</v>
      </c>
      <c r="AP166" s="3">
        <v>23224</v>
      </c>
      <c r="AQ166" s="2">
        <v>55.5</v>
      </c>
      <c r="AR166" s="2" t="str">
        <f t="shared" ref="AR166:AR229" si="52">IF(OR(AQ166&gt;AQ165,AQ166=AQ165),"+","-")</f>
        <v>-</v>
      </c>
      <c r="AS166" s="2">
        <v>60.1</v>
      </c>
      <c r="AT166" s="8" t="str">
        <f t="shared" si="39"/>
        <v>-</v>
      </c>
      <c r="AU166" s="2">
        <v>60.4</v>
      </c>
      <c r="AV166" s="8" t="str">
        <f t="shared" si="40"/>
        <v>-</v>
      </c>
      <c r="AW166" s="2">
        <v>52</v>
      </c>
      <c r="AX166" s="8" t="str">
        <f t="shared" si="41"/>
        <v>-</v>
      </c>
      <c r="AY166" s="2">
        <v>43.6</v>
      </c>
      <c r="AZ166" s="8" t="str">
        <f t="shared" si="42"/>
        <v>-</v>
      </c>
      <c r="BA166" s="2">
        <v>54</v>
      </c>
      <c r="BB166" s="8" t="str">
        <f t="shared" si="43"/>
        <v>-</v>
      </c>
      <c r="BC166" s="2"/>
      <c r="BD166" s="8" t="str">
        <f t="shared" si="44"/>
        <v>+</v>
      </c>
      <c r="BE166" s="2">
        <v>61</v>
      </c>
      <c r="BF166" s="8" t="str">
        <f t="shared" si="49"/>
        <v>+</v>
      </c>
      <c r="BG166" s="2"/>
      <c r="BH166" s="8" t="str">
        <f t="shared" si="45"/>
        <v>+</v>
      </c>
      <c r="BI166" s="2"/>
      <c r="BJ166" s="8" t="str">
        <f t="shared" si="46"/>
        <v>+</v>
      </c>
      <c r="BK166" s="2"/>
      <c r="BL166" s="8" t="str">
        <f t="shared" si="47"/>
        <v>+</v>
      </c>
    </row>
    <row r="167" spans="1:64">
      <c r="A167" s="1">
        <v>23285</v>
      </c>
      <c r="B167">
        <v>56.9</v>
      </c>
      <c r="C167">
        <v>59.8</v>
      </c>
      <c r="D167">
        <v>54.8</v>
      </c>
      <c r="E167">
        <v>63.2</v>
      </c>
      <c r="F167">
        <v>49.7</v>
      </c>
      <c r="G167">
        <v>47.9</v>
      </c>
      <c r="I167">
        <v>57.8</v>
      </c>
      <c r="W167" s="1">
        <v>23285</v>
      </c>
      <c r="X167">
        <v>74.010002</v>
      </c>
      <c r="Y167" s="4">
        <f t="shared" si="48"/>
        <v>3.2217644304782939E-2</v>
      </c>
      <c r="Z167" s="4">
        <f t="shared" si="50"/>
        <v>0.30944801840056613</v>
      </c>
      <c r="AA167">
        <v>56.9</v>
      </c>
      <c r="AB167">
        <f t="shared" si="51"/>
        <v>50</v>
      </c>
      <c r="AP167" s="3">
        <v>23255</v>
      </c>
      <c r="AQ167" s="2">
        <v>55.1</v>
      </c>
      <c r="AR167" s="2" t="str">
        <f t="shared" si="52"/>
        <v>-</v>
      </c>
      <c r="AS167" s="2">
        <v>62</v>
      </c>
      <c r="AT167" s="8" t="str">
        <f t="shared" ref="AT167:AT230" si="53">IF(OR(AS167&gt;AS166,AS167=AS166),"+","-")</f>
        <v>+</v>
      </c>
      <c r="AU167" s="2">
        <v>56.8</v>
      </c>
      <c r="AV167" s="8" t="str">
        <f t="shared" ref="AV167:AV230" si="54">IF(OR(AU167&gt;AU166,AU167=AU166),"+","-")</f>
        <v>-</v>
      </c>
      <c r="AW167" s="2">
        <v>51.1</v>
      </c>
      <c r="AX167" s="8" t="str">
        <f t="shared" ref="AX167:AX230" si="55">IF(OR(AW167&gt;AW166,AW167=AW166),"+","-")</f>
        <v>-</v>
      </c>
      <c r="AY167" s="2">
        <v>48.5</v>
      </c>
      <c r="AZ167" s="8" t="str">
        <f t="shared" ref="AZ167:AZ230" si="56">IF(OR(AY167&gt;AY166,AY167=AY166),"+","-")</f>
        <v>+</v>
      </c>
      <c r="BA167" s="2">
        <v>48.1</v>
      </c>
      <c r="BB167" s="8" t="str">
        <f t="shared" ref="BB167:BB230" si="57">IF(OR(BA167&gt;BA166,BA167=BA166),"+","-")</f>
        <v>-</v>
      </c>
      <c r="BC167" s="2"/>
      <c r="BD167" s="8" t="str">
        <f t="shared" ref="BD167:BD230" si="58">IF(OR(BC167&gt;BC166,BC167=BC166),"+","-")</f>
        <v>+</v>
      </c>
      <c r="BE167" s="2">
        <v>59.8</v>
      </c>
      <c r="BF167" s="8" t="str">
        <f t="shared" si="49"/>
        <v>-</v>
      </c>
      <c r="BG167" s="2"/>
      <c r="BH167" s="8" t="str">
        <f t="shared" ref="BH167:BH230" si="59">IF(OR(BG167&gt;BG166,BG167=BG166),"+","-")</f>
        <v>+</v>
      </c>
      <c r="BI167" s="2"/>
      <c r="BJ167" s="8" t="str">
        <f t="shared" ref="BJ167:BJ230" si="60">IF(OR(BI167&gt;BI166,BI167=BI166),"+","-")</f>
        <v>+</v>
      </c>
      <c r="BK167" s="2"/>
      <c r="BL167" s="8" t="str">
        <f t="shared" ref="BL167:BL230" si="61">IF(OR(BK167&gt;BK166,BK167=BK166),"+","-")</f>
        <v>+</v>
      </c>
    </row>
    <row r="168" spans="1:64">
      <c r="A168" s="1">
        <v>23316</v>
      </c>
      <c r="B168">
        <v>57.7</v>
      </c>
      <c r="C168">
        <v>64</v>
      </c>
      <c r="D168">
        <v>54.5</v>
      </c>
      <c r="E168">
        <v>63.3</v>
      </c>
      <c r="F168">
        <v>47.4</v>
      </c>
      <c r="G168">
        <v>46.4</v>
      </c>
      <c r="I168">
        <v>76.900000000000006</v>
      </c>
      <c r="W168" s="1">
        <v>23316</v>
      </c>
      <c r="X168">
        <v>73.230002999999996</v>
      </c>
      <c r="Y168" s="4">
        <f t="shared" si="48"/>
        <v>-1.0539102539140638E-2</v>
      </c>
      <c r="Z168" s="4">
        <f t="shared" si="50"/>
        <v>0.17619668089292251</v>
      </c>
      <c r="AA168">
        <v>57.7</v>
      </c>
      <c r="AB168">
        <f t="shared" si="51"/>
        <v>51.2</v>
      </c>
      <c r="AP168" s="3">
        <v>23285</v>
      </c>
      <c r="AQ168" s="2">
        <v>56.9</v>
      </c>
      <c r="AR168" s="2" t="str">
        <f t="shared" si="52"/>
        <v>+</v>
      </c>
      <c r="AS168" s="2">
        <v>59.8</v>
      </c>
      <c r="AT168" s="8" t="str">
        <f t="shared" si="53"/>
        <v>-</v>
      </c>
      <c r="AU168" s="2">
        <v>63.2</v>
      </c>
      <c r="AV168" s="8" t="str">
        <f t="shared" si="54"/>
        <v>+</v>
      </c>
      <c r="AW168" s="2">
        <v>54.8</v>
      </c>
      <c r="AX168" s="8" t="str">
        <f t="shared" si="55"/>
        <v>+</v>
      </c>
      <c r="AY168" s="2">
        <v>49.7</v>
      </c>
      <c r="AZ168" s="8" t="str">
        <f t="shared" si="56"/>
        <v>+</v>
      </c>
      <c r="BA168" s="2">
        <v>47.9</v>
      </c>
      <c r="BB168" s="8" t="str">
        <f t="shared" si="57"/>
        <v>-</v>
      </c>
      <c r="BC168" s="2"/>
      <c r="BD168" s="8" t="str">
        <f t="shared" si="58"/>
        <v>+</v>
      </c>
      <c r="BE168" s="2">
        <v>57.8</v>
      </c>
      <c r="BF168" s="8" t="str">
        <f t="shared" si="49"/>
        <v>-</v>
      </c>
      <c r="BG168" s="2"/>
      <c r="BH168" s="8" t="str">
        <f t="shared" si="59"/>
        <v>+</v>
      </c>
      <c r="BI168" s="2"/>
      <c r="BJ168" s="8" t="str">
        <f t="shared" si="60"/>
        <v>+</v>
      </c>
      <c r="BK168" s="2"/>
      <c r="BL168" s="8" t="str">
        <f t="shared" si="61"/>
        <v>+</v>
      </c>
    </row>
    <row r="169" spans="1:64">
      <c r="A169" s="1">
        <v>23346</v>
      </c>
      <c r="B169">
        <v>57.5</v>
      </c>
      <c r="C169">
        <v>63.7</v>
      </c>
      <c r="D169">
        <v>53.5</v>
      </c>
      <c r="E169">
        <v>64.099999999999994</v>
      </c>
      <c r="F169">
        <v>48.7</v>
      </c>
      <c r="G169">
        <v>43.7</v>
      </c>
      <c r="I169">
        <v>66.2</v>
      </c>
      <c r="W169" s="1">
        <v>23346</v>
      </c>
      <c r="X169">
        <v>75.019997000000004</v>
      </c>
      <c r="Y169" s="4">
        <f t="shared" si="48"/>
        <v>2.4443451135731993E-2</v>
      </c>
      <c r="Z169" s="4">
        <f t="shared" si="50"/>
        <v>0.18890648776248781</v>
      </c>
      <c r="AA169">
        <v>57.5</v>
      </c>
      <c r="AB169">
        <f t="shared" si="51"/>
        <v>53.8</v>
      </c>
      <c r="AP169" s="3">
        <v>23316</v>
      </c>
      <c r="AQ169" s="2">
        <v>57.7</v>
      </c>
      <c r="AR169" s="2" t="str">
        <f t="shared" si="52"/>
        <v>+</v>
      </c>
      <c r="AS169" s="2">
        <v>64</v>
      </c>
      <c r="AT169" s="8" t="str">
        <f t="shared" si="53"/>
        <v>+</v>
      </c>
      <c r="AU169" s="2">
        <v>63.3</v>
      </c>
      <c r="AV169" s="8" t="str">
        <f t="shared" si="54"/>
        <v>+</v>
      </c>
      <c r="AW169" s="2">
        <v>54.5</v>
      </c>
      <c r="AX169" s="8" t="str">
        <f t="shared" si="55"/>
        <v>-</v>
      </c>
      <c r="AY169" s="2">
        <v>47.4</v>
      </c>
      <c r="AZ169" s="8" t="str">
        <f t="shared" si="56"/>
        <v>-</v>
      </c>
      <c r="BA169" s="2">
        <v>46.4</v>
      </c>
      <c r="BB169" s="8" t="str">
        <f t="shared" si="57"/>
        <v>-</v>
      </c>
      <c r="BC169" s="2"/>
      <c r="BD169" s="8" t="str">
        <f t="shared" si="58"/>
        <v>+</v>
      </c>
      <c r="BE169" s="2">
        <v>76.900000000000006</v>
      </c>
      <c r="BF169" s="8" t="str">
        <f t="shared" si="49"/>
        <v>+</v>
      </c>
      <c r="BG169" s="2"/>
      <c r="BH169" s="8" t="str">
        <f t="shared" si="59"/>
        <v>+</v>
      </c>
      <c r="BI169" s="2"/>
      <c r="BJ169" s="8" t="str">
        <f t="shared" si="60"/>
        <v>+</v>
      </c>
      <c r="BK169" s="2"/>
      <c r="BL169" s="8" t="str">
        <f t="shared" si="61"/>
        <v>+</v>
      </c>
    </row>
    <row r="170" spans="1:64">
      <c r="A170" s="1">
        <v>23377</v>
      </c>
      <c r="B170">
        <v>54</v>
      </c>
      <c r="C170">
        <v>58.6</v>
      </c>
      <c r="D170">
        <v>48.4</v>
      </c>
      <c r="E170">
        <v>60.7</v>
      </c>
      <c r="F170">
        <v>47.6</v>
      </c>
      <c r="G170">
        <v>44.2</v>
      </c>
      <c r="I170">
        <v>64.400000000000006</v>
      </c>
      <c r="W170" s="1">
        <v>23377</v>
      </c>
      <c r="X170">
        <v>77.040001000000004</v>
      </c>
      <c r="Y170" s="4">
        <f t="shared" si="48"/>
        <v>2.6926207421735834E-2</v>
      </c>
      <c r="Z170" s="4">
        <f t="shared" si="50"/>
        <v>0.16374629140844232</v>
      </c>
      <c r="AA170">
        <v>54</v>
      </c>
      <c r="AB170">
        <f t="shared" si="51"/>
        <v>57.2</v>
      </c>
      <c r="AP170" s="3">
        <v>23346</v>
      </c>
      <c r="AQ170" s="2">
        <v>57.5</v>
      </c>
      <c r="AR170" s="2" t="str">
        <f t="shared" si="52"/>
        <v>-</v>
      </c>
      <c r="AS170" s="2">
        <v>63.7</v>
      </c>
      <c r="AT170" s="8" t="str">
        <f t="shared" si="53"/>
        <v>-</v>
      </c>
      <c r="AU170" s="2">
        <v>64.099999999999994</v>
      </c>
      <c r="AV170" s="8" t="str">
        <f t="shared" si="54"/>
        <v>+</v>
      </c>
      <c r="AW170" s="2">
        <v>53.5</v>
      </c>
      <c r="AX170" s="8" t="str">
        <f t="shared" si="55"/>
        <v>-</v>
      </c>
      <c r="AY170" s="2">
        <v>48.7</v>
      </c>
      <c r="AZ170" s="8" t="str">
        <f t="shared" si="56"/>
        <v>+</v>
      </c>
      <c r="BA170" s="2">
        <v>43.7</v>
      </c>
      <c r="BB170" s="8" t="str">
        <f t="shared" si="57"/>
        <v>-</v>
      </c>
      <c r="BC170" s="2"/>
      <c r="BD170" s="8" t="str">
        <f t="shared" si="58"/>
        <v>+</v>
      </c>
      <c r="BE170" s="2">
        <v>66.2</v>
      </c>
      <c r="BF170" s="8" t="str">
        <f t="shared" si="49"/>
        <v>-</v>
      </c>
      <c r="BG170" s="2"/>
      <c r="BH170" s="8" t="str">
        <f t="shared" si="59"/>
        <v>+</v>
      </c>
      <c r="BI170" s="2"/>
      <c r="BJ170" s="8" t="str">
        <f t="shared" si="60"/>
        <v>+</v>
      </c>
      <c r="BK170" s="2"/>
      <c r="BL170" s="8" t="str">
        <f t="shared" si="61"/>
        <v>+</v>
      </c>
    </row>
    <row r="171" spans="1:64">
      <c r="A171" s="1">
        <v>23408</v>
      </c>
      <c r="B171">
        <v>57.1</v>
      </c>
      <c r="C171">
        <v>61.3</v>
      </c>
      <c r="D171">
        <v>51.4</v>
      </c>
      <c r="E171">
        <v>63.3</v>
      </c>
      <c r="F171">
        <v>55.3</v>
      </c>
      <c r="G171">
        <v>42.9</v>
      </c>
      <c r="I171">
        <v>60</v>
      </c>
      <c r="W171" s="1">
        <v>23408</v>
      </c>
      <c r="X171">
        <v>77.800003000000004</v>
      </c>
      <c r="Y171" s="4">
        <f t="shared" si="48"/>
        <v>9.8650310245972095E-3</v>
      </c>
      <c r="Z171" s="4">
        <f t="shared" si="50"/>
        <v>0.21014157395953376</v>
      </c>
      <c r="AA171">
        <v>57.1</v>
      </c>
      <c r="AB171">
        <f t="shared" si="51"/>
        <v>55.2</v>
      </c>
      <c r="AP171" s="3">
        <v>23377</v>
      </c>
      <c r="AQ171" s="2">
        <v>54</v>
      </c>
      <c r="AR171" s="2" t="str">
        <f t="shared" si="52"/>
        <v>-</v>
      </c>
      <c r="AS171" s="2">
        <v>58.6</v>
      </c>
      <c r="AT171" s="8" t="str">
        <f t="shared" si="53"/>
        <v>-</v>
      </c>
      <c r="AU171" s="2">
        <v>60.7</v>
      </c>
      <c r="AV171" s="8" t="str">
        <f t="shared" si="54"/>
        <v>-</v>
      </c>
      <c r="AW171" s="2">
        <v>48.4</v>
      </c>
      <c r="AX171" s="8" t="str">
        <f t="shared" si="55"/>
        <v>-</v>
      </c>
      <c r="AY171" s="2">
        <v>47.6</v>
      </c>
      <c r="AZ171" s="8" t="str">
        <f t="shared" si="56"/>
        <v>-</v>
      </c>
      <c r="BA171" s="2">
        <v>44.2</v>
      </c>
      <c r="BB171" s="8" t="str">
        <f t="shared" si="57"/>
        <v>+</v>
      </c>
      <c r="BC171" s="2"/>
      <c r="BD171" s="8" t="str">
        <f t="shared" si="58"/>
        <v>+</v>
      </c>
      <c r="BE171" s="2">
        <v>64.400000000000006</v>
      </c>
      <c r="BF171" s="8" t="str">
        <f t="shared" si="49"/>
        <v>-</v>
      </c>
      <c r="BG171" s="2"/>
      <c r="BH171" s="8" t="str">
        <f t="shared" si="59"/>
        <v>+</v>
      </c>
      <c r="BI171" s="2"/>
      <c r="BJ171" s="8" t="str">
        <f t="shared" si="60"/>
        <v>+</v>
      </c>
      <c r="BK171" s="2"/>
      <c r="BL171" s="8" t="str">
        <f t="shared" si="61"/>
        <v>+</v>
      </c>
    </row>
    <row r="172" spans="1:64">
      <c r="A172" s="1">
        <v>23437</v>
      </c>
      <c r="B172">
        <v>57.9</v>
      </c>
      <c r="C172">
        <v>61.8</v>
      </c>
      <c r="D172">
        <v>52.7</v>
      </c>
      <c r="E172">
        <v>64</v>
      </c>
      <c r="F172">
        <v>51.9</v>
      </c>
      <c r="G172">
        <v>50.4</v>
      </c>
      <c r="I172">
        <v>60.1</v>
      </c>
      <c r="W172" s="1">
        <v>23437</v>
      </c>
      <c r="X172">
        <v>78.980002999999996</v>
      </c>
      <c r="Y172" s="4">
        <f t="shared" si="48"/>
        <v>1.5167094530831735E-2</v>
      </c>
      <c r="Z172" s="4">
        <f t="shared" si="50"/>
        <v>0.18642035451404543</v>
      </c>
      <c r="AA172">
        <v>57.9</v>
      </c>
      <c r="AB172">
        <f t="shared" si="51"/>
        <v>55.1</v>
      </c>
      <c r="AP172" s="3">
        <v>23408</v>
      </c>
      <c r="AQ172" s="2">
        <v>57.1</v>
      </c>
      <c r="AR172" s="2" t="str">
        <f t="shared" si="52"/>
        <v>+</v>
      </c>
      <c r="AS172" s="2">
        <v>61.3</v>
      </c>
      <c r="AT172" s="8" t="str">
        <f t="shared" si="53"/>
        <v>+</v>
      </c>
      <c r="AU172" s="2">
        <v>63.3</v>
      </c>
      <c r="AV172" s="8" t="str">
        <f t="shared" si="54"/>
        <v>+</v>
      </c>
      <c r="AW172" s="2">
        <v>51.4</v>
      </c>
      <c r="AX172" s="8" t="str">
        <f t="shared" si="55"/>
        <v>+</v>
      </c>
      <c r="AY172" s="2">
        <v>55.3</v>
      </c>
      <c r="AZ172" s="8" t="str">
        <f t="shared" si="56"/>
        <v>+</v>
      </c>
      <c r="BA172" s="2">
        <v>42.9</v>
      </c>
      <c r="BB172" s="8" t="str">
        <f t="shared" si="57"/>
        <v>-</v>
      </c>
      <c r="BC172" s="2"/>
      <c r="BD172" s="8" t="str">
        <f t="shared" si="58"/>
        <v>+</v>
      </c>
      <c r="BE172" s="2">
        <v>60</v>
      </c>
      <c r="BF172" s="8" t="str">
        <f t="shared" si="49"/>
        <v>-</v>
      </c>
      <c r="BG172" s="2"/>
      <c r="BH172" s="8" t="str">
        <f t="shared" si="59"/>
        <v>+</v>
      </c>
      <c r="BI172" s="2"/>
      <c r="BJ172" s="8" t="str">
        <f t="shared" si="60"/>
        <v>+</v>
      </c>
      <c r="BK172" s="2"/>
      <c r="BL172" s="8" t="str">
        <f t="shared" si="61"/>
        <v>+</v>
      </c>
    </row>
    <row r="173" spans="1:64">
      <c r="A173" s="1">
        <v>23468</v>
      </c>
      <c r="B173">
        <v>60.2</v>
      </c>
      <c r="C173">
        <v>61.7</v>
      </c>
      <c r="D173">
        <v>55.2</v>
      </c>
      <c r="E173">
        <v>64.400000000000006</v>
      </c>
      <c r="F173">
        <v>60.3</v>
      </c>
      <c r="G173">
        <v>54.6</v>
      </c>
      <c r="I173">
        <v>60.6</v>
      </c>
      <c r="W173" s="1">
        <v>23468</v>
      </c>
      <c r="X173">
        <v>79.459998999999996</v>
      </c>
      <c r="Y173" s="4">
        <f t="shared" si="48"/>
        <v>6.0774370950580983E-3</v>
      </c>
      <c r="Z173" s="4">
        <f t="shared" si="50"/>
        <v>0.1383953522179647</v>
      </c>
      <c r="AA173">
        <v>60.2</v>
      </c>
      <c r="AB173">
        <f t="shared" si="51"/>
        <v>54.7</v>
      </c>
      <c r="AP173" s="3">
        <v>23437</v>
      </c>
      <c r="AQ173" s="2">
        <v>57.9</v>
      </c>
      <c r="AR173" s="2" t="str">
        <f t="shared" si="52"/>
        <v>+</v>
      </c>
      <c r="AS173" s="2">
        <v>61.8</v>
      </c>
      <c r="AT173" s="8" t="str">
        <f t="shared" si="53"/>
        <v>+</v>
      </c>
      <c r="AU173" s="2">
        <v>64</v>
      </c>
      <c r="AV173" s="8" t="str">
        <f t="shared" si="54"/>
        <v>+</v>
      </c>
      <c r="AW173" s="2">
        <v>52.7</v>
      </c>
      <c r="AX173" s="8" t="str">
        <f t="shared" si="55"/>
        <v>+</v>
      </c>
      <c r="AY173" s="2">
        <v>51.9</v>
      </c>
      <c r="AZ173" s="8" t="str">
        <f t="shared" si="56"/>
        <v>-</v>
      </c>
      <c r="BA173" s="2">
        <v>50.4</v>
      </c>
      <c r="BB173" s="8" t="str">
        <f t="shared" si="57"/>
        <v>+</v>
      </c>
      <c r="BC173" s="2"/>
      <c r="BD173" s="8" t="str">
        <f t="shared" si="58"/>
        <v>+</v>
      </c>
      <c r="BE173" s="2">
        <v>60.1</v>
      </c>
      <c r="BF173" s="8" t="str">
        <f t="shared" si="49"/>
        <v>+</v>
      </c>
      <c r="BG173" s="2"/>
      <c r="BH173" s="8" t="str">
        <f t="shared" si="59"/>
        <v>+</v>
      </c>
      <c r="BI173" s="2"/>
      <c r="BJ173" s="8" t="str">
        <f t="shared" si="60"/>
        <v>+</v>
      </c>
      <c r="BK173" s="2"/>
      <c r="BL173" s="8" t="str">
        <f t="shared" si="61"/>
        <v>+</v>
      </c>
    </row>
    <row r="174" spans="1:64">
      <c r="A174" s="1">
        <v>23498</v>
      </c>
      <c r="B174">
        <v>59.2</v>
      </c>
      <c r="C174">
        <v>63.6</v>
      </c>
      <c r="D174">
        <v>55.2</v>
      </c>
      <c r="E174">
        <v>60.6</v>
      </c>
      <c r="F174">
        <v>57.7</v>
      </c>
      <c r="G174">
        <v>53.1</v>
      </c>
      <c r="I174">
        <v>65.400000000000006</v>
      </c>
      <c r="W174" s="1">
        <v>23498</v>
      </c>
      <c r="X174">
        <v>80.370002999999997</v>
      </c>
      <c r="Y174" s="4">
        <f t="shared" si="48"/>
        <v>1.1452353529478407E-2</v>
      </c>
      <c r="Z174" s="4">
        <f t="shared" si="50"/>
        <v>0.13516948579790303</v>
      </c>
      <c r="AA174">
        <v>59.2</v>
      </c>
      <c r="AB174">
        <f t="shared" si="51"/>
        <v>57.6</v>
      </c>
      <c r="AP174" s="3">
        <v>23468</v>
      </c>
      <c r="AQ174" s="2">
        <v>60.2</v>
      </c>
      <c r="AR174" s="2" t="str">
        <f t="shared" si="52"/>
        <v>+</v>
      </c>
      <c r="AS174" s="2">
        <v>61.7</v>
      </c>
      <c r="AT174" s="8" t="str">
        <f t="shared" si="53"/>
        <v>-</v>
      </c>
      <c r="AU174" s="2">
        <v>64.400000000000006</v>
      </c>
      <c r="AV174" s="8" t="str">
        <f t="shared" si="54"/>
        <v>+</v>
      </c>
      <c r="AW174" s="2">
        <v>55.2</v>
      </c>
      <c r="AX174" s="8" t="str">
        <f t="shared" si="55"/>
        <v>+</v>
      </c>
      <c r="AY174" s="2">
        <v>60.3</v>
      </c>
      <c r="AZ174" s="8" t="str">
        <f t="shared" si="56"/>
        <v>+</v>
      </c>
      <c r="BA174" s="2">
        <v>54.6</v>
      </c>
      <c r="BB174" s="8" t="str">
        <f t="shared" si="57"/>
        <v>+</v>
      </c>
      <c r="BC174" s="2"/>
      <c r="BD174" s="8" t="str">
        <f t="shared" si="58"/>
        <v>+</v>
      </c>
      <c r="BE174" s="2">
        <v>60.6</v>
      </c>
      <c r="BF174" s="8" t="str">
        <f t="shared" si="49"/>
        <v>+</v>
      </c>
      <c r="BG174" s="2"/>
      <c r="BH174" s="8" t="str">
        <f t="shared" si="59"/>
        <v>+</v>
      </c>
      <c r="BI174" s="2"/>
      <c r="BJ174" s="8" t="str">
        <f t="shared" si="60"/>
        <v>+</v>
      </c>
      <c r="BK174" s="2"/>
      <c r="BL174" s="8" t="str">
        <f t="shared" si="61"/>
        <v>+</v>
      </c>
    </row>
    <row r="175" spans="1:64">
      <c r="A175" s="1">
        <v>23529</v>
      </c>
      <c r="B175">
        <v>58.7</v>
      </c>
      <c r="C175">
        <v>59.9</v>
      </c>
      <c r="D175">
        <v>56</v>
      </c>
      <c r="E175">
        <v>61</v>
      </c>
      <c r="F175">
        <v>61.4</v>
      </c>
      <c r="G175">
        <v>50.3</v>
      </c>
      <c r="I175">
        <v>60.3</v>
      </c>
      <c r="W175" s="1">
        <v>23529</v>
      </c>
      <c r="X175">
        <v>81.690002000000007</v>
      </c>
      <c r="Y175" s="4">
        <f t="shared" si="48"/>
        <v>1.6424025764936328E-2</v>
      </c>
      <c r="Z175" s="4">
        <f t="shared" si="50"/>
        <v>0.17759836337328702</v>
      </c>
      <c r="AA175">
        <v>58.7</v>
      </c>
      <c r="AB175">
        <f t="shared" si="51"/>
        <v>59.8</v>
      </c>
      <c r="AP175" s="3">
        <v>23498</v>
      </c>
      <c r="AQ175" s="2">
        <v>59.2</v>
      </c>
      <c r="AR175" s="2" t="str">
        <f t="shared" si="52"/>
        <v>-</v>
      </c>
      <c r="AS175" s="2">
        <v>63.6</v>
      </c>
      <c r="AT175" s="8" t="str">
        <f t="shared" si="53"/>
        <v>+</v>
      </c>
      <c r="AU175" s="2">
        <v>60.6</v>
      </c>
      <c r="AV175" s="8" t="str">
        <f t="shared" si="54"/>
        <v>-</v>
      </c>
      <c r="AW175" s="2">
        <v>55.2</v>
      </c>
      <c r="AX175" s="8" t="str">
        <f t="shared" si="55"/>
        <v>+</v>
      </c>
      <c r="AY175" s="2">
        <v>57.7</v>
      </c>
      <c r="AZ175" s="8" t="str">
        <f t="shared" si="56"/>
        <v>-</v>
      </c>
      <c r="BA175" s="2">
        <v>53.1</v>
      </c>
      <c r="BB175" s="8" t="str">
        <f t="shared" si="57"/>
        <v>-</v>
      </c>
      <c r="BC175" s="2"/>
      <c r="BD175" s="8" t="str">
        <f t="shared" si="58"/>
        <v>+</v>
      </c>
      <c r="BE175" s="2">
        <v>65.400000000000006</v>
      </c>
      <c r="BF175" s="8" t="str">
        <f t="shared" si="49"/>
        <v>+</v>
      </c>
      <c r="BG175" s="2"/>
      <c r="BH175" s="8" t="str">
        <f t="shared" si="59"/>
        <v>+</v>
      </c>
      <c r="BI175" s="2"/>
      <c r="BJ175" s="8" t="str">
        <f t="shared" si="60"/>
        <v>+</v>
      </c>
      <c r="BK175" s="2"/>
      <c r="BL175" s="8" t="str">
        <f t="shared" si="61"/>
        <v>+</v>
      </c>
    </row>
    <row r="176" spans="1:64">
      <c r="A176" s="1">
        <v>23559</v>
      </c>
      <c r="B176">
        <v>60.1</v>
      </c>
      <c r="C176">
        <v>64.7</v>
      </c>
      <c r="D176">
        <v>55.7</v>
      </c>
      <c r="E176">
        <v>62.1</v>
      </c>
      <c r="F176">
        <v>57.6</v>
      </c>
      <c r="G176">
        <v>53.5</v>
      </c>
      <c r="I176">
        <v>58.9</v>
      </c>
      <c r="W176" s="1">
        <v>23559</v>
      </c>
      <c r="X176">
        <v>83.18</v>
      </c>
      <c r="Y176" s="4">
        <f t="shared" si="48"/>
        <v>1.8239661690790505E-2</v>
      </c>
      <c r="Z176" s="4">
        <f t="shared" si="50"/>
        <v>0.2032403241678139</v>
      </c>
      <c r="AA176">
        <v>60.1</v>
      </c>
      <c r="AB176">
        <f t="shared" si="51"/>
        <v>58.2</v>
      </c>
      <c r="AP176" s="3">
        <v>23529</v>
      </c>
      <c r="AQ176" s="2">
        <v>58.7</v>
      </c>
      <c r="AR176" s="2" t="str">
        <f t="shared" si="52"/>
        <v>-</v>
      </c>
      <c r="AS176" s="2">
        <v>59.9</v>
      </c>
      <c r="AT176" s="8" t="str">
        <f t="shared" si="53"/>
        <v>-</v>
      </c>
      <c r="AU176" s="2">
        <v>61</v>
      </c>
      <c r="AV176" s="8" t="str">
        <f t="shared" si="54"/>
        <v>+</v>
      </c>
      <c r="AW176" s="2">
        <v>56</v>
      </c>
      <c r="AX176" s="8" t="str">
        <f t="shared" si="55"/>
        <v>+</v>
      </c>
      <c r="AY176" s="2">
        <v>61.4</v>
      </c>
      <c r="AZ176" s="8" t="str">
        <f t="shared" si="56"/>
        <v>+</v>
      </c>
      <c r="BA176" s="2">
        <v>50.3</v>
      </c>
      <c r="BB176" s="8" t="str">
        <f t="shared" si="57"/>
        <v>-</v>
      </c>
      <c r="BC176" s="2"/>
      <c r="BD176" s="8" t="str">
        <f t="shared" si="58"/>
        <v>+</v>
      </c>
      <c r="BE176" s="2">
        <v>60.3</v>
      </c>
      <c r="BF176" s="8" t="str">
        <f t="shared" si="49"/>
        <v>-</v>
      </c>
      <c r="BG176" s="2"/>
      <c r="BH176" s="8" t="str">
        <f t="shared" si="59"/>
        <v>+</v>
      </c>
      <c r="BI176" s="2"/>
      <c r="BJ176" s="8" t="str">
        <f t="shared" si="60"/>
        <v>+</v>
      </c>
      <c r="BK176" s="2"/>
      <c r="BL176" s="8" t="str">
        <f t="shared" si="61"/>
        <v>+</v>
      </c>
    </row>
    <row r="177" spans="1:64">
      <c r="A177" s="1">
        <v>23590</v>
      </c>
      <c r="B177">
        <v>62.9</v>
      </c>
      <c r="C177">
        <v>69.900000000000006</v>
      </c>
      <c r="D177">
        <v>56.3</v>
      </c>
      <c r="E177">
        <v>63.7</v>
      </c>
      <c r="F177">
        <v>61.8</v>
      </c>
      <c r="G177">
        <v>55.5</v>
      </c>
      <c r="I177">
        <v>60.9</v>
      </c>
      <c r="W177" s="1">
        <v>23590</v>
      </c>
      <c r="X177">
        <v>81.830001999999993</v>
      </c>
      <c r="Y177" s="4">
        <f t="shared" si="48"/>
        <v>-1.6229838903582754E-2</v>
      </c>
      <c r="Z177" s="4">
        <f t="shared" si="50"/>
        <v>0.12868968275862058</v>
      </c>
      <c r="AA177">
        <v>62.9</v>
      </c>
      <c r="AB177">
        <f t="shared" si="51"/>
        <v>55.5</v>
      </c>
      <c r="AP177" s="3">
        <v>23559</v>
      </c>
      <c r="AQ177" s="2">
        <v>60.1</v>
      </c>
      <c r="AR177" s="2" t="str">
        <f t="shared" si="52"/>
        <v>+</v>
      </c>
      <c r="AS177" s="2">
        <v>64.7</v>
      </c>
      <c r="AT177" s="8" t="str">
        <f t="shared" si="53"/>
        <v>+</v>
      </c>
      <c r="AU177" s="2">
        <v>62.1</v>
      </c>
      <c r="AV177" s="8" t="str">
        <f t="shared" si="54"/>
        <v>+</v>
      </c>
      <c r="AW177" s="2">
        <v>55.7</v>
      </c>
      <c r="AX177" s="8" t="str">
        <f t="shared" si="55"/>
        <v>-</v>
      </c>
      <c r="AY177" s="2">
        <v>57.6</v>
      </c>
      <c r="AZ177" s="8" t="str">
        <f t="shared" si="56"/>
        <v>-</v>
      </c>
      <c r="BA177" s="2">
        <v>53.5</v>
      </c>
      <c r="BB177" s="8" t="str">
        <f t="shared" si="57"/>
        <v>+</v>
      </c>
      <c r="BC177" s="2"/>
      <c r="BD177" s="8" t="str">
        <f t="shared" si="58"/>
        <v>+</v>
      </c>
      <c r="BE177" s="2">
        <v>58.9</v>
      </c>
      <c r="BF177" s="8" t="str">
        <f t="shared" si="49"/>
        <v>-</v>
      </c>
      <c r="BG177" s="2"/>
      <c r="BH177" s="8" t="str">
        <f t="shared" si="59"/>
        <v>+</v>
      </c>
      <c r="BI177" s="2"/>
      <c r="BJ177" s="8" t="str">
        <f t="shared" si="60"/>
        <v>+</v>
      </c>
      <c r="BK177" s="2"/>
      <c r="BL177" s="8" t="str">
        <f t="shared" si="61"/>
        <v>+</v>
      </c>
    </row>
    <row r="178" spans="1:64">
      <c r="A178" s="1">
        <v>23621</v>
      </c>
      <c r="B178">
        <v>63.3</v>
      </c>
      <c r="C178">
        <v>68</v>
      </c>
      <c r="D178">
        <v>58</v>
      </c>
      <c r="E178">
        <v>63.9</v>
      </c>
      <c r="F178">
        <v>66.2</v>
      </c>
      <c r="G178">
        <v>53.5</v>
      </c>
      <c r="I178">
        <v>61.7</v>
      </c>
      <c r="W178" s="1">
        <v>23621</v>
      </c>
      <c r="X178">
        <v>84.18</v>
      </c>
      <c r="Y178" s="4">
        <f t="shared" si="48"/>
        <v>2.8718048913160404E-2</v>
      </c>
      <c r="Z178" s="4">
        <f t="shared" si="50"/>
        <v>0.17405862652964979</v>
      </c>
      <c r="AA178">
        <v>63.3</v>
      </c>
      <c r="AB178">
        <f t="shared" si="51"/>
        <v>55.1</v>
      </c>
      <c r="AP178" s="3">
        <v>23590</v>
      </c>
      <c r="AQ178" s="2">
        <v>62.9</v>
      </c>
      <c r="AR178" s="2" t="str">
        <f t="shared" si="52"/>
        <v>+</v>
      </c>
      <c r="AS178" s="2">
        <v>69.900000000000006</v>
      </c>
      <c r="AT178" s="8" t="str">
        <f t="shared" si="53"/>
        <v>+</v>
      </c>
      <c r="AU178" s="2">
        <v>63.7</v>
      </c>
      <c r="AV178" s="8" t="str">
        <f t="shared" si="54"/>
        <v>+</v>
      </c>
      <c r="AW178" s="2">
        <v>56.3</v>
      </c>
      <c r="AX178" s="8" t="str">
        <f t="shared" si="55"/>
        <v>+</v>
      </c>
      <c r="AY178" s="2">
        <v>61.8</v>
      </c>
      <c r="AZ178" s="8" t="str">
        <f t="shared" si="56"/>
        <v>+</v>
      </c>
      <c r="BA178" s="2">
        <v>55.5</v>
      </c>
      <c r="BB178" s="8" t="str">
        <f t="shared" si="57"/>
        <v>+</v>
      </c>
      <c r="BC178" s="2"/>
      <c r="BD178" s="8" t="str">
        <f t="shared" si="58"/>
        <v>+</v>
      </c>
      <c r="BE178" s="2">
        <v>60.9</v>
      </c>
      <c r="BF178" s="8" t="str">
        <f t="shared" si="49"/>
        <v>+</v>
      </c>
      <c r="BG178" s="2"/>
      <c r="BH178" s="8" t="str">
        <f t="shared" si="59"/>
        <v>+</v>
      </c>
      <c r="BI178" s="2"/>
      <c r="BJ178" s="8" t="str">
        <f t="shared" si="60"/>
        <v>+</v>
      </c>
      <c r="BK178" s="2"/>
      <c r="BL178" s="8" t="str">
        <f t="shared" si="61"/>
        <v>+</v>
      </c>
    </row>
    <row r="179" spans="1:64">
      <c r="A179" s="1">
        <v>23651</v>
      </c>
      <c r="B179">
        <v>63.3</v>
      </c>
      <c r="C179">
        <v>63.3</v>
      </c>
      <c r="D179">
        <v>56.8</v>
      </c>
      <c r="E179">
        <v>64.900000000000006</v>
      </c>
      <c r="F179">
        <v>71.900000000000006</v>
      </c>
      <c r="G179">
        <v>59</v>
      </c>
      <c r="I179">
        <v>64.8</v>
      </c>
      <c r="W179" s="1">
        <v>23651</v>
      </c>
      <c r="X179">
        <v>84.860000999999997</v>
      </c>
      <c r="Y179" s="4">
        <f t="shared" si="48"/>
        <v>8.0779401282963896E-3</v>
      </c>
      <c r="Z179" s="4">
        <f t="shared" si="50"/>
        <v>0.14660179309277679</v>
      </c>
      <c r="AA179">
        <v>63.3</v>
      </c>
      <c r="AB179">
        <f t="shared" si="51"/>
        <v>56.9</v>
      </c>
      <c r="AP179" s="3">
        <v>23621</v>
      </c>
      <c r="AQ179" s="2">
        <v>63.3</v>
      </c>
      <c r="AR179" s="2" t="str">
        <f t="shared" si="52"/>
        <v>+</v>
      </c>
      <c r="AS179" s="2">
        <v>68</v>
      </c>
      <c r="AT179" s="8" t="str">
        <f t="shared" si="53"/>
        <v>-</v>
      </c>
      <c r="AU179" s="2">
        <v>63.9</v>
      </c>
      <c r="AV179" s="8" t="str">
        <f t="shared" si="54"/>
        <v>+</v>
      </c>
      <c r="AW179" s="2">
        <v>58</v>
      </c>
      <c r="AX179" s="8" t="str">
        <f t="shared" si="55"/>
        <v>+</v>
      </c>
      <c r="AY179" s="2">
        <v>66.2</v>
      </c>
      <c r="AZ179" s="8" t="str">
        <f t="shared" si="56"/>
        <v>+</v>
      </c>
      <c r="BA179" s="2">
        <v>53.5</v>
      </c>
      <c r="BB179" s="8" t="str">
        <f t="shared" si="57"/>
        <v>-</v>
      </c>
      <c r="BC179" s="2"/>
      <c r="BD179" s="8" t="str">
        <f t="shared" si="58"/>
        <v>+</v>
      </c>
      <c r="BE179" s="2">
        <v>61.7</v>
      </c>
      <c r="BF179" s="8" t="str">
        <f t="shared" si="49"/>
        <v>+</v>
      </c>
      <c r="BG179" s="2"/>
      <c r="BH179" s="8" t="str">
        <f t="shared" si="59"/>
        <v>+</v>
      </c>
      <c r="BI179" s="2"/>
      <c r="BJ179" s="8" t="str">
        <f t="shared" si="60"/>
        <v>+</v>
      </c>
      <c r="BK179" s="2"/>
      <c r="BL179" s="8" t="str">
        <f t="shared" si="61"/>
        <v>+</v>
      </c>
    </row>
    <row r="180" spans="1:64">
      <c r="A180" s="1">
        <v>23682</v>
      </c>
      <c r="B180">
        <v>60.7</v>
      </c>
      <c r="C180">
        <v>58.9</v>
      </c>
      <c r="D180">
        <v>55</v>
      </c>
      <c r="E180">
        <v>61.8</v>
      </c>
      <c r="F180">
        <v>71.2</v>
      </c>
      <c r="G180">
        <v>59.1</v>
      </c>
      <c r="I180">
        <v>68.8</v>
      </c>
      <c r="W180" s="1">
        <v>23682</v>
      </c>
      <c r="X180">
        <v>84.419998000000007</v>
      </c>
      <c r="Y180" s="4">
        <f t="shared" si="48"/>
        <v>-5.1850458969472579E-3</v>
      </c>
      <c r="Z180" s="4">
        <f t="shared" si="50"/>
        <v>0.15280615241815587</v>
      </c>
      <c r="AA180">
        <v>60.7</v>
      </c>
      <c r="AB180">
        <f t="shared" si="51"/>
        <v>57.7</v>
      </c>
      <c r="AP180" s="3">
        <v>23651</v>
      </c>
      <c r="AQ180" s="2">
        <v>63.3</v>
      </c>
      <c r="AR180" s="2" t="str">
        <f t="shared" si="52"/>
        <v>+</v>
      </c>
      <c r="AS180" s="2">
        <v>63.3</v>
      </c>
      <c r="AT180" s="8" t="str">
        <f t="shared" si="53"/>
        <v>-</v>
      </c>
      <c r="AU180" s="2">
        <v>64.900000000000006</v>
      </c>
      <c r="AV180" s="8" t="str">
        <f t="shared" si="54"/>
        <v>+</v>
      </c>
      <c r="AW180" s="2">
        <v>56.8</v>
      </c>
      <c r="AX180" s="8" t="str">
        <f t="shared" si="55"/>
        <v>-</v>
      </c>
      <c r="AY180" s="2">
        <v>71.900000000000006</v>
      </c>
      <c r="AZ180" s="8" t="str">
        <f t="shared" si="56"/>
        <v>+</v>
      </c>
      <c r="BA180" s="2">
        <v>59</v>
      </c>
      <c r="BB180" s="8" t="str">
        <f t="shared" si="57"/>
        <v>+</v>
      </c>
      <c r="BC180" s="2"/>
      <c r="BD180" s="8" t="str">
        <f t="shared" si="58"/>
        <v>+</v>
      </c>
      <c r="BE180" s="2">
        <v>64.8</v>
      </c>
      <c r="BF180" s="8" t="str">
        <f t="shared" si="49"/>
        <v>+</v>
      </c>
      <c r="BG180" s="2"/>
      <c r="BH180" s="8" t="str">
        <f t="shared" si="59"/>
        <v>+</v>
      </c>
      <c r="BI180" s="2"/>
      <c r="BJ180" s="8" t="str">
        <f t="shared" si="60"/>
        <v>+</v>
      </c>
      <c r="BK180" s="2"/>
      <c r="BL180" s="8" t="str">
        <f t="shared" si="61"/>
        <v>+</v>
      </c>
    </row>
    <row r="181" spans="1:64">
      <c r="A181" s="1">
        <v>23712</v>
      </c>
      <c r="B181">
        <v>61.8</v>
      </c>
      <c r="C181">
        <v>60.7</v>
      </c>
      <c r="D181">
        <v>57.3</v>
      </c>
      <c r="E181">
        <v>62.1</v>
      </c>
      <c r="F181">
        <v>70.3</v>
      </c>
      <c r="G181">
        <v>61</v>
      </c>
      <c r="I181">
        <v>68.5</v>
      </c>
      <c r="W181" s="1">
        <v>23712</v>
      </c>
      <c r="X181">
        <v>84.75</v>
      </c>
      <c r="Y181" s="4">
        <f t="shared" si="48"/>
        <v>3.9090500807639587E-3</v>
      </c>
      <c r="Z181" s="4">
        <f t="shared" si="50"/>
        <v>0.12969879217670452</v>
      </c>
      <c r="AA181">
        <v>61.8</v>
      </c>
      <c r="AB181">
        <f t="shared" si="51"/>
        <v>57.5</v>
      </c>
      <c r="AP181" s="3">
        <v>23682</v>
      </c>
      <c r="AQ181" s="2">
        <v>60.7</v>
      </c>
      <c r="AR181" s="2" t="str">
        <f t="shared" si="52"/>
        <v>-</v>
      </c>
      <c r="AS181" s="2">
        <v>58.9</v>
      </c>
      <c r="AT181" s="8" t="str">
        <f t="shared" si="53"/>
        <v>-</v>
      </c>
      <c r="AU181" s="2">
        <v>61.8</v>
      </c>
      <c r="AV181" s="8" t="str">
        <f t="shared" si="54"/>
        <v>-</v>
      </c>
      <c r="AW181" s="2">
        <v>55</v>
      </c>
      <c r="AX181" s="8" t="str">
        <f t="shared" si="55"/>
        <v>-</v>
      </c>
      <c r="AY181" s="2">
        <v>71.2</v>
      </c>
      <c r="AZ181" s="8" t="str">
        <f t="shared" si="56"/>
        <v>-</v>
      </c>
      <c r="BA181" s="2">
        <v>59.1</v>
      </c>
      <c r="BB181" s="8" t="str">
        <f t="shared" si="57"/>
        <v>+</v>
      </c>
      <c r="BC181" s="2"/>
      <c r="BD181" s="8" t="str">
        <f t="shared" si="58"/>
        <v>+</v>
      </c>
      <c r="BE181" s="2">
        <v>68.8</v>
      </c>
      <c r="BF181" s="8" t="str">
        <f t="shared" si="49"/>
        <v>+</v>
      </c>
      <c r="BG181" s="2"/>
      <c r="BH181" s="8" t="str">
        <f t="shared" si="59"/>
        <v>+</v>
      </c>
      <c r="BI181" s="2"/>
      <c r="BJ181" s="8" t="str">
        <f t="shared" si="60"/>
        <v>+</v>
      </c>
      <c r="BK181" s="2"/>
      <c r="BL181" s="8" t="str">
        <f t="shared" si="61"/>
        <v>+</v>
      </c>
    </row>
    <row r="182" spans="1:64">
      <c r="A182" s="1">
        <v>23743</v>
      </c>
      <c r="B182">
        <v>62.4</v>
      </c>
      <c r="C182">
        <v>64.400000000000006</v>
      </c>
      <c r="D182">
        <v>55.2</v>
      </c>
      <c r="E182">
        <v>63.5</v>
      </c>
      <c r="F182">
        <v>67.8</v>
      </c>
      <c r="G182">
        <v>59.5</v>
      </c>
      <c r="I182">
        <v>69.599999999999994</v>
      </c>
      <c r="W182" s="1">
        <v>23743</v>
      </c>
      <c r="X182">
        <v>87.559997999999993</v>
      </c>
      <c r="Y182" s="4">
        <f t="shared" si="48"/>
        <v>3.3156318584070713E-2</v>
      </c>
      <c r="Z182" s="4">
        <f t="shared" si="50"/>
        <v>0.13655239957746093</v>
      </c>
      <c r="AA182">
        <v>62.4</v>
      </c>
      <c r="AB182">
        <f t="shared" si="51"/>
        <v>54</v>
      </c>
      <c r="AP182" s="3">
        <v>23712</v>
      </c>
      <c r="AQ182" s="2">
        <v>61.8</v>
      </c>
      <c r="AR182" s="2" t="str">
        <f t="shared" si="52"/>
        <v>+</v>
      </c>
      <c r="AS182" s="2">
        <v>60.7</v>
      </c>
      <c r="AT182" s="8" t="str">
        <f t="shared" si="53"/>
        <v>+</v>
      </c>
      <c r="AU182" s="2">
        <v>62.1</v>
      </c>
      <c r="AV182" s="8" t="str">
        <f t="shared" si="54"/>
        <v>+</v>
      </c>
      <c r="AW182" s="2">
        <v>57.3</v>
      </c>
      <c r="AX182" s="8" t="str">
        <f t="shared" si="55"/>
        <v>+</v>
      </c>
      <c r="AY182" s="2">
        <v>70.3</v>
      </c>
      <c r="AZ182" s="8" t="str">
        <f t="shared" si="56"/>
        <v>-</v>
      </c>
      <c r="BA182" s="2">
        <v>61</v>
      </c>
      <c r="BB182" s="8" t="str">
        <f t="shared" si="57"/>
        <v>+</v>
      </c>
      <c r="BC182" s="2"/>
      <c r="BD182" s="8" t="str">
        <f t="shared" si="58"/>
        <v>+</v>
      </c>
      <c r="BE182" s="2">
        <v>68.5</v>
      </c>
      <c r="BF182" s="8" t="str">
        <f t="shared" si="49"/>
        <v>-</v>
      </c>
      <c r="BG182" s="2"/>
      <c r="BH182" s="8" t="str">
        <f t="shared" si="59"/>
        <v>+</v>
      </c>
      <c r="BI182" s="2"/>
      <c r="BJ182" s="8" t="str">
        <f t="shared" si="60"/>
        <v>+</v>
      </c>
      <c r="BK182" s="2"/>
      <c r="BL182" s="8" t="str">
        <f t="shared" si="61"/>
        <v>+</v>
      </c>
    </row>
    <row r="183" spans="1:64">
      <c r="A183" s="1">
        <v>23774</v>
      </c>
      <c r="B183">
        <v>61</v>
      </c>
      <c r="C183">
        <v>62.3</v>
      </c>
      <c r="D183">
        <v>56.7</v>
      </c>
      <c r="E183">
        <v>58.2</v>
      </c>
      <c r="F183">
        <v>68.5</v>
      </c>
      <c r="G183">
        <v>61.4</v>
      </c>
      <c r="I183">
        <v>70.7</v>
      </c>
      <c r="W183" s="1">
        <v>23774</v>
      </c>
      <c r="X183">
        <v>87.43</v>
      </c>
      <c r="Y183" s="4">
        <f t="shared" si="48"/>
        <v>-1.4846734007461523E-3</v>
      </c>
      <c r="Z183" s="4">
        <f t="shared" si="50"/>
        <v>0.1237788769751076</v>
      </c>
      <c r="AA183">
        <v>61</v>
      </c>
      <c r="AB183">
        <f t="shared" si="51"/>
        <v>57.1</v>
      </c>
      <c r="AP183" s="3">
        <v>23743</v>
      </c>
      <c r="AQ183" s="2">
        <v>62.4</v>
      </c>
      <c r="AR183" s="2" t="str">
        <f t="shared" si="52"/>
        <v>+</v>
      </c>
      <c r="AS183" s="2">
        <v>64.400000000000006</v>
      </c>
      <c r="AT183" s="8" t="str">
        <f t="shared" si="53"/>
        <v>+</v>
      </c>
      <c r="AU183" s="2">
        <v>63.5</v>
      </c>
      <c r="AV183" s="8" t="str">
        <f t="shared" si="54"/>
        <v>+</v>
      </c>
      <c r="AW183" s="2">
        <v>55.2</v>
      </c>
      <c r="AX183" s="8" t="str">
        <f t="shared" si="55"/>
        <v>-</v>
      </c>
      <c r="AY183" s="2">
        <v>67.8</v>
      </c>
      <c r="AZ183" s="8" t="str">
        <f t="shared" si="56"/>
        <v>-</v>
      </c>
      <c r="BA183" s="2">
        <v>59.5</v>
      </c>
      <c r="BB183" s="8" t="str">
        <f t="shared" si="57"/>
        <v>-</v>
      </c>
      <c r="BC183" s="2"/>
      <c r="BD183" s="8" t="str">
        <f t="shared" si="58"/>
        <v>+</v>
      </c>
      <c r="BE183" s="2">
        <v>69.599999999999994</v>
      </c>
      <c r="BF183" s="8" t="str">
        <f t="shared" si="49"/>
        <v>+</v>
      </c>
      <c r="BG183" s="2"/>
      <c r="BH183" s="8" t="str">
        <f t="shared" si="59"/>
        <v>+</v>
      </c>
      <c r="BI183" s="2"/>
      <c r="BJ183" s="8" t="str">
        <f t="shared" si="60"/>
        <v>+</v>
      </c>
      <c r="BK183" s="2"/>
      <c r="BL183" s="8" t="str">
        <f t="shared" si="61"/>
        <v>+</v>
      </c>
    </row>
    <row r="184" spans="1:64">
      <c r="A184" s="1">
        <v>23802</v>
      </c>
      <c r="B184">
        <v>62.1</v>
      </c>
      <c r="C184">
        <v>63.2</v>
      </c>
      <c r="D184">
        <v>58.3</v>
      </c>
      <c r="E184">
        <v>59.8</v>
      </c>
      <c r="F184">
        <v>68.099999999999994</v>
      </c>
      <c r="G184">
        <v>63.2</v>
      </c>
      <c r="I184">
        <v>64.8</v>
      </c>
      <c r="W184" s="1">
        <v>23802</v>
      </c>
      <c r="X184">
        <v>86.160004000000001</v>
      </c>
      <c r="Y184" s="4">
        <f t="shared" si="48"/>
        <v>-1.4525860688550909E-2</v>
      </c>
      <c r="Z184" s="4">
        <f t="shared" si="50"/>
        <v>9.0909100117405731E-2</v>
      </c>
      <c r="AA184">
        <v>62.1</v>
      </c>
      <c r="AB184">
        <f t="shared" si="51"/>
        <v>57.9</v>
      </c>
      <c r="AP184" s="3">
        <v>23774</v>
      </c>
      <c r="AQ184" s="2">
        <v>61</v>
      </c>
      <c r="AR184" s="2" t="str">
        <f t="shared" si="52"/>
        <v>-</v>
      </c>
      <c r="AS184" s="2">
        <v>62.3</v>
      </c>
      <c r="AT184" s="8" t="str">
        <f t="shared" si="53"/>
        <v>-</v>
      </c>
      <c r="AU184" s="2">
        <v>58.2</v>
      </c>
      <c r="AV184" s="8" t="str">
        <f t="shared" si="54"/>
        <v>-</v>
      </c>
      <c r="AW184" s="2">
        <v>56.7</v>
      </c>
      <c r="AX184" s="8" t="str">
        <f t="shared" si="55"/>
        <v>+</v>
      </c>
      <c r="AY184" s="2">
        <v>68.5</v>
      </c>
      <c r="AZ184" s="8" t="str">
        <f t="shared" si="56"/>
        <v>+</v>
      </c>
      <c r="BA184" s="2">
        <v>61.4</v>
      </c>
      <c r="BB184" s="8" t="str">
        <f t="shared" si="57"/>
        <v>+</v>
      </c>
      <c r="BC184" s="2"/>
      <c r="BD184" s="8" t="str">
        <f t="shared" si="58"/>
        <v>+</v>
      </c>
      <c r="BE184" s="2">
        <v>70.7</v>
      </c>
      <c r="BF184" s="8" t="str">
        <f t="shared" si="49"/>
        <v>+</v>
      </c>
      <c r="BG184" s="2"/>
      <c r="BH184" s="8" t="str">
        <f t="shared" si="59"/>
        <v>+</v>
      </c>
      <c r="BI184" s="2"/>
      <c r="BJ184" s="8" t="str">
        <f t="shared" si="60"/>
        <v>+</v>
      </c>
      <c r="BK184" s="2"/>
      <c r="BL184" s="8" t="str">
        <f t="shared" si="61"/>
        <v>+</v>
      </c>
    </row>
    <row r="185" spans="1:64">
      <c r="A185" s="1">
        <v>23833</v>
      </c>
      <c r="B185">
        <v>64.900000000000006</v>
      </c>
      <c r="C185">
        <v>68.7</v>
      </c>
      <c r="D185">
        <v>61.2</v>
      </c>
      <c r="E185">
        <v>65.7</v>
      </c>
      <c r="F185">
        <v>65.900000000000006</v>
      </c>
      <c r="G185">
        <v>57.8</v>
      </c>
      <c r="I185">
        <v>64.5</v>
      </c>
      <c r="W185" s="1">
        <v>23833</v>
      </c>
      <c r="X185">
        <v>89.110000999999997</v>
      </c>
      <c r="Y185" s="4">
        <f t="shared" si="48"/>
        <v>3.4238589403965167E-2</v>
      </c>
      <c r="Z185" s="4">
        <f t="shared" si="50"/>
        <v>0.12144477877478958</v>
      </c>
      <c r="AA185">
        <v>64.900000000000006</v>
      </c>
      <c r="AB185">
        <f t="shared" si="51"/>
        <v>60.2</v>
      </c>
      <c r="AP185" s="3">
        <v>23802</v>
      </c>
      <c r="AQ185" s="2">
        <v>62.1</v>
      </c>
      <c r="AR185" s="2" t="str">
        <f t="shared" si="52"/>
        <v>+</v>
      </c>
      <c r="AS185" s="2">
        <v>63.2</v>
      </c>
      <c r="AT185" s="8" t="str">
        <f t="shared" si="53"/>
        <v>+</v>
      </c>
      <c r="AU185" s="2">
        <v>59.8</v>
      </c>
      <c r="AV185" s="8" t="str">
        <f t="shared" si="54"/>
        <v>+</v>
      </c>
      <c r="AW185" s="2">
        <v>58.3</v>
      </c>
      <c r="AX185" s="8" t="str">
        <f t="shared" si="55"/>
        <v>+</v>
      </c>
      <c r="AY185" s="2">
        <v>68.099999999999994</v>
      </c>
      <c r="AZ185" s="8" t="str">
        <f t="shared" si="56"/>
        <v>-</v>
      </c>
      <c r="BA185" s="2">
        <v>63.2</v>
      </c>
      <c r="BB185" s="8" t="str">
        <f t="shared" si="57"/>
        <v>+</v>
      </c>
      <c r="BC185" s="2"/>
      <c r="BD185" s="8" t="str">
        <f t="shared" si="58"/>
        <v>+</v>
      </c>
      <c r="BE185" s="2">
        <v>64.8</v>
      </c>
      <c r="BF185" s="8" t="str">
        <f t="shared" si="49"/>
        <v>-</v>
      </c>
      <c r="BG185" s="2"/>
      <c r="BH185" s="8" t="str">
        <f t="shared" si="59"/>
        <v>+</v>
      </c>
      <c r="BI185" s="2"/>
      <c r="BJ185" s="8" t="str">
        <f t="shared" si="60"/>
        <v>+</v>
      </c>
      <c r="BK185" s="2"/>
      <c r="BL185" s="8" t="str">
        <f t="shared" si="61"/>
        <v>+</v>
      </c>
    </row>
    <row r="186" spans="1:64">
      <c r="A186" s="1">
        <v>23863</v>
      </c>
      <c r="B186">
        <v>62</v>
      </c>
      <c r="C186">
        <v>59.8</v>
      </c>
      <c r="D186">
        <v>59.2</v>
      </c>
      <c r="E186">
        <v>62.6</v>
      </c>
      <c r="F186">
        <v>69.400000000000006</v>
      </c>
      <c r="G186">
        <v>61.9</v>
      </c>
      <c r="I186">
        <v>68.7</v>
      </c>
      <c r="W186" s="1">
        <v>23863</v>
      </c>
      <c r="X186">
        <v>88.419998000000007</v>
      </c>
      <c r="Y186" s="4">
        <f t="shared" si="48"/>
        <v>-7.7432722731087186E-3</v>
      </c>
      <c r="Z186" s="4">
        <f t="shared" si="50"/>
        <v>0.10016168594643464</v>
      </c>
      <c r="AA186">
        <v>62</v>
      </c>
      <c r="AB186">
        <f t="shared" si="51"/>
        <v>59.2</v>
      </c>
      <c r="AP186" s="3">
        <v>23833</v>
      </c>
      <c r="AQ186" s="2">
        <v>64.900000000000006</v>
      </c>
      <c r="AR186" s="2" t="str">
        <f t="shared" si="52"/>
        <v>+</v>
      </c>
      <c r="AS186" s="2">
        <v>68.7</v>
      </c>
      <c r="AT186" s="8" t="str">
        <f t="shared" si="53"/>
        <v>+</v>
      </c>
      <c r="AU186" s="2">
        <v>65.7</v>
      </c>
      <c r="AV186" s="8" t="str">
        <f t="shared" si="54"/>
        <v>+</v>
      </c>
      <c r="AW186" s="2">
        <v>61.2</v>
      </c>
      <c r="AX186" s="8" t="str">
        <f t="shared" si="55"/>
        <v>+</v>
      </c>
      <c r="AY186" s="2">
        <v>65.900000000000006</v>
      </c>
      <c r="AZ186" s="8" t="str">
        <f t="shared" si="56"/>
        <v>-</v>
      </c>
      <c r="BA186" s="2">
        <v>57.8</v>
      </c>
      <c r="BB186" s="8" t="str">
        <f t="shared" si="57"/>
        <v>-</v>
      </c>
      <c r="BC186" s="2"/>
      <c r="BD186" s="8" t="str">
        <f t="shared" si="58"/>
        <v>+</v>
      </c>
      <c r="BE186" s="2">
        <v>64.5</v>
      </c>
      <c r="BF186" s="8" t="str">
        <f t="shared" si="49"/>
        <v>-</v>
      </c>
      <c r="BG186" s="2"/>
      <c r="BH186" s="8" t="str">
        <f t="shared" si="59"/>
        <v>+</v>
      </c>
      <c r="BI186" s="2"/>
      <c r="BJ186" s="8" t="str">
        <f t="shared" si="60"/>
        <v>+</v>
      </c>
      <c r="BK186" s="2"/>
      <c r="BL186" s="8" t="str">
        <f t="shared" si="61"/>
        <v>+</v>
      </c>
    </row>
    <row r="187" spans="1:64">
      <c r="A187" s="1">
        <v>23894</v>
      </c>
      <c r="B187">
        <v>61.3</v>
      </c>
      <c r="C187">
        <v>60.2</v>
      </c>
      <c r="D187">
        <v>56.4</v>
      </c>
      <c r="E187">
        <v>62.4</v>
      </c>
      <c r="F187">
        <v>68.900000000000006</v>
      </c>
      <c r="G187">
        <v>60.6</v>
      </c>
      <c r="I187">
        <v>70</v>
      </c>
      <c r="W187" s="1">
        <v>23894</v>
      </c>
      <c r="X187">
        <v>84.120002999999997</v>
      </c>
      <c r="Y187" s="4">
        <f t="shared" si="48"/>
        <v>-4.863147587947253E-2</v>
      </c>
      <c r="Z187" s="4">
        <f t="shared" si="50"/>
        <v>2.9746614524504354E-2</v>
      </c>
      <c r="AA187">
        <v>61.3</v>
      </c>
      <c r="AB187">
        <f t="shared" si="51"/>
        <v>58.7</v>
      </c>
      <c r="AP187" s="3">
        <v>23863</v>
      </c>
      <c r="AQ187" s="2">
        <v>62</v>
      </c>
      <c r="AR187" s="2" t="str">
        <f t="shared" si="52"/>
        <v>-</v>
      </c>
      <c r="AS187" s="2">
        <v>59.8</v>
      </c>
      <c r="AT187" s="8" t="str">
        <f t="shared" si="53"/>
        <v>-</v>
      </c>
      <c r="AU187" s="2">
        <v>62.6</v>
      </c>
      <c r="AV187" s="8" t="str">
        <f t="shared" si="54"/>
        <v>-</v>
      </c>
      <c r="AW187" s="2">
        <v>59.2</v>
      </c>
      <c r="AX187" s="8" t="str">
        <f t="shared" si="55"/>
        <v>-</v>
      </c>
      <c r="AY187" s="2">
        <v>69.400000000000006</v>
      </c>
      <c r="AZ187" s="8" t="str">
        <f t="shared" si="56"/>
        <v>+</v>
      </c>
      <c r="BA187" s="2">
        <v>61.9</v>
      </c>
      <c r="BB187" s="8" t="str">
        <f t="shared" si="57"/>
        <v>+</v>
      </c>
      <c r="BC187" s="2"/>
      <c r="BD187" s="8" t="str">
        <f t="shared" si="58"/>
        <v>+</v>
      </c>
      <c r="BE187" s="2">
        <v>68.7</v>
      </c>
      <c r="BF187" s="8" t="str">
        <f t="shared" si="49"/>
        <v>+</v>
      </c>
      <c r="BG187" s="2"/>
      <c r="BH187" s="8" t="str">
        <f t="shared" si="59"/>
        <v>+</v>
      </c>
      <c r="BI187" s="2"/>
      <c r="BJ187" s="8" t="str">
        <f t="shared" si="60"/>
        <v>+</v>
      </c>
      <c r="BK187" s="2"/>
      <c r="BL187" s="8" t="str">
        <f t="shared" si="61"/>
        <v>+</v>
      </c>
    </row>
    <row r="188" spans="1:64">
      <c r="A188" s="1">
        <v>23924</v>
      </c>
      <c r="B188">
        <v>58.7</v>
      </c>
      <c r="C188">
        <v>57.4</v>
      </c>
      <c r="D188">
        <v>55.4</v>
      </c>
      <c r="E188">
        <v>57.5</v>
      </c>
      <c r="F188">
        <v>69.3</v>
      </c>
      <c r="G188">
        <v>55.8</v>
      </c>
      <c r="I188">
        <v>73.2</v>
      </c>
      <c r="W188" s="1">
        <v>23924</v>
      </c>
      <c r="X188">
        <v>85.25</v>
      </c>
      <c r="Y188" s="4">
        <f t="shared" si="48"/>
        <v>1.3433154537571795E-2</v>
      </c>
      <c r="Z188" s="4">
        <f t="shared" si="50"/>
        <v>2.4885789853330044E-2</v>
      </c>
      <c r="AA188">
        <v>58.7</v>
      </c>
      <c r="AB188">
        <f t="shared" si="51"/>
        <v>60.1</v>
      </c>
      <c r="AP188" s="3">
        <v>23894</v>
      </c>
      <c r="AQ188" s="2">
        <v>61.3</v>
      </c>
      <c r="AR188" s="2" t="str">
        <f t="shared" si="52"/>
        <v>-</v>
      </c>
      <c r="AS188" s="2">
        <v>60.2</v>
      </c>
      <c r="AT188" s="8" t="str">
        <f t="shared" si="53"/>
        <v>+</v>
      </c>
      <c r="AU188" s="2">
        <v>62.4</v>
      </c>
      <c r="AV188" s="8" t="str">
        <f t="shared" si="54"/>
        <v>-</v>
      </c>
      <c r="AW188" s="2">
        <v>56.4</v>
      </c>
      <c r="AX188" s="8" t="str">
        <f t="shared" si="55"/>
        <v>-</v>
      </c>
      <c r="AY188" s="2">
        <v>68.900000000000006</v>
      </c>
      <c r="AZ188" s="8" t="str">
        <f t="shared" si="56"/>
        <v>-</v>
      </c>
      <c r="BA188" s="2">
        <v>60.6</v>
      </c>
      <c r="BB188" s="8" t="str">
        <f t="shared" si="57"/>
        <v>-</v>
      </c>
      <c r="BC188" s="2"/>
      <c r="BD188" s="8" t="str">
        <f t="shared" si="58"/>
        <v>+</v>
      </c>
      <c r="BE188" s="2">
        <v>70</v>
      </c>
      <c r="BF188" s="8" t="str">
        <f t="shared" si="49"/>
        <v>+</v>
      </c>
      <c r="BG188" s="2"/>
      <c r="BH188" s="8" t="str">
        <f t="shared" si="59"/>
        <v>+</v>
      </c>
      <c r="BI188" s="2"/>
      <c r="BJ188" s="8" t="str">
        <f t="shared" si="60"/>
        <v>+</v>
      </c>
      <c r="BK188" s="2"/>
      <c r="BL188" s="8" t="str">
        <f t="shared" si="61"/>
        <v>+</v>
      </c>
    </row>
    <row r="189" spans="1:64">
      <c r="A189" s="1">
        <v>23955</v>
      </c>
      <c r="B189">
        <v>58.1</v>
      </c>
      <c r="C189">
        <v>56.6</v>
      </c>
      <c r="D189">
        <v>56.2</v>
      </c>
      <c r="E189">
        <v>59</v>
      </c>
      <c r="F189">
        <v>65.099999999999994</v>
      </c>
      <c r="G189">
        <v>53.8</v>
      </c>
      <c r="I189">
        <v>71.8</v>
      </c>
      <c r="W189" s="1">
        <v>23955</v>
      </c>
      <c r="X189">
        <v>87.169998000000007</v>
      </c>
      <c r="Y189" s="4">
        <f t="shared" si="48"/>
        <v>2.2521970674486882E-2</v>
      </c>
      <c r="Z189" s="4">
        <f t="shared" si="50"/>
        <v>6.5257190144025826E-2</v>
      </c>
      <c r="AA189">
        <v>58.1</v>
      </c>
      <c r="AB189">
        <f t="shared" si="51"/>
        <v>62.9</v>
      </c>
      <c r="AP189" s="3">
        <v>23924</v>
      </c>
      <c r="AQ189" s="2">
        <v>58.7</v>
      </c>
      <c r="AR189" s="2" t="str">
        <f t="shared" si="52"/>
        <v>-</v>
      </c>
      <c r="AS189" s="2">
        <v>57.4</v>
      </c>
      <c r="AT189" s="8" t="str">
        <f t="shared" si="53"/>
        <v>-</v>
      </c>
      <c r="AU189" s="2">
        <v>57.5</v>
      </c>
      <c r="AV189" s="8" t="str">
        <f t="shared" si="54"/>
        <v>-</v>
      </c>
      <c r="AW189" s="2">
        <v>55.4</v>
      </c>
      <c r="AX189" s="8" t="str">
        <f t="shared" si="55"/>
        <v>-</v>
      </c>
      <c r="AY189" s="2">
        <v>69.3</v>
      </c>
      <c r="AZ189" s="8" t="str">
        <f t="shared" si="56"/>
        <v>+</v>
      </c>
      <c r="BA189" s="2">
        <v>55.8</v>
      </c>
      <c r="BB189" s="8" t="str">
        <f t="shared" si="57"/>
        <v>-</v>
      </c>
      <c r="BC189" s="2"/>
      <c r="BD189" s="8" t="str">
        <f t="shared" si="58"/>
        <v>+</v>
      </c>
      <c r="BE189" s="2">
        <v>73.2</v>
      </c>
      <c r="BF189" s="8" t="str">
        <f t="shared" si="49"/>
        <v>+</v>
      </c>
      <c r="BG189" s="2"/>
      <c r="BH189" s="8" t="str">
        <f t="shared" si="59"/>
        <v>+</v>
      </c>
      <c r="BI189" s="2"/>
      <c r="BJ189" s="8" t="str">
        <f t="shared" si="60"/>
        <v>+</v>
      </c>
      <c r="BK189" s="2"/>
      <c r="BL189" s="8" t="str">
        <f t="shared" si="61"/>
        <v>+</v>
      </c>
    </row>
    <row r="190" spans="1:64">
      <c r="A190" s="1">
        <v>23986</v>
      </c>
      <c r="B190">
        <v>58.1</v>
      </c>
      <c r="C190">
        <v>56</v>
      </c>
      <c r="D190">
        <v>58</v>
      </c>
      <c r="E190">
        <v>56.6</v>
      </c>
      <c r="F190">
        <v>65.400000000000006</v>
      </c>
      <c r="G190">
        <v>57.2</v>
      </c>
      <c r="I190">
        <v>70.5</v>
      </c>
      <c r="W190" s="1">
        <v>23986</v>
      </c>
      <c r="X190">
        <v>89.959998999999996</v>
      </c>
      <c r="Y190" s="4">
        <f t="shared" si="48"/>
        <v>3.2006436434700726E-2</v>
      </c>
      <c r="Z190" s="4">
        <f t="shared" si="50"/>
        <v>6.8662378237110827E-2</v>
      </c>
      <c r="AA190">
        <v>58.1</v>
      </c>
      <c r="AB190">
        <f t="shared" si="51"/>
        <v>63.3</v>
      </c>
      <c r="AP190" s="3">
        <v>23955</v>
      </c>
      <c r="AQ190" s="2">
        <v>58.1</v>
      </c>
      <c r="AR190" s="2" t="str">
        <f t="shared" si="52"/>
        <v>-</v>
      </c>
      <c r="AS190" s="2">
        <v>56.6</v>
      </c>
      <c r="AT190" s="8" t="str">
        <f t="shared" si="53"/>
        <v>-</v>
      </c>
      <c r="AU190" s="2">
        <v>59</v>
      </c>
      <c r="AV190" s="8" t="str">
        <f t="shared" si="54"/>
        <v>+</v>
      </c>
      <c r="AW190" s="2">
        <v>56.2</v>
      </c>
      <c r="AX190" s="8" t="str">
        <f t="shared" si="55"/>
        <v>+</v>
      </c>
      <c r="AY190" s="2">
        <v>65.099999999999994</v>
      </c>
      <c r="AZ190" s="8" t="str">
        <f t="shared" si="56"/>
        <v>-</v>
      </c>
      <c r="BA190" s="2">
        <v>53.8</v>
      </c>
      <c r="BB190" s="8" t="str">
        <f t="shared" si="57"/>
        <v>-</v>
      </c>
      <c r="BC190" s="2"/>
      <c r="BD190" s="8" t="str">
        <f t="shared" si="58"/>
        <v>+</v>
      </c>
      <c r="BE190" s="2">
        <v>71.8</v>
      </c>
      <c r="BF190" s="8" t="str">
        <f t="shared" si="49"/>
        <v>-</v>
      </c>
      <c r="BG190" s="2"/>
      <c r="BH190" s="8" t="str">
        <f t="shared" si="59"/>
        <v>+</v>
      </c>
      <c r="BI190" s="2"/>
      <c r="BJ190" s="8" t="str">
        <f t="shared" si="60"/>
        <v>+</v>
      </c>
      <c r="BK190" s="2"/>
      <c r="BL190" s="8" t="str">
        <f t="shared" si="61"/>
        <v>+</v>
      </c>
    </row>
    <row r="191" spans="1:64">
      <c r="A191" s="1">
        <v>24016</v>
      </c>
      <c r="B191">
        <v>61</v>
      </c>
      <c r="C191">
        <v>63.6</v>
      </c>
      <c r="D191">
        <v>56.2</v>
      </c>
      <c r="E191">
        <v>63.8</v>
      </c>
      <c r="F191">
        <v>61.2</v>
      </c>
      <c r="G191">
        <v>55.7</v>
      </c>
      <c r="I191">
        <v>66.3</v>
      </c>
      <c r="W191" s="1">
        <v>24016</v>
      </c>
      <c r="X191">
        <v>92.419998000000007</v>
      </c>
      <c r="Y191" s="4">
        <f t="shared" si="48"/>
        <v>2.7345476070981398E-2</v>
      </c>
      <c r="Z191" s="4">
        <f t="shared" si="50"/>
        <v>8.9087873095830036E-2</v>
      </c>
      <c r="AA191">
        <v>61</v>
      </c>
      <c r="AB191">
        <f t="shared" si="51"/>
        <v>63.3</v>
      </c>
      <c r="AP191" s="3">
        <v>23986</v>
      </c>
      <c r="AQ191" s="2">
        <v>58.1</v>
      </c>
      <c r="AR191" s="2" t="str">
        <f t="shared" si="52"/>
        <v>+</v>
      </c>
      <c r="AS191" s="2">
        <v>56</v>
      </c>
      <c r="AT191" s="8" t="str">
        <f t="shared" si="53"/>
        <v>-</v>
      </c>
      <c r="AU191" s="2">
        <v>56.6</v>
      </c>
      <c r="AV191" s="8" t="str">
        <f t="shared" si="54"/>
        <v>-</v>
      </c>
      <c r="AW191" s="2">
        <v>58</v>
      </c>
      <c r="AX191" s="8" t="str">
        <f t="shared" si="55"/>
        <v>+</v>
      </c>
      <c r="AY191" s="2">
        <v>65.400000000000006</v>
      </c>
      <c r="AZ191" s="8" t="str">
        <f t="shared" si="56"/>
        <v>+</v>
      </c>
      <c r="BA191" s="2">
        <v>57.2</v>
      </c>
      <c r="BB191" s="8" t="str">
        <f t="shared" si="57"/>
        <v>+</v>
      </c>
      <c r="BC191" s="2"/>
      <c r="BD191" s="8" t="str">
        <f t="shared" si="58"/>
        <v>+</v>
      </c>
      <c r="BE191" s="2">
        <v>70.5</v>
      </c>
      <c r="BF191" s="8" t="str">
        <f t="shared" si="49"/>
        <v>-</v>
      </c>
      <c r="BG191" s="2"/>
      <c r="BH191" s="8" t="str">
        <f t="shared" si="59"/>
        <v>+</v>
      </c>
      <c r="BI191" s="2"/>
      <c r="BJ191" s="8" t="str">
        <f t="shared" si="60"/>
        <v>+</v>
      </c>
      <c r="BK191" s="2"/>
      <c r="BL191" s="8" t="str">
        <f t="shared" si="61"/>
        <v>+</v>
      </c>
    </row>
    <row r="192" spans="1:64">
      <c r="A192" s="1">
        <v>24047</v>
      </c>
      <c r="B192">
        <v>58.6</v>
      </c>
      <c r="C192">
        <v>62</v>
      </c>
      <c r="D192">
        <v>56.9</v>
      </c>
      <c r="E192">
        <v>60.5</v>
      </c>
      <c r="F192">
        <v>59.1</v>
      </c>
      <c r="G192">
        <v>46.5</v>
      </c>
      <c r="I192">
        <v>68.599999999999994</v>
      </c>
      <c r="W192" s="1">
        <v>24047</v>
      </c>
      <c r="X192">
        <v>91.610000999999997</v>
      </c>
      <c r="Y192" s="4">
        <f t="shared" si="48"/>
        <v>-8.7643044528091189E-3</v>
      </c>
      <c r="Z192" s="4">
        <f t="shared" si="50"/>
        <v>8.5169428693897736E-2</v>
      </c>
      <c r="AA192">
        <v>58.6</v>
      </c>
      <c r="AB192">
        <f t="shared" si="51"/>
        <v>60.7</v>
      </c>
      <c r="AP192" s="3">
        <v>24016</v>
      </c>
      <c r="AQ192" s="2">
        <v>61</v>
      </c>
      <c r="AR192" s="2" t="str">
        <f t="shared" si="52"/>
        <v>+</v>
      </c>
      <c r="AS192" s="2">
        <v>63.6</v>
      </c>
      <c r="AT192" s="8" t="str">
        <f t="shared" si="53"/>
        <v>+</v>
      </c>
      <c r="AU192" s="2">
        <v>63.8</v>
      </c>
      <c r="AV192" s="8" t="str">
        <f t="shared" si="54"/>
        <v>+</v>
      </c>
      <c r="AW192" s="2">
        <v>56.2</v>
      </c>
      <c r="AX192" s="8" t="str">
        <f t="shared" si="55"/>
        <v>-</v>
      </c>
      <c r="AY192" s="2">
        <v>61.2</v>
      </c>
      <c r="AZ192" s="8" t="str">
        <f t="shared" si="56"/>
        <v>-</v>
      </c>
      <c r="BA192" s="2">
        <v>55.7</v>
      </c>
      <c r="BB192" s="8" t="str">
        <f t="shared" si="57"/>
        <v>-</v>
      </c>
      <c r="BC192" s="2"/>
      <c r="BD192" s="8" t="str">
        <f t="shared" si="58"/>
        <v>+</v>
      </c>
      <c r="BE192" s="2">
        <v>66.3</v>
      </c>
      <c r="BF192" s="8" t="str">
        <f t="shared" si="49"/>
        <v>-</v>
      </c>
      <c r="BG192" s="2"/>
      <c r="BH192" s="8" t="str">
        <f t="shared" si="59"/>
        <v>+</v>
      </c>
      <c r="BI192" s="2"/>
      <c r="BJ192" s="8" t="str">
        <f t="shared" si="60"/>
        <v>+</v>
      </c>
      <c r="BK192" s="2"/>
      <c r="BL192" s="8" t="str">
        <f t="shared" si="61"/>
        <v>+</v>
      </c>
    </row>
    <row r="193" spans="1:64">
      <c r="A193" s="1">
        <v>24077</v>
      </c>
      <c r="B193">
        <v>59.4</v>
      </c>
      <c r="C193">
        <v>61.9</v>
      </c>
      <c r="D193">
        <v>54.7</v>
      </c>
      <c r="E193">
        <v>60.9</v>
      </c>
      <c r="F193">
        <v>65.099999999999994</v>
      </c>
      <c r="G193">
        <v>48.7</v>
      </c>
      <c r="I193">
        <v>70.599999999999994</v>
      </c>
      <c r="W193" s="1">
        <v>24077</v>
      </c>
      <c r="X193">
        <v>92.43</v>
      </c>
      <c r="Y193" s="4">
        <f t="shared" si="48"/>
        <v>8.9509768698726455E-3</v>
      </c>
      <c r="Z193" s="4">
        <f t="shared" si="50"/>
        <v>9.0619469026548757E-2</v>
      </c>
      <c r="AA193">
        <v>59.4</v>
      </c>
      <c r="AB193">
        <f t="shared" si="51"/>
        <v>61.8</v>
      </c>
      <c r="AP193" s="3">
        <v>24047</v>
      </c>
      <c r="AQ193" s="2">
        <v>58.6</v>
      </c>
      <c r="AR193" s="2" t="str">
        <f t="shared" si="52"/>
        <v>-</v>
      </c>
      <c r="AS193" s="2">
        <v>62</v>
      </c>
      <c r="AT193" s="8" t="str">
        <f t="shared" si="53"/>
        <v>-</v>
      </c>
      <c r="AU193" s="2">
        <v>60.5</v>
      </c>
      <c r="AV193" s="8" t="str">
        <f t="shared" si="54"/>
        <v>-</v>
      </c>
      <c r="AW193" s="2">
        <v>56.9</v>
      </c>
      <c r="AX193" s="8" t="str">
        <f t="shared" si="55"/>
        <v>+</v>
      </c>
      <c r="AY193" s="2">
        <v>59.1</v>
      </c>
      <c r="AZ193" s="8" t="str">
        <f t="shared" si="56"/>
        <v>-</v>
      </c>
      <c r="BA193" s="2">
        <v>46.5</v>
      </c>
      <c r="BB193" s="8" t="str">
        <f t="shared" si="57"/>
        <v>-</v>
      </c>
      <c r="BC193" s="2"/>
      <c r="BD193" s="8" t="str">
        <f t="shared" si="58"/>
        <v>+</v>
      </c>
      <c r="BE193" s="2">
        <v>68.599999999999994</v>
      </c>
      <c r="BF193" s="8" t="str">
        <f t="shared" si="49"/>
        <v>+</v>
      </c>
      <c r="BG193" s="2"/>
      <c r="BH193" s="8" t="str">
        <f t="shared" si="59"/>
        <v>+</v>
      </c>
      <c r="BI193" s="2"/>
      <c r="BJ193" s="8" t="str">
        <f t="shared" si="60"/>
        <v>+</v>
      </c>
      <c r="BK193" s="2"/>
      <c r="BL193" s="8" t="str">
        <f t="shared" si="61"/>
        <v>+</v>
      </c>
    </row>
    <row r="194" spans="1:64">
      <c r="A194" s="1">
        <v>24108</v>
      </c>
      <c r="B194">
        <v>62.8</v>
      </c>
      <c r="C194">
        <v>62.9</v>
      </c>
      <c r="D194">
        <v>60.2</v>
      </c>
      <c r="E194">
        <v>64.400000000000006</v>
      </c>
      <c r="F194">
        <v>73.5</v>
      </c>
      <c r="G194">
        <v>47.4</v>
      </c>
      <c r="I194">
        <v>67</v>
      </c>
      <c r="W194" s="1">
        <v>24108</v>
      </c>
      <c r="X194">
        <v>92.879997000000003</v>
      </c>
      <c r="Y194" s="4">
        <f t="shared" si="48"/>
        <v>4.8685167153521168E-3</v>
      </c>
      <c r="Z194" s="4">
        <f t="shared" si="50"/>
        <v>6.0758327107316865E-2</v>
      </c>
      <c r="AA194">
        <v>62.8</v>
      </c>
      <c r="AB194">
        <f t="shared" si="51"/>
        <v>62.4</v>
      </c>
      <c r="AP194" s="3">
        <v>24077</v>
      </c>
      <c r="AQ194" s="2">
        <v>59.4</v>
      </c>
      <c r="AR194" s="2" t="str">
        <f t="shared" si="52"/>
        <v>+</v>
      </c>
      <c r="AS194" s="2">
        <v>61.9</v>
      </c>
      <c r="AT194" s="8" t="str">
        <f t="shared" si="53"/>
        <v>-</v>
      </c>
      <c r="AU194" s="2">
        <v>60.9</v>
      </c>
      <c r="AV194" s="8" t="str">
        <f t="shared" si="54"/>
        <v>+</v>
      </c>
      <c r="AW194" s="2">
        <v>54.7</v>
      </c>
      <c r="AX194" s="8" t="str">
        <f t="shared" si="55"/>
        <v>-</v>
      </c>
      <c r="AY194" s="2">
        <v>65.099999999999994</v>
      </c>
      <c r="AZ194" s="8" t="str">
        <f t="shared" si="56"/>
        <v>+</v>
      </c>
      <c r="BA194" s="2">
        <v>48.7</v>
      </c>
      <c r="BB194" s="8" t="str">
        <f t="shared" si="57"/>
        <v>+</v>
      </c>
      <c r="BC194" s="2"/>
      <c r="BD194" s="8" t="str">
        <f t="shared" si="58"/>
        <v>+</v>
      </c>
      <c r="BE194" s="2">
        <v>70.599999999999994</v>
      </c>
      <c r="BF194" s="8" t="str">
        <f t="shared" si="49"/>
        <v>+</v>
      </c>
      <c r="BG194" s="2"/>
      <c r="BH194" s="8" t="str">
        <f t="shared" si="59"/>
        <v>+</v>
      </c>
      <c r="BI194" s="2"/>
      <c r="BJ194" s="8" t="str">
        <f t="shared" si="60"/>
        <v>+</v>
      </c>
      <c r="BK194" s="2"/>
      <c r="BL194" s="8" t="str">
        <f t="shared" si="61"/>
        <v>+</v>
      </c>
    </row>
    <row r="195" spans="1:64">
      <c r="A195" s="1">
        <v>24139</v>
      </c>
      <c r="B195">
        <v>65.8</v>
      </c>
      <c r="C195">
        <v>66.5</v>
      </c>
      <c r="D195">
        <v>62.6</v>
      </c>
      <c r="E195">
        <v>68.400000000000006</v>
      </c>
      <c r="F195">
        <v>74.900000000000006</v>
      </c>
      <c r="G195">
        <v>49.7</v>
      </c>
      <c r="I195">
        <v>75.900000000000006</v>
      </c>
      <c r="W195" s="1">
        <v>24139</v>
      </c>
      <c r="X195">
        <v>91.220000999999996</v>
      </c>
      <c r="Y195" s="4">
        <f t="shared" si="48"/>
        <v>-1.7872481197431636E-2</v>
      </c>
      <c r="Z195" s="4">
        <f t="shared" si="50"/>
        <v>4.3348976323916155E-2</v>
      </c>
      <c r="AA195">
        <v>65.8</v>
      </c>
      <c r="AB195">
        <f t="shared" si="51"/>
        <v>61</v>
      </c>
      <c r="AP195" s="3">
        <v>24108</v>
      </c>
      <c r="AQ195" s="2">
        <v>62.8</v>
      </c>
      <c r="AR195" s="2" t="str">
        <f t="shared" si="52"/>
        <v>+</v>
      </c>
      <c r="AS195" s="2">
        <v>62.9</v>
      </c>
      <c r="AT195" s="8" t="str">
        <f t="shared" si="53"/>
        <v>+</v>
      </c>
      <c r="AU195" s="2">
        <v>64.400000000000006</v>
      </c>
      <c r="AV195" s="8" t="str">
        <f t="shared" si="54"/>
        <v>+</v>
      </c>
      <c r="AW195" s="2">
        <v>60.2</v>
      </c>
      <c r="AX195" s="8" t="str">
        <f t="shared" si="55"/>
        <v>+</v>
      </c>
      <c r="AY195" s="2">
        <v>73.5</v>
      </c>
      <c r="AZ195" s="8" t="str">
        <f t="shared" si="56"/>
        <v>+</v>
      </c>
      <c r="BA195" s="2">
        <v>47.4</v>
      </c>
      <c r="BB195" s="8" t="str">
        <f t="shared" si="57"/>
        <v>-</v>
      </c>
      <c r="BC195" s="2"/>
      <c r="BD195" s="8" t="str">
        <f t="shared" si="58"/>
        <v>+</v>
      </c>
      <c r="BE195" s="2">
        <v>67</v>
      </c>
      <c r="BF195" s="8" t="str">
        <f t="shared" si="49"/>
        <v>-</v>
      </c>
      <c r="BG195" s="2"/>
      <c r="BH195" s="8" t="str">
        <f t="shared" si="59"/>
        <v>+</v>
      </c>
      <c r="BI195" s="2"/>
      <c r="BJ195" s="8" t="str">
        <f t="shared" si="60"/>
        <v>+</v>
      </c>
      <c r="BK195" s="2"/>
      <c r="BL195" s="8" t="str">
        <f t="shared" si="61"/>
        <v>+</v>
      </c>
    </row>
    <row r="196" spans="1:64">
      <c r="A196" s="1">
        <v>24167</v>
      </c>
      <c r="B196">
        <v>65.5</v>
      </c>
      <c r="C196">
        <v>66.099999999999994</v>
      </c>
      <c r="D196">
        <v>61.2</v>
      </c>
      <c r="E196">
        <v>66.099999999999994</v>
      </c>
      <c r="F196">
        <v>80.099999999999994</v>
      </c>
      <c r="G196">
        <v>48.7</v>
      </c>
      <c r="I196">
        <v>80.900000000000006</v>
      </c>
      <c r="W196" s="1">
        <v>24167</v>
      </c>
      <c r="X196">
        <v>89.230002999999996</v>
      </c>
      <c r="Y196" s="4">
        <f t="shared" ref="Y196:Y259" si="62">(X196-X195)/X195</f>
        <v>-2.1815369197375912E-2</v>
      </c>
      <c r="Z196" s="4">
        <f t="shared" si="50"/>
        <v>3.5631370212099757E-2</v>
      </c>
      <c r="AA196">
        <v>65.5</v>
      </c>
      <c r="AB196">
        <f t="shared" si="51"/>
        <v>62.1</v>
      </c>
      <c r="AP196" s="3">
        <v>24139</v>
      </c>
      <c r="AQ196" s="2">
        <v>65.8</v>
      </c>
      <c r="AR196" s="2" t="str">
        <f t="shared" si="52"/>
        <v>+</v>
      </c>
      <c r="AS196" s="2">
        <v>66.5</v>
      </c>
      <c r="AT196" s="8" t="str">
        <f t="shared" si="53"/>
        <v>+</v>
      </c>
      <c r="AU196" s="2">
        <v>68.400000000000006</v>
      </c>
      <c r="AV196" s="8" t="str">
        <f t="shared" si="54"/>
        <v>+</v>
      </c>
      <c r="AW196" s="2">
        <v>62.6</v>
      </c>
      <c r="AX196" s="8" t="str">
        <f t="shared" si="55"/>
        <v>+</v>
      </c>
      <c r="AY196" s="2">
        <v>74.900000000000006</v>
      </c>
      <c r="AZ196" s="8" t="str">
        <f t="shared" si="56"/>
        <v>+</v>
      </c>
      <c r="BA196" s="2">
        <v>49.7</v>
      </c>
      <c r="BB196" s="8" t="str">
        <f t="shared" si="57"/>
        <v>+</v>
      </c>
      <c r="BC196" s="2"/>
      <c r="BD196" s="8" t="str">
        <f t="shared" si="58"/>
        <v>+</v>
      </c>
      <c r="BE196" s="2">
        <v>75.900000000000006</v>
      </c>
      <c r="BF196" s="8" t="str">
        <f t="shared" si="49"/>
        <v>+</v>
      </c>
      <c r="BG196" s="2"/>
      <c r="BH196" s="8" t="str">
        <f t="shared" si="59"/>
        <v>+</v>
      </c>
      <c r="BI196" s="2"/>
      <c r="BJ196" s="8" t="str">
        <f t="shared" si="60"/>
        <v>+</v>
      </c>
      <c r="BK196" s="2"/>
      <c r="BL196" s="8" t="str">
        <f t="shared" si="61"/>
        <v>+</v>
      </c>
    </row>
    <row r="197" spans="1:64">
      <c r="A197" s="1">
        <v>24198</v>
      </c>
      <c r="B197">
        <v>65.7</v>
      </c>
      <c r="C197">
        <v>64.3</v>
      </c>
      <c r="D197">
        <v>61.5</v>
      </c>
      <c r="E197">
        <v>63.8</v>
      </c>
      <c r="F197">
        <v>86.4</v>
      </c>
      <c r="G197">
        <v>52.3</v>
      </c>
      <c r="I197">
        <v>85.7</v>
      </c>
      <c r="W197" s="1">
        <v>24198</v>
      </c>
      <c r="X197">
        <v>91.059997999999993</v>
      </c>
      <c r="Y197" s="4">
        <f t="shared" si="62"/>
        <v>2.0508740765143724E-2</v>
      </c>
      <c r="Z197" s="4">
        <f t="shared" si="50"/>
        <v>2.1883031961810843E-2</v>
      </c>
      <c r="AA197">
        <v>65.7</v>
      </c>
      <c r="AB197">
        <f t="shared" si="51"/>
        <v>64.900000000000006</v>
      </c>
      <c r="AP197" s="3">
        <v>24167</v>
      </c>
      <c r="AQ197" s="2">
        <v>65.5</v>
      </c>
      <c r="AR197" s="2" t="str">
        <f t="shared" si="52"/>
        <v>-</v>
      </c>
      <c r="AS197" s="2">
        <v>66.099999999999994</v>
      </c>
      <c r="AT197" s="8" t="str">
        <f t="shared" si="53"/>
        <v>-</v>
      </c>
      <c r="AU197" s="2">
        <v>66.099999999999994</v>
      </c>
      <c r="AV197" s="8" t="str">
        <f t="shared" si="54"/>
        <v>-</v>
      </c>
      <c r="AW197" s="2">
        <v>61.2</v>
      </c>
      <c r="AX197" s="8" t="str">
        <f t="shared" si="55"/>
        <v>-</v>
      </c>
      <c r="AY197" s="2">
        <v>80.099999999999994</v>
      </c>
      <c r="AZ197" s="8" t="str">
        <f t="shared" si="56"/>
        <v>+</v>
      </c>
      <c r="BA197" s="2">
        <v>48.7</v>
      </c>
      <c r="BB197" s="8" t="str">
        <f t="shared" si="57"/>
        <v>-</v>
      </c>
      <c r="BC197" s="2"/>
      <c r="BD197" s="8" t="str">
        <f t="shared" si="58"/>
        <v>+</v>
      </c>
      <c r="BE197" s="2">
        <v>80.900000000000006</v>
      </c>
      <c r="BF197" s="8" t="str">
        <f t="shared" si="49"/>
        <v>+</v>
      </c>
      <c r="BG197" s="2"/>
      <c r="BH197" s="8" t="str">
        <f t="shared" si="59"/>
        <v>+</v>
      </c>
      <c r="BI197" s="2"/>
      <c r="BJ197" s="8" t="str">
        <f t="shared" si="60"/>
        <v>+</v>
      </c>
      <c r="BK197" s="2"/>
      <c r="BL197" s="8" t="str">
        <f t="shared" si="61"/>
        <v>+</v>
      </c>
    </row>
    <row r="198" spans="1:64">
      <c r="A198" s="1">
        <v>24228</v>
      </c>
      <c r="B198">
        <v>64.2</v>
      </c>
      <c r="C198">
        <v>64.3</v>
      </c>
      <c r="D198">
        <v>59.9</v>
      </c>
      <c r="E198">
        <v>63.1</v>
      </c>
      <c r="F198">
        <v>79.3</v>
      </c>
      <c r="G198">
        <v>53</v>
      </c>
      <c r="I198">
        <v>83.9</v>
      </c>
      <c r="W198" s="1">
        <v>24228</v>
      </c>
      <c r="X198">
        <v>86.129997000000003</v>
      </c>
      <c r="Y198" s="4">
        <f t="shared" si="62"/>
        <v>-5.4140139559414338E-2</v>
      </c>
      <c r="Z198" s="4">
        <f t="shared" si="50"/>
        <v>-2.5899129742120143E-2</v>
      </c>
      <c r="AA198">
        <v>64.2</v>
      </c>
      <c r="AB198">
        <f t="shared" si="51"/>
        <v>62</v>
      </c>
      <c r="AP198" s="3">
        <v>24198</v>
      </c>
      <c r="AQ198" s="2">
        <v>65.7</v>
      </c>
      <c r="AR198" s="2" t="str">
        <f t="shared" si="52"/>
        <v>+</v>
      </c>
      <c r="AS198" s="2">
        <v>64.3</v>
      </c>
      <c r="AT198" s="8" t="str">
        <f t="shared" si="53"/>
        <v>-</v>
      </c>
      <c r="AU198" s="2">
        <v>63.8</v>
      </c>
      <c r="AV198" s="8" t="str">
        <f t="shared" si="54"/>
        <v>-</v>
      </c>
      <c r="AW198" s="2">
        <v>61.5</v>
      </c>
      <c r="AX198" s="8" t="str">
        <f t="shared" si="55"/>
        <v>+</v>
      </c>
      <c r="AY198" s="2">
        <v>86.4</v>
      </c>
      <c r="AZ198" s="8" t="str">
        <f t="shared" si="56"/>
        <v>+</v>
      </c>
      <c r="BA198" s="2">
        <v>52.3</v>
      </c>
      <c r="BB198" s="8" t="str">
        <f t="shared" si="57"/>
        <v>+</v>
      </c>
      <c r="BC198" s="2"/>
      <c r="BD198" s="8" t="str">
        <f t="shared" si="58"/>
        <v>+</v>
      </c>
      <c r="BE198" s="2">
        <v>85.7</v>
      </c>
      <c r="BF198" s="8" t="str">
        <f t="shared" ref="BF198:BF261" si="63">IF(OR(BE198&gt;BE197,BE198=BE197),"+","-")</f>
        <v>+</v>
      </c>
      <c r="BG198" s="2"/>
      <c r="BH198" s="8" t="str">
        <f t="shared" si="59"/>
        <v>+</v>
      </c>
      <c r="BI198" s="2"/>
      <c r="BJ198" s="8" t="str">
        <f t="shared" si="60"/>
        <v>+</v>
      </c>
      <c r="BK198" s="2"/>
      <c r="BL198" s="8" t="str">
        <f t="shared" si="61"/>
        <v>+</v>
      </c>
    </row>
    <row r="199" spans="1:64">
      <c r="A199" s="1">
        <v>24259</v>
      </c>
      <c r="B199">
        <v>57.7</v>
      </c>
      <c r="C199">
        <v>52.7</v>
      </c>
      <c r="D199">
        <v>57</v>
      </c>
      <c r="E199">
        <v>55.5</v>
      </c>
      <c r="F199">
        <v>74.599999999999994</v>
      </c>
      <c r="G199">
        <v>53.8</v>
      </c>
      <c r="I199">
        <v>83.3</v>
      </c>
      <c r="W199" s="1">
        <v>24259</v>
      </c>
      <c r="X199">
        <v>84.739998</v>
      </c>
      <c r="Y199" s="4">
        <f t="shared" si="62"/>
        <v>-1.6138384400501058E-2</v>
      </c>
      <c r="Z199" s="4">
        <f t="shared" si="50"/>
        <v>7.370363503196772E-3</v>
      </c>
      <c r="AA199">
        <v>57.7</v>
      </c>
      <c r="AB199">
        <f t="shared" si="51"/>
        <v>61.3</v>
      </c>
      <c r="AP199" s="3">
        <v>24228</v>
      </c>
      <c r="AQ199" s="2">
        <v>64.2</v>
      </c>
      <c r="AR199" s="2" t="str">
        <f t="shared" si="52"/>
        <v>-</v>
      </c>
      <c r="AS199" s="2">
        <v>64.3</v>
      </c>
      <c r="AT199" s="8" t="str">
        <f t="shared" si="53"/>
        <v>+</v>
      </c>
      <c r="AU199" s="2">
        <v>63.1</v>
      </c>
      <c r="AV199" s="8" t="str">
        <f t="shared" si="54"/>
        <v>-</v>
      </c>
      <c r="AW199" s="2">
        <v>59.9</v>
      </c>
      <c r="AX199" s="8" t="str">
        <f t="shared" si="55"/>
        <v>-</v>
      </c>
      <c r="AY199" s="2">
        <v>79.3</v>
      </c>
      <c r="AZ199" s="8" t="str">
        <f t="shared" si="56"/>
        <v>-</v>
      </c>
      <c r="BA199" s="2">
        <v>53</v>
      </c>
      <c r="BB199" s="8" t="str">
        <f t="shared" si="57"/>
        <v>+</v>
      </c>
      <c r="BC199" s="2"/>
      <c r="BD199" s="8" t="str">
        <f t="shared" si="58"/>
        <v>+</v>
      </c>
      <c r="BE199" s="2">
        <v>83.9</v>
      </c>
      <c r="BF199" s="8" t="str">
        <f t="shared" si="63"/>
        <v>-</v>
      </c>
      <c r="BG199" s="2"/>
      <c r="BH199" s="8" t="str">
        <f t="shared" si="59"/>
        <v>+</v>
      </c>
      <c r="BI199" s="2"/>
      <c r="BJ199" s="8" t="str">
        <f t="shared" si="60"/>
        <v>+</v>
      </c>
      <c r="BK199" s="2"/>
      <c r="BL199" s="8" t="str">
        <f t="shared" si="61"/>
        <v>+</v>
      </c>
    </row>
    <row r="200" spans="1:64">
      <c r="A200" s="1">
        <v>24289</v>
      </c>
      <c r="B200">
        <v>59</v>
      </c>
      <c r="C200">
        <v>55.9</v>
      </c>
      <c r="D200">
        <v>58.8</v>
      </c>
      <c r="E200">
        <v>57.6</v>
      </c>
      <c r="F200">
        <v>71.599999999999994</v>
      </c>
      <c r="G200">
        <v>53.3</v>
      </c>
      <c r="I200">
        <v>81.5</v>
      </c>
      <c r="W200" s="1">
        <v>24289</v>
      </c>
      <c r="X200">
        <v>83.599997999999999</v>
      </c>
      <c r="Y200" s="4">
        <f t="shared" si="62"/>
        <v>-1.3452915115716672E-2</v>
      </c>
      <c r="Z200" s="4">
        <f t="shared" si="50"/>
        <v>-1.9354862170087982E-2</v>
      </c>
      <c r="AA200">
        <v>59</v>
      </c>
      <c r="AB200">
        <f t="shared" si="51"/>
        <v>58.7</v>
      </c>
      <c r="AP200" s="3">
        <v>24259</v>
      </c>
      <c r="AQ200" s="2">
        <v>57.7</v>
      </c>
      <c r="AR200" s="2" t="str">
        <f t="shared" si="52"/>
        <v>-</v>
      </c>
      <c r="AS200" s="2">
        <v>52.7</v>
      </c>
      <c r="AT200" s="8" t="str">
        <f t="shared" si="53"/>
        <v>-</v>
      </c>
      <c r="AU200" s="2">
        <v>55.5</v>
      </c>
      <c r="AV200" s="8" t="str">
        <f t="shared" si="54"/>
        <v>-</v>
      </c>
      <c r="AW200" s="2">
        <v>57</v>
      </c>
      <c r="AX200" s="8" t="str">
        <f t="shared" si="55"/>
        <v>-</v>
      </c>
      <c r="AY200" s="2">
        <v>74.599999999999994</v>
      </c>
      <c r="AZ200" s="8" t="str">
        <f t="shared" si="56"/>
        <v>-</v>
      </c>
      <c r="BA200" s="2">
        <v>53.8</v>
      </c>
      <c r="BB200" s="8" t="str">
        <f t="shared" si="57"/>
        <v>+</v>
      </c>
      <c r="BC200" s="2"/>
      <c r="BD200" s="8" t="str">
        <f t="shared" si="58"/>
        <v>+</v>
      </c>
      <c r="BE200" s="2">
        <v>83.3</v>
      </c>
      <c r="BF200" s="8" t="str">
        <f t="shared" si="63"/>
        <v>-</v>
      </c>
      <c r="BG200" s="2"/>
      <c r="BH200" s="8" t="str">
        <f t="shared" si="59"/>
        <v>+</v>
      </c>
      <c r="BI200" s="2"/>
      <c r="BJ200" s="8" t="str">
        <f t="shared" si="60"/>
        <v>+</v>
      </c>
      <c r="BK200" s="2"/>
      <c r="BL200" s="8" t="str">
        <f t="shared" si="61"/>
        <v>+</v>
      </c>
    </row>
    <row r="201" spans="1:64">
      <c r="A201" s="1">
        <v>24320</v>
      </c>
      <c r="B201">
        <v>60.3</v>
      </c>
      <c r="C201">
        <v>56.3</v>
      </c>
      <c r="D201">
        <v>58.9</v>
      </c>
      <c r="E201">
        <v>59.3</v>
      </c>
      <c r="F201">
        <v>73.099999999999994</v>
      </c>
      <c r="G201">
        <v>57.9</v>
      </c>
      <c r="I201">
        <v>79.7</v>
      </c>
      <c r="W201" s="1">
        <v>24320</v>
      </c>
      <c r="X201">
        <v>77.099997999999999</v>
      </c>
      <c r="Y201" s="4">
        <f t="shared" si="62"/>
        <v>-7.7751198032325317E-2</v>
      </c>
      <c r="Z201" s="4">
        <f t="shared" si="50"/>
        <v>-0.11552139762582084</v>
      </c>
      <c r="AA201">
        <v>60.3</v>
      </c>
      <c r="AB201">
        <f t="shared" si="51"/>
        <v>58.1</v>
      </c>
      <c r="AP201" s="3">
        <v>24289</v>
      </c>
      <c r="AQ201" s="2">
        <v>59</v>
      </c>
      <c r="AR201" s="2" t="str">
        <f t="shared" si="52"/>
        <v>+</v>
      </c>
      <c r="AS201" s="2">
        <v>55.9</v>
      </c>
      <c r="AT201" s="8" t="str">
        <f t="shared" si="53"/>
        <v>+</v>
      </c>
      <c r="AU201" s="2">
        <v>57.6</v>
      </c>
      <c r="AV201" s="8" t="str">
        <f t="shared" si="54"/>
        <v>+</v>
      </c>
      <c r="AW201" s="2">
        <v>58.8</v>
      </c>
      <c r="AX201" s="8" t="str">
        <f t="shared" si="55"/>
        <v>+</v>
      </c>
      <c r="AY201" s="2">
        <v>71.599999999999994</v>
      </c>
      <c r="AZ201" s="8" t="str">
        <f t="shared" si="56"/>
        <v>-</v>
      </c>
      <c r="BA201" s="2">
        <v>53.3</v>
      </c>
      <c r="BB201" s="8" t="str">
        <f t="shared" si="57"/>
        <v>-</v>
      </c>
      <c r="BC201" s="2"/>
      <c r="BD201" s="8" t="str">
        <f t="shared" si="58"/>
        <v>+</v>
      </c>
      <c r="BE201" s="2">
        <v>81.5</v>
      </c>
      <c r="BF201" s="8" t="str">
        <f t="shared" si="63"/>
        <v>-</v>
      </c>
      <c r="BG201" s="2"/>
      <c r="BH201" s="8" t="str">
        <f t="shared" si="59"/>
        <v>+</v>
      </c>
      <c r="BI201" s="2"/>
      <c r="BJ201" s="8" t="str">
        <f t="shared" si="60"/>
        <v>+</v>
      </c>
      <c r="BK201" s="2"/>
      <c r="BL201" s="8" t="str">
        <f t="shared" si="61"/>
        <v>+</v>
      </c>
    </row>
    <row r="202" spans="1:64">
      <c r="A202" s="1">
        <v>24351</v>
      </c>
      <c r="B202">
        <v>58.5</v>
      </c>
      <c r="C202">
        <v>53.3</v>
      </c>
      <c r="D202">
        <v>56.4</v>
      </c>
      <c r="E202">
        <v>57.7</v>
      </c>
      <c r="F202">
        <v>74.3</v>
      </c>
      <c r="G202">
        <v>57</v>
      </c>
      <c r="I202">
        <v>79.5</v>
      </c>
      <c r="W202" s="1">
        <v>24351</v>
      </c>
      <c r="X202">
        <v>76.559997999999993</v>
      </c>
      <c r="Y202" s="4">
        <f t="shared" si="62"/>
        <v>-7.0038912322670389E-3</v>
      </c>
      <c r="Z202" s="4">
        <f t="shared" si="50"/>
        <v>-0.14895510392346717</v>
      </c>
      <c r="AA202">
        <v>58.5</v>
      </c>
      <c r="AB202">
        <f t="shared" si="51"/>
        <v>58.1</v>
      </c>
      <c r="AP202" s="3">
        <v>24320</v>
      </c>
      <c r="AQ202" s="2">
        <v>60.3</v>
      </c>
      <c r="AR202" s="2" t="str">
        <f t="shared" si="52"/>
        <v>+</v>
      </c>
      <c r="AS202" s="2">
        <v>56.3</v>
      </c>
      <c r="AT202" s="8" t="str">
        <f t="shared" si="53"/>
        <v>+</v>
      </c>
      <c r="AU202" s="2">
        <v>59.3</v>
      </c>
      <c r="AV202" s="8" t="str">
        <f t="shared" si="54"/>
        <v>+</v>
      </c>
      <c r="AW202" s="2">
        <v>58.9</v>
      </c>
      <c r="AX202" s="8" t="str">
        <f t="shared" si="55"/>
        <v>+</v>
      </c>
      <c r="AY202" s="2">
        <v>73.099999999999994</v>
      </c>
      <c r="AZ202" s="8" t="str">
        <f t="shared" si="56"/>
        <v>+</v>
      </c>
      <c r="BA202" s="2">
        <v>57.9</v>
      </c>
      <c r="BB202" s="8" t="str">
        <f t="shared" si="57"/>
        <v>+</v>
      </c>
      <c r="BC202" s="2"/>
      <c r="BD202" s="8" t="str">
        <f t="shared" si="58"/>
        <v>+</v>
      </c>
      <c r="BE202" s="2">
        <v>79.7</v>
      </c>
      <c r="BF202" s="8" t="str">
        <f t="shared" si="63"/>
        <v>-</v>
      </c>
      <c r="BG202" s="2"/>
      <c r="BH202" s="8" t="str">
        <f t="shared" si="59"/>
        <v>+</v>
      </c>
      <c r="BI202" s="2"/>
      <c r="BJ202" s="8" t="str">
        <f t="shared" si="60"/>
        <v>+</v>
      </c>
      <c r="BK202" s="2"/>
      <c r="BL202" s="8" t="str">
        <f t="shared" si="61"/>
        <v>+</v>
      </c>
    </row>
    <row r="203" spans="1:64">
      <c r="A203" s="1">
        <v>24381</v>
      </c>
      <c r="B203">
        <v>58.7</v>
      </c>
      <c r="C203">
        <v>55.2</v>
      </c>
      <c r="D203">
        <v>56.5</v>
      </c>
      <c r="E203">
        <v>57.9</v>
      </c>
      <c r="F203">
        <v>72.400000000000006</v>
      </c>
      <c r="G203">
        <v>54.8</v>
      </c>
      <c r="I203">
        <v>73.7</v>
      </c>
      <c r="W203" s="1">
        <v>24381</v>
      </c>
      <c r="X203">
        <v>80.199996999999996</v>
      </c>
      <c r="Y203" s="4">
        <f t="shared" si="62"/>
        <v>4.7544397793740846E-2</v>
      </c>
      <c r="Z203" s="4">
        <f t="shared" si="50"/>
        <v>-0.13222247635192558</v>
      </c>
      <c r="AA203">
        <v>58.7</v>
      </c>
      <c r="AB203">
        <f t="shared" si="51"/>
        <v>61</v>
      </c>
      <c r="AP203" s="3">
        <v>24351</v>
      </c>
      <c r="AQ203" s="2">
        <v>58.5</v>
      </c>
      <c r="AR203" s="2" t="str">
        <f t="shared" si="52"/>
        <v>-</v>
      </c>
      <c r="AS203" s="2">
        <v>53.3</v>
      </c>
      <c r="AT203" s="8" t="str">
        <f t="shared" si="53"/>
        <v>-</v>
      </c>
      <c r="AU203" s="2">
        <v>57.7</v>
      </c>
      <c r="AV203" s="8" t="str">
        <f t="shared" si="54"/>
        <v>-</v>
      </c>
      <c r="AW203" s="2">
        <v>56.4</v>
      </c>
      <c r="AX203" s="8" t="str">
        <f t="shared" si="55"/>
        <v>-</v>
      </c>
      <c r="AY203" s="2">
        <v>74.3</v>
      </c>
      <c r="AZ203" s="8" t="str">
        <f t="shared" si="56"/>
        <v>+</v>
      </c>
      <c r="BA203" s="2">
        <v>57</v>
      </c>
      <c r="BB203" s="8" t="str">
        <f t="shared" si="57"/>
        <v>-</v>
      </c>
      <c r="BC203" s="2"/>
      <c r="BD203" s="8" t="str">
        <f t="shared" si="58"/>
        <v>+</v>
      </c>
      <c r="BE203" s="2">
        <v>79.5</v>
      </c>
      <c r="BF203" s="8" t="str">
        <f t="shared" si="63"/>
        <v>-</v>
      </c>
      <c r="BG203" s="2"/>
      <c r="BH203" s="8" t="str">
        <f t="shared" si="59"/>
        <v>+</v>
      </c>
      <c r="BI203" s="2"/>
      <c r="BJ203" s="8" t="str">
        <f t="shared" si="60"/>
        <v>+</v>
      </c>
      <c r="BK203" s="2"/>
      <c r="BL203" s="8" t="str">
        <f t="shared" si="61"/>
        <v>+</v>
      </c>
    </row>
    <row r="204" spans="1:64">
      <c r="A204" s="1">
        <v>24412</v>
      </c>
      <c r="B204">
        <v>57.2</v>
      </c>
      <c r="C204">
        <v>51.6</v>
      </c>
      <c r="D204">
        <v>56.9</v>
      </c>
      <c r="E204">
        <v>57</v>
      </c>
      <c r="F204">
        <v>68.7</v>
      </c>
      <c r="G204">
        <v>58.2</v>
      </c>
      <c r="I204">
        <v>70.3</v>
      </c>
      <c r="W204" s="1">
        <v>24412</v>
      </c>
      <c r="X204">
        <v>80.449996999999996</v>
      </c>
      <c r="Y204" s="4">
        <f t="shared" si="62"/>
        <v>3.1172070991473981E-3</v>
      </c>
      <c r="Z204" s="4">
        <f t="shared" si="50"/>
        <v>-0.12182080425913325</v>
      </c>
      <c r="AA204">
        <v>57.2</v>
      </c>
      <c r="AB204">
        <f t="shared" si="51"/>
        <v>58.6</v>
      </c>
      <c r="AP204" s="3">
        <v>24381</v>
      </c>
      <c r="AQ204" s="2">
        <v>58.7</v>
      </c>
      <c r="AR204" s="2" t="str">
        <f t="shared" si="52"/>
        <v>+</v>
      </c>
      <c r="AS204" s="2">
        <v>55.2</v>
      </c>
      <c r="AT204" s="8" t="str">
        <f t="shared" si="53"/>
        <v>+</v>
      </c>
      <c r="AU204" s="2">
        <v>57.9</v>
      </c>
      <c r="AV204" s="8" t="str">
        <f t="shared" si="54"/>
        <v>+</v>
      </c>
      <c r="AW204" s="2">
        <v>56.5</v>
      </c>
      <c r="AX204" s="8" t="str">
        <f t="shared" si="55"/>
        <v>+</v>
      </c>
      <c r="AY204" s="2">
        <v>72.400000000000006</v>
      </c>
      <c r="AZ204" s="8" t="str">
        <f t="shared" si="56"/>
        <v>-</v>
      </c>
      <c r="BA204" s="2">
        <v>54.8</v>
      </c>
      <c r="BB204" s="8" t="str">
        <f t="shared" si="57"/>
        <v>-</v>
      </c>
      <c r="BC204" s="2"/>
      <c r="BD204" s="8" t="str">
        <f t="shared" si="58"/>
        <v>+</v>
      </c>
      <c r="BE204" s="2">
        <v>73.7</v>
      </c>
      <c r="BF204" s="8" t="str">
        <f t="shared" si="63"/>
        <v>-</v>
      </c>
      <c r="BG204" s="2"/>
      <c r="BH204" s="8" t="str">
        <f t="shared" si="59"/>
        <v>+</v>
      </c>
      <c r="BI204" s="2"/>
      <c r="BJ204" s="8" t="str">
        <f t="shared" si="60"/>
        <v>+</v>
      </c>
      <c r="BK204" s="2"/>
      <c r="BL204" s="8" t="str">
        <f t="shared" si="61"/>
        <v>+</v>
      </c>
    </row>
    <row r="205" spans="1:64">
      <c r="A205" s="1">
        <v>24442</v>
      </c>
      <c r="B205">
        <v>53.7</v>
      </c>
      <c r="C205">
        <v>46.8</v>
      </c>
      <c r="D205">
        <v>55.6</v>
      </c>
      <c r="E205">
        <v>54.2</v>
      </c>
      <c r="F205">
        <v>62.6</v>
      </c>
      <c r="G205">
        <v>55.6</v>
      </c>
      <c r="I205">
        <v>71.900000000000006</v>
      </c>
      <c r="W205" s="1">
        <v>24442</v>
      </c>
      <c r="X205">
        <v>80.330001999999993</v>
      </c>
      <c r="Y205" s="4">
        <f t="shared" si="62"/>
        <v>-1.4915476006792513E-3</v>
      </c>
      <c r="Z205" s="4">
        <f t="shared" si="50"/>
        <v>-0.13090985610732461</v>
      </c>
      <c r="AA205">
        <v>53.7</v>
      </c>
      <c r="AB205">
        <f t="shared" si="51"/>
        <v>59.4</v>
      </c>
      <c r="AP205" s="3">
        <v>24412</v>
      </c>
      <c r="AQ205" s="2">
        <v>57.2</v>
      </c>
      <c r="AR205" s="2" t="str">
        <f t="shared" si="52"/>
        <v>-</v>
      </c>
      <c r="AS205" s="2">
        <v>51.6</v>
      </c>
      <c r="AT205" s="8" t="str">
        <f t="shared" si="53"/>
        <v>-</v>
      </c>
      <c r="AU205" s="2">
        <v>57</v>
      </c>
      <c r="AV205" s="8" t="str">
        <f t="shared" si="54"/>
        <v>-</v>
      </c>
      <c r="AW205" s="2">
        <v>56.9</v>
      </c>
      <c r="AX205" s="8" t="str">
        <f t="shared" si="55"/>
        <v>+</v>
      </c>
      <c r="AY205" s="2">
        <v>68.7</v>
      </c>
      <c r="AZ205" s="8" t="str">
        <f t="shared" si="56"/>
        <v>-</v>
      </c>
      <c r="BA205" s="2">
        <v>58.2</v>
      </c>
      <c r="BB205" s="8" t="str">
        <f t="shared" si="57"/>
        <v>+</v>
      </c>
      <c r="BC205" s="2"/>
      <c r="BD205" s="8" t="str">
        <f t="shared" si="58"/>
        <v>+</v>
      </c>
      <c r="BE205" s="2">
        <v>70.3</v>
      </c>
      <c r="BF205" s="8" t="str">
        <f t="shared" si="63"/>
        <v>-</v>
      </c>
      <c r="BG205" s="2"/>
      <c r="BH205" s="8" t="str">
        <f t="shared" si="59"/>
        <v>+</v>
      </c>
      <c r="BI205" s="2"/>
      <c r="BJ205" s="8" t="str">
        <f t="shared" si="60"/>
        <v>+</v>
      </c>
      <c r="BK205" s="2"/>
      <c r="BL205" s="8" t="str">
        <f t="shared" si="61"/>
        <v>+</v>
      </c>
    </row>
    <row r="206" spans="1:64">
      <c r="A206" s="1">
        <v>24473</v>
      </c>
      <c r="B206">
        <v>52.4</v>
      </c>
      <c r="C206">
        <v>48.8</v>
      </c>
      <c r="D206">
        <v>50.7</v>
      </c>
      <c r="E206">
        <v>54.1</v>
      </c>
      <c r="F206">
        <v>57.9</v>
      </c>
      <c r="G206">
        <v>53.7</v>
      </c>
      <c r="I206">
        <v>67.599999999999994</v>
      </c>
      <c r="W206" s="1">
        <v>24473</v>
      </c>
      <c r="X206">
        <v>86.610000999999997</v>
      </c>
      <c r="Y206" s="4">
        <f t="shared" si="62"/>
        <v>7.817750334426736E-2</v>
      </c>
      <c r="Z206" s="4">
        <f t="shared" si="50"/>
        <v>-6.7506419062438233E-2</v>
      </c>
      <c r="AA206">
        <v>52.4</v>
      </c>
      <c r="AB206">
        <f t="shared" si="51"/>
        <v>62.8</v>
      </c>
      <c r="AP206" s="3">
        <v>24442</v>
      </c>
      <c r="AQ206" s="2">
        <v>53.7</v>
      </c>
      <c r="AR206" s="2" t="str">
        <f t="shared" si="52"/>
        <v>-</v>
      </c>
      <c r="AS206" s="2">
        <v>46.8</v>
      </c>
      <c r="AT206" s="8" t="str">
        <f t="shared" si="53"/>
        <v>-</v>
      </c>
      <c r="AU206" s="2">
        <v>54.2</v>
      </c>
      <c r="AV206" s="8" t="str">
        <f t="shared" si="54"/>
        <v>-</v>
      </c>
      <c r="AW206" s="2">
        <v>55.6</v>
      </c>
      <c r="AX206" s="8" t="str">
        <f t="shared" si="55"/>
        <v>-</v>
      </c>
      <c r="AY206" s="2">
        <v>62.6</v>
      </c>
      <c r="AZ206" s="8" t="str">
        <f t="shared" si="56"/>
        <v>-</v>
      </c>
      <c r="BA206" s="2">
        <v>55.6</v>
      </c>
      <c r="BB206" s="8" t="str">
        <f t="shared" si="57"/>
        <v>-</v>
      </c>
      <c r="BC206" s="2"/>
      <c r="BD206" s="8" t="str">
        <f t="shared" si="58"/>
        <v>+</v>
      </c>
      <c r="BE206" s="2">
        <v>71.900000000000006</v>
      </c>
      <c r="BF206" s="8" t="str">
        <f t="shared" si="63"/>
        <v>+</v>
      </c>
      <c r="BG206" s="2"/>
      <c r="BH206" s="8" t="str">
        <f t="shared" si="59"/>
        <v>+</v>
      </c>
      <c r="BI206" s="2"/>
      <c r="BJ206" s="8" t="str">
        <f t="shared" si="60"/>
        <v>+</v>
      </c>
      <c r="BK206" s="2"/>
      <c r="BL206" s="8" t="str">
        <f t="shared" si="61"/>
        <v>+</v>
      </c>
    </row>
    <row r="207" spans="1:64">
      <c r="A207" s="1">
        <v>24504</v>
      </c>
      <c r="B207">
        <v>49.1</v>
      </c>
      <c r="C207">
        <v>46.2</v>
      </c>
      <c r="D207">
        <v>48.3</v>
      </c>
      <c r="E207">
        <v>54.1</v>
      </c>
      <c r="F207">
        <v>48.2</v>
      </c>
      <c r="G207">
        <v>48.2</v>
      </c>
      <c r="I207">
        <v>72.900000000000006</v>
      </c>
      <c r="W207" s="1">
        <v>24504</v>
      </c>
      <c r="X207">
        <v>86.779999000000004</v>
      </c>
      <c r="Y207" s="4">
        <f t="shared" si="62"/>
        <v>1.9627987303684103E-3</v>
      </c>
      <c r="Z207" s="4">
        <f t="shared" ref="Z207:Z270" si="64">(X207-X195)/X195</f>
        <v>-4.8673557896584466E-2</v>
      </c>
      <c r="AA207">
        <v>49.1</v>
      </c>
      <c r="AB207">
        <f t="shared" ref="AB207:AB270" si="65">AA195</f>
        <v>65.8</v>
      </c>
      <c r="AP207" s="3">
        <v>24473</v>
      </c>
      <c r="AQ207" s="2">
        <v>52.4</v>
      </c>
      <c r="AR207" s="2" t="str">
        <f t="shared" si="52"/>
        <v>-</v>
      </c>
      <c r="AS207" s="2">
        <v>48.8</v>
      </c>
      <c r="AT207" s="8" t="str">
        <f t="shared" si="53"/>
        <v>+</v>
      </c>
      <c r="AU207" s="2">
        <v>54.1</v>
      </c>
      <c r="AV207" s="8" t="str">
        <f t="shared" si="54"/>
        <v>-</v>
      </c>
      <c r="AW207" s="2">
        <v>50.7</v>
      </c>
      <c r="AX207" s="8" t="str">
        <f t="shared" si="55"/>
        <v>-</v>
      </c>
      <c r="AY207" s="2">
        <v>57.9</v>
      </c>
      <c r="AZ207" s="8" t="str">
        <f t="shared" si="56"/>
        <v>-</v>
      </c>
      <c r="BA207" s="2">
        <v>53.7</v>
      </c>
      <c r="BB207" s="8" t="str">
        <f t="shared" si="57"/>
        <v>-</v>
      </c>
      <c r="BC207" s="2"/>
      <c r="BD207" s="8" t="str">
        <f t="shared" si="58"/>
        <v>+</v>
      </c>
      <c r="BE207" s="2">
        <v>67.599999999999994</v>
      </c>
      <c r="BF207" s="8" t="str">
        <f t="shared" si="63"/>
        <v>-</v>
      </c>
      <c r="BG207" s="2"/>
      <c r="BH207" s="8" t="str">
        <f t="shared" si="59"/>
        <v>+</v>
      </c>
      <c r="BI207" s="2"/>
      <c r="BJ207" s="8" t="str">
        <f t="shared" si="60"/>
        <v>+</v>
      </c>
      <c r="BK207" s="2"/>
      <c r="BL207" s="8" t="str">
        <f t="shared" si="61"/>
        <v>+</v>
      </c>
    </row>
    <row r="208" spans="1:64">
      <c r="A208" s="1">
        <v>24532</v>
      </c>
      <c r="B208">
        <v>47.6</v>
      </c>
      <c r="C208">
        <v>45.1</v>
      </c>
      <c r="D208">
        <v>47.6</v>
      </c>
      <c r="E208">
        <v>50.4</v>
      </c>
      <c r="F208">
        <v>49.9</v>
      </c>
      <c r="G208">
        <v>45.3</v>
      </c>
      <c r="I208">
        <v>61.8</v>
      </c>
      <c r="W208" s="1">
        <v>24532</v>
      </c>
      <c r="X208">
        <v>90.199996999999996</v>
      </c>
      <c r="Y208" s="4">
        <f t="shared" si="62"/>
        <v>3.9409979712030099E-2</v>
      </c>
      <c r="Z208" s="4">
        <f t="shared" si="64"/>
        <v>1.087071576137905E-2</v>
      </c>
      <c r="AA208">
        <v>47.6</v>
      </c>
      <c r="AB208">
        <f t="shared" si="65"/>
        <v>65.5</v>
      </c>
      <c r="AP208" s="3">
        <v>24504</v>
      </c>
      <c r="AQ208" s="2">
        <v>49.1</v>
      </c>
      <c r="AR208" s="2" t="str">
        <f t="shared" si="52"/>
        <v>-</v>
      </c>
      <c r="AS208" s="2">
        <v>46.2</v>
      </c>
      <c r="AT208" s="8" t="str">
        <f t="shared" si="53"/>
        <v>-</v>
      </c>
      <c r="AU208" s="2">
        <v>54.1</v>
      </c>
      <c r="AV208" s="8" t="str">
        <f t="shared" si="54"/>
        <v>+</v>
      </c>
      <c r="AW208" s="2">
        <v>48.3</v>
      </c>
      <c r="AX208" s="8" t="str">
        <f t="shared" si="55"/>
        <v>-</v>
      </c>
      <c r="AY208" s="2">
        <v>48.2</v>
      </c>
      <c r="AZ208" s="8" t="str">
        <f t="shared" si="56"/>
        <v>-</v>
      </c>
      <c r="BA208" s="2">
        <v>48.2</v>
      </c>
      <c r="BB208" s="8" t="str">
        <f t="shared" si="57"/>
        <v>-</v>
      </c>
      <c r="BC208" s="2"/>
      <c r="BD208" s="8" t="str">
        <f t="shared" si="58"/>
        <v>+</v>
      </c>
      <c r="BE208" s="2">
        <v>72.900000000000006</v>
      </c>
      <c r="BF208" s="8" t="str">
        <f t="shared" si="63"/>
        <v>+</v>
      </c>
      <c r="BG208" s="2"/>
      <c r="BH208" s="8" t="str">
        <f t="shared" si="59"/>
        <v>+</v>
      </c>
      <c r="BI208" s="2"/>
      <c r="BJ208" s="8" t="str">
        <f t="shared" si="60"/>
        <v>+</v>
      </c>
      <c r="BK208" s="2"/>
      <c r="BL208" s="8" t="str">
        <f t="shared" si="61"/>
        <v>+</v>
      </c>
    </row>
    <row r="209" spans="1:64">
      <c r="A209" s="1">
        <v>24563</v>
      </c>
      <c r="B209">
        <v>45.3</v>
      </c>
      <c r="C209">
        <v>45.3</v>
      </c>
      <c r="D209">
        <v>46.3</v>
      </c>
      <c r="E209">
        <v>48.7</v>
      </c>
      <c r="F209">
        <v>38</v>
      </c>
      <c r="G209">
        <v>45.6</v>
      </c>
      <c r="I209">
        <v>54</v>
      </c>
      <c r="W209" s="1">
        <v>24563</v>
      </c>
      <c r="X209">
        <v>94.010002</v>
      </c>
      <c r="Y209" s="4">
        <f t="shared" si="62"/>
        <v>4.2239524686458738E-2</v>
      </c>
      <c r="Z209" s="4">
        <f t="shared" si="64"/>
        <v>3.2396266909647933E-2</v>
      </c>
      <c r="AA209">
        <v>45.3</v>
      </c>
      <c r="AB209">
        <f t="shared" si="65"/>
        <v>65.7</v>
      </c>
      <c r="AP209" s="3">
        <v>24532</v>
      </c>
      <c r="AQ209" s="2">
        <v>47.6</v>
      </c>
      <c r="AR209" s="2" t="str">
        <f t="shared" si="52"/>
        <v>-</v>
      </c>
      <c r="AS209" s="2">
        <v>45.1</v>
      </c>
      <c r="AT209" s="8" t="str">
        <f t="shared" si="53"/>
        <v>-</v>
      </c>
      <c r="AU209" s="2">
        <v>50.4</v>
      </c>
      <c r="AV209" s="8" t="str">
        <f t="shared" si="54"/>
        <v>-</v>
      </c>
      <c r="AW209" s="2">
        <v>47.6</v>
      </c>
      <c r="AX209" s="8" t="str">
        <f t="shared" si="55"/>
        <v>-</v>
      </c>
      <c r="AY209" s="2">
        <v>49.9</v>
      </c>
      <c r="AZ209" s="8" t="str">
        <f t="shared" si="56"/>
        <v>+</v>
      </c>
      <c r="BA209" s="2">
        <v>45.3</v>
      </c>
      <c r="BB209" s="8" t="str">
        <f t="shared" si="57"/>
        <v>-</v>
      </c>
      <c r="BC209" s="2"/>
      <c r="BD209" s="8" t="str">
        <f t="shared" si="58"/>
        <v>+</v>
      </c>
      <c r="BE209" s="2">
        <v>61.8</v>
      </c>
      <c r="BF209" s="8" t="str">
        <f t="shared" si="63"/>
        <v>-</v>
      </c>
      <c r="BG209" s="2"/>
      <c r="BH209" s="8" t="str">
        <f t="shared" si="59"/>
        <v>+</v>
      </c>
      <c r="BI209" s="2"/>
      <c r="BJ209" s="8" t="str">
        <f t="shared" si="60"/>
        <v>+</v>
      </c>
      <c r="BK209" s="2"/>
      <c r="BL209" s="8" t="str">
        <f t="shared" si="61"/>
        <v>+</v>
      </c>
    </row>
    <row r="210" spans="1:64">
      <c r="A210" s="1">
        <v>24593</v>
      </c>
      <c r="B210">
        <v>42.8</v>
      </c>
      <c r="C210">
        <v>46.4</v>
      </c>
      <c r="D210">
        <v>41.8</v>
      </c>
      <c r="E210">
        <v>44.3</v>
      </c>
      <c r="F210">
        <v>36.9</v>
      </c>
      <c r="G210">
        <v>39.4</v>
      </c>
      <c r="I210">
        <v>56.3</v>
      </c>
      <c r="W210" s="1">
        <v>24593</v>
      </c>
      <c r="X210">
        <v>89.080001999999993</v>
      </c>
      <c r="Y210" s="4">
        <f t="shared" si="62"/>
        <v>-5.2441228540767472E-2</v>
      </c>
      <c r="Z210" s="4">
        <f t="shared" si="64"/>
        <v>3.4250610736698273E-2</v>
      </c>
      <c r="AA210">
        <v>42.8</v>
      </c>
      <c r="AB210">
        <f t="shared" si="65"/>
        <v>64.2</v>
      </c>
      <c r="AP210" s="3">
        <v>24563</v>
      </c>
      <c r="AQ210" s="2">
        <v>45.3</v>
      </c>
      <c r="AR210" s="2" t="str">
        <f t="shared" si="52"/>
        <v>-</v>
      </c>
      <c r="AS210" s="2">
        <v>45.3</v>
      </c>
      <c r="AT210" s="8" t="str">
        <f t="shared" si="53"/>
        <v>+</v>
      </c>
      <c r="AU210" s="2">
        <v>48.7</v>
      </c>
      <c r="AV210" s="8" t="str">
        <f t="shared" si="54"/>
        <v>-</v>
      </c>
      <c r="AW210" s="2">
        <v>46.3</v>
      </c>
      <c r="AX210" s="8" t="str">
        <f t="shared" si="55"/>
        <v>-</v>
      </c>
      <c r="AY210" s="2">
        <v>38</v>
      </c>
      <c r="AZ210" s="8" t="str">
        <f t="shared" si="56"/>
        <v>-</v>
      </c>
      <c r="BA210" s="2">
        <v>45.6</v>
      </c>
      <c r="BB210" s="8" t="str">
        <f t="shared" si="57"/>
        <v>+</v>
      </c>
      <c r="BC210" s="2"/>
      <c r="BD210" s="8" t="str">
        <f t="shared" si="58"/>
        <v>+</v>
      </c>
      <c r="BE210" s="2">
        <v>54</v>
      </c>
      <c r="BF210" s="8" t="str">
        <f t="shared" si="63"/>
        <v>-</v>
      </c>
      <c r="BG210" s="2"/>
      <c r="BH210" s="8" t="str">
        <f t="shared" si="59"/>
        <v>+</v>
      </c>
      <c r="BI210" s="2"/>
      <c r="BJ210" s="8" t="str">
        <f t="shared" si="60"/>
        <v>+</v>
      </c>
      <c r="BK210" s="2"/>
      <c r="BL210" s="8" t="str">
        <f t="shared" si="61"/>
        <v>+</v>
      </c>
    </row>
    <row r="211" spans="1:64">
      <c r="A211" s="1">
        <v>24624</v>
      </c>
      <c r="B211">
        <v>44.5</v>
      </c>
      <c r="C211">
        <v>47.6</v>
      </c>
      <c r="D211">
        <v>45.5</v>
      </c>
      <c r="E211">
        <v>48</v>
      </c>
      <c r="F211">
        <v>34.4</v>
      </c>
      <c r="G211">
        <v>39.700000000000003</v>
      </c>
      <c r="I211">
        <v>56.1</v>
      </c>
      <c r="W211" s="1">
        <v>24624</v>
      </c>
      <c r="X211">
        <v>90.639999000000003</v>
      </c>
      <c r="Y211" s="4">
        <f t="shared" si="62"/>
        <v>1.7512314380055918E-2</v>
      </c>
      <c r="Z211" s="4">
        <f t="shared" si="64"/>
        <v>6.9624747926003053E-2</v>
      </c>
      <c r="AA211">
        <v>44.5</v>
      </c>
      <c r="AB211">
        <f t="shared" si="65"/>
        <v>57.7</v>
      </c>
      <c r="AP211" s="3">
        <v>24593</v>
      </c>
      <c r="AQ211" s="2">
        <v>42.8</v>
      </c>
      <c r="AR211" s="2" t="str">
        <f t="shared" si="52"/>
        <v>-</v>
      </c>
      <c r="AS211" s="2">
        <v>46.4</v>
      </c>
      <c r="AT211" s="8" t="str">
        <f t="shared" si="53"/>
        <v>+</v>
      </c>
      <c r="AU211" s="2">
        <v>44.3</v>
      </c>
      <c r="AV211" s="8" t="str">
        <f t="shared" si="54"/>
        <v>-</v>
      </c>
      <c r="AW211" s="2">
        <v>41.8</v>
      </c>
      <c r="AX211" s="8" t="str">
        <f t="shared" si="55"/>
        <v>-</v>
      </c>
      <c r="AY211" s="2">
        <v>36.9</v>
      </c>
      <c r="AZ211" s="8" t="str">
        <f t="shared" si="56"/>
        <v>-</v>
      </c>
      <c r="BA211" s="2">
        <v>39.4</v>
      </c>
      <c r="BB211" s="8" t="str">
        <f t="shared" si="57"/>
        <v>-</v>
      </c>
      <c r="BC211" s="2"/>
      <c r="BD211" s="8" t="str">
        <f t="shared" si="58"/>
        <v>+</v>
      </c>
      <c r="BE211" s="2">
        <v>56.3</v>
      </c>
      <c r="BF211" s="8" t="str">
        <f t="shared" si="63"/>
        <v>+</v>
      </c>
      <c r="BG211" s="2"/>
      <c r="BH211" s="8" t="str">
        <f t="shared" si="59"/>
        <v>+</v>
      </c>
      <c r="BI211" s="2"/>
      <c r="BJ211" s="8" t="str">
        <f t="shared" si="60"/>
        <v>+</v>
      </c>
      <c r="BK211" s="2"/>
      <c r="BL211" s="8" t="str">
        <f t="shared" si="61"/>
        <v>+</v>
      </c>
    </row>
    <row r="212" spans="1:64">
      <c r="A212" s="1">
        <v>24654</v>
      </c>
      <c r="B212">
        <v>46.8</v>
      </c>
      <c r="C212">
        <v>51.8</v>
      </c>
      <c r="D212">
        <v>45.8</v>
      </c>
      <c r="E212">
        <v>50.7</v>
      </c>
      <c r="F212">
        <v>36.5</v>
      </c>
      <c r="G212">
        <v>39.6</v>
      </c>
      <c r="I212">
        <v>58.4</v>
      </c>
      <c r="W212" s="1">
        <v>24654</v>
      </c>
      <c r="X212">
        <v>94.75</v>
      </c>
      <c r="Y212" s="4">
        <f t="shared" si="62"/>
        <v>4.534423042083216E-2</v>
      </c>
      <c r="Z212" s="4">
        <f t="shared" si="64"/>
        <v>0.13337323285581898</v>
      </c>
      <c r="AA212">
        <v>46.8</v>
      </c>
      <c r="AB212">
        <f t="shared" si="65"/>
        <v>59</v>
      </c>
      <c r="AP212" s="3">
        <v>24624</v>
      </c>
      <c r="AQ212" s="2">
        <v>44.5</v>
      </c>
      <c r="AR212" s="2" t="str">
        <f t="shared" si="52"/>
        <v>+</v>
      </c>
      <c r="AS212" s="2">
        <v>47.6</v>
      </c>
      <c r="AT212" s="8" t="str">
        <f t="shared" si="53"/>
        <v>+</v>
      </c>
      <c r="AU212" s="2">
        <v>48</v>
      </c>
      <c r="AV212" s="8" t="str">
        <f t="shared" si="54"/>
        <v>+</v>
      </c>
      <c r="AW212" s="2">
        <v>45.5</v>
      </c>
      <c r="AX212" s="8" t="str">
        <f t="shared" si="55"/>
        <v>+</v>
      </c>
      <c r="AY212" s="2">
        <v>34.4</v>
      </c>
      <c r="AZ212" s="8" t="str">
        <f t="shared" si="56"/>
        <v>-</v>
      </c>
      <c r="BA212" s="2">
        <v>39.700000000000003</v>
      </c>
      <c r="BB212" s="8" t="str">
        <f t="shared" si="57"/>
        <v>+</v>
      </c>
      <c r="BC212" s="2"/>
      <c r="BD212" s="8" t="str">
        <f t="shared" si="58"/>
        <v>+</v>
      </c>
      <c r="BE212" s="2">
        <v>56.1</v>
      </c>
      <c r="BF212" s="8" t="str">
        <f t="shared" si="63"/>
        <v>-</v>
      </c>
      <c r="BG212" s="2"/>
      <c r="BH212" s="8" t="str">
        <f t="shared" si="59"/>
        <v>+</v>
      </c>
      <c r="BI212" s="2"/>
      <c r="BJ212" s="8" t="str">
        <f t="shared" si="60"/>
        <v>+</v>
      </c>
      <c r="BK212" s="2"/>
      <c r="BL212" s="8" t="str">
        <f t="shared" si="61"/>
        <v>+</v>
      </c>
    </row>
    <row r="213" spans="1:64">
      <c r="A213" s="1">
        <v>24685</v>
      </c>
      <c r="B213">
        <v>49.5</v>
      </c>
      <c r="C213">
        <v>53.7</v>
      </c>
      <c r="D213">
        <v>50.2</v>
      </c>
      <c r="E213">
        <v>53.4</v>
      </c>
      <c r="F213">
        <v>40.9</v>
      </c>
      <c r="G213">
        <v>38.1</v>
      </c>
      <c r="I213">
        <v>63.9</v>
      </c>
      <c r="W213" s="1">
        <v>24685</v>
      </c>
      <c r="X213">
        <v>93.639999000000003</v>
      </c>
      <c r="Y213" s="4">
        <f t="shared" si="62"/>
        <v>-1.1715050131926089E-2</v>
      </c>
      <c r="Z213" s="4">
        <f t="shared" si="64"/>
        <v>0.21452660738071619</v>
      </c>
      <c r="AA213">
        <v>49.5</v>
      </c>
      <c r="AB213">
        <f t="shared" si="65"/>
        <v>60.3</v>
      </c>
      <c r="AP213" s="3">
        <v>24654</v>
      </c>
      <c r="AQ213" s="2">
        <v>46.8</v>
      </c>
      <c r="AR213" s="2" t="str">
        <f t="shared" si="52"/>
        <v>+</v>
      </c>
      <c r="AS213" s="2">
        <v>51.8</v>
      </c>
      <c r="AT213" s="8" t="str">
        <f t="shared" si="53"/>
        <v>+</v>
      </c>
      <c r="AU213" s="2">
        <v>50.7</v>
      </c>
      <c r="AV213" s="8" t="str">
        <f t="shared" si="54"/>
        <v>+</v>
      </c>
      <c r="AW213" s="2">
        <v>45.8</v>
      </c>
      <c r="AX213" s="8" t="str">
        <f t="shared" si="55"/>
        <v>+</v>
      </c>
      <c r="AY213" s="2">
        <v>36.5</v>
      </c>
      <c r="AZ213" s="8" t="str">
        <f t="shared" si="56"/>
        <v>+</v>
      </c>
      <c r="BA213" s="2">
        <v>39.6</v>
      </c>
      <c r="BB213" s="8" t="str">
        <f t="shared" si="57"/>
        <v>-</v>
      </c>
      <c r="BC213" s="2"/>
      <c r="BD213" s="8" t="str">
        <f t="shared" si="58"/>
        <v>+</v>
      </c>
      <c r="BE213" s="2">
        <v>58.4</v>
      </c>
      <c r="BF213" s="8" t="str">
        <f t="shared" si="63"/>
        <v>+</v>
      </c>
      <c r="BG213" s="2"/>
      <c r="BH213" s="8" t="str">
        <f t="shared" si="59"/>
        <v>+</v>
      </c>
      <c r="BI213" s="2"/>
      <c r="BJ213" s="8" t="str">
        <f t="shared" si="60"/>
        <v>+</v>
      </c>
      <c r="BK213" s="2"/>
      <c r="BL213" s="8" t="str">
        <f t="shared" si="61"/>
        <v>+</v>
      </c>
    </row>
    <row r="214" spans="1:64">
      <c r="A214" s="1">
        <v>24716</v>
      </c>
      <c r="B214">
        <v>52.2</v>
      </c>
      <c r="C214">
        <v>55.4</v>
      </c>
      <c r="D214">
        <v>52.9</v>
      </c>
      <c r="E214">
        <v>56.4</v>
      </c>
      <c r="F214">
        <v>44.8</v>
      </c>
      <c r="G214">
        <v>41.7</v>
      </c>
      <c r="I214">
        <v>67.5</v>
      </c>
      <c r="W214" s="1">
        <v>24716</v>
      </c>
      <c r="X214">
        <v>96.709998999999996</v>
      </c>
      <c r="Y214" s="4">
        <f t="shared" si="62"/>
        <v>3.2785134908000085E-2</v>
      </c>
      <c r="Z214" s="4">
        <f t="shared" si="64"/>
        <v>0.26319228743971501</v>
      </c>
      <c r="AA214">
        <v>52.2</v>
      </c>
      <c r="AB214">
        <f t="shared" si="65"/>
        <v>58.5</v>
      </c>
      <c r="AP214" s="3">
        <v>24685</v>
      </c>
      <c r="AQ214" s="2">
        <v>49.5</v>
      </c>
      <c r="AR214" s="2" t="str">
        <f t="shared" si="52"/>
        <v>+</v>
      </c>
      <c r="AS214" s="2">
        <v>53.7</v>
      </c>
      <c r="AT214" s="8" t="str">
        <f t="shared" si="53"/>
        <v>+</v>
      </c>
      <c r="AU214" s="2">
        <v>53.4</v>
      </c>
      <c r="AV214" s="8" t="str">
        <f t="shared" si="54"/>
        <v>+</v>
      </c>
      <c r="AW214" s="2">
        <v>50.2</v>
      </c>
      <c r="AX214" s="8" t="str">
        <f t="shared" si="55"/>
        <v>+</v>
      </c>
      <c r="AY214" s="2">
        <v>40.9</v>
      </c>
      <c r="AZ214" s="8" t="str">
        <f t="shared" si="56"/>
        <v>+</v>
      </c>
      <c r="BA214" s="2">
        <v>38.1</v>
      </c>
      <c r="BB214" s="8" t="str">
        <f t="shared" si="57"/>
        <v>-</v>
      </c>
      <c r="BC214" s="2"/>
      <c r="BD214" s="8" t="str">
        <f t="shared" si="58"/>
        <v>+</v>
      </c>
      <c r="BE214" s="2">
        <v>63.9</v>
      </c>
      <c r="BF214" s="8" t="str">
        <f t="shared" si="63"/>
        <v>+</v>
      </c>
      <c r="BG214" s="2"/>
      <c r="BH214" s="8" t="str">
        <f t="shared" si="59"/>
        <v>+</v>
      </c>
      <c r="BI214" s="2"/>
      <c r="BJ214" s="8" t="str">
        <f t="shared" si="60"/>
        <v>+</v>
      </c>
      <c r="BK214" s="2"/>
      <c r="BL214" s="8" t="str">
        <f t="shared" si="61"/>
        <v>+</v>
      </c>
    </row>
    <row r="215" spans="1:64">
      <c r="A215" s="1">
        <v>24746</v>
      </c>
      <c r="B215">
        <v>54.9</v>
      </c>
      <c r="C215">
        <v>62</v>
      </c>
      <c r="D215">
        <v>51.6</v>
      </c>
      <c r="E215">
        <v>57.4</v>
      </c>
      <c r="F215">
        <v>46.5</v>
      </c>
      <c r="G215">
        <v>46.8</v>
      </c>
      <c r="I215">
        <v>75.2</v>
      </c>
      <c r="W215" s="1">
        <v>24746</v>
      </c>
      <c r="X215">
        <v>93.300003000000004</v>
      </c>
      <c r="Y215" s="4">
        <f t="shared" si="62"/>
        <v>-3.5260014840864516E-2</v>
      </c>
      <c r="Z215" s="4">
        <f t="shared" si="64"/>
        <v>0.16334172680829412</v>
      </c>
      <c r="AA215">
        <v>54.9</v>
      </c>
      <c r="AB215">
        <f t="shared" si="65"/>
        <v>58.7</v>
      </c>
      <c r="AP215" s="3">
        <v>24716</v>
      </c>
      <c r="AQ215" s="2">
        <v>52.2</v>
      </c>
      <c r="AR215" s="2" t="str">
        <f t="shared" si="52"/>
        <v>+</v>
      </c>
      <c r="AS215" s="2">
        <v>55.4</v>
      </c>
      <c r="AT215" s="8" t="str">
        <f t="shared" si="53"/>
        <v>+</v>
      </c>
      <c r="AU215" s="2">
        <v>56.4</v>
      </c>
      <c r="AV215" s="8" t="str">
        <f t="shared" si="54"/>
        <v>+</v>
      </c>
      <c r="AW215" s="2">
        <v>52.9</v>
      </c>
      <c r="AX215" s="8" t="str">
        <f t="shared" si="55"/>
        <v>+</v>
      </c>
      <c r="AY215" s="2">
        <v>44.8</v>
      </c>
      <c r="AZ215" s="8" t="str">
        <f t="shared" si="56"/>
        <v>+</v>
      </c>
      <c r="BA215" s="2">
        <v>41.7</v>
      </c>
      <c r="BB215" s="8" t="str">
        <f t="shared" si="57"/>
        <v>+</v>
      </c>
      <c r="BC215" s="2"/>
      <c r="BD215" s="8" t="str">
        <f t="shared" si="58"/>
        <v>+</v>
      </c>
      <c r="BE215" s="2">
        <v>67.5</v>
      </c>
      <c r="BF215" s="8" t="str">
        <f t="shared" si="63"/>
        <v>+</v>
      </c>
      <c r="BG215" s="2"/>
      <c r="BH215" s="8" t="str">
        <f t="shared" si="59"/>
        <v>+</v>
      </c>
      <c r="BI215" s="2"/>
      <c r="BJ215" s="8" t="str">
        <f t="shared" si="60"/>
        <v>+</v>
      </c>
      <c r="BK215" s="2"/>
      <c r="BL215" s="8" t="str">
        <f t="shared" si="61"/>
        <v>+</v>
      </c>
    </row>
    <row r="216" spans="1:64">
      <c r="A216" s="1">
        <v>24777</v>
      </c>
      <c r="B216">
        <v>54.1</v>
      </c>
      <c r="C216">
        <v>55.8</v>
      </c>
      <c r="D216">
        <v>52.4</v>
      </c>
      <c r="E216">
        <v>57.7</v>
      </c>
      <c r="F216">
        <v>51.1</v>
      </c>
      <c r="G216">
        <v>48</v>
      </c>
      <c r="I216">
        <v>78.7</v>
      </c>
      <c r="W216" s="1">
        <v>24777</v>
      </c>
      <c r="X216">
        <v>94</v>
      </c>
      <c r="Y216" s="4">
        <f t="shared" si="62"/>
        <v>7.5026471328194511E-3</v>
      </c>
      <c r="Z216" s="4">
        <f t="shared" si="64"/>
        <v>0.16842763835031596</v>
      </c>
      <c r="AA216">
        <v>54.1</v>
      </c>
      <c r="AB216">
        <f t="shared" si="65"/>
        <v>57.2</v>
      </c>
      <c r="AP216" s="3">
        <v>24746</v>
      </c>
      <c r="AQ216" s="2">
        <v>54.9</v>
      </c>
      <c r="AR216" s="2" t="str">
        <f t="shared" si="52"/>
        <v>+</v>
      </c>
      <c r="AS216" s="2">
        <v>62</v>
      </c>
      <c r="AT216" s="8" t="str">
        <f t="shared" si="53"/>
        <v>+</v>
      </c>
      <c r="AU216" s="2">
        <v>57.4</v>
      </c>
      <c r="AV216" s="8" t="str">
        <f t="shared" si="54"/>
        <v>+</v>
      </c>
      <c r="AW216" s="2">
        <v>51.6</v>
      </c>
      <c r="AX216" s="8" t="str">
        <f t="shared" si="55"/>
        <v>-</v>
      </c>
      <c r="AY216" s="2">
        <v>46.5</v>
      </c>
      <c r="AZ216" s="8" t="str">
        <f t="shared" si="56"/>
        <v>+</v>
      </c>
      <c r="BA216" s="2">
        <v>46.8</v>
      </c>
      <c r="BB216" s="8" t="str">
        <f t="shared" si="57"/>
        <v>+</v>
      </c>
      <c r="BC216" s="2"/>
      <c r="BD216" s="8" t="str">
        <f t="shared" si="58"/>
        <v>+</v>
      </c>
      <c r="BE216" s="2">
        <v>75.2</v>
      </c>
      <c r="BF216" s="8" t="str">
        <f t="shared" si="63"/>
        <v>+</v>
      </c>
      <c r="BG216" s="2"/>
      <c r="BH216" s="8" t="str">
        <f t="shared" si="59"/>
        <v>+</v>
      </c>
      <c r="BI216" s="2"/>
      <c r="BJ216" s="8" t="str">
        <f t="shared" si="60"/>
        <v>+</v>
      </c>
      <c r="BK216" s="2"/>
      <c r="BL216" s="8" t="str">
        <f t="shared" si="61"/>
        <v>+</v>
      </c>
    </row>
    <row r="217" spans="1:64">
      <c r="A217" s="1">
        <v>24807</v>
      </c>
      <c r="B217">
        <v>54.2</v>
      </c>
      <c r="C217">
        <v>57</v>
      </c>
      <c r="D217">
        <v>51.5</v>
      </c>
      <c r="E217">
        <v>58.6</v>
      </c>
      <c r="F217">
        <v>51.4</v>
      </c>
      <c r="G217">
        <v>44.4</v>
      </c>
      <c r="I217">
        <v>83.8</v>
      </c>
      <c r="W217" s="1">
        <v>24807</v>
      </c>
      <c r="X217">
        <v>96.470000999999996</v>
      </c>
      <c r="Y217" s="4">
        <f t="shared" si="62"/>
        <v>2.6276606382978684E-2</v>
      </c>
      <c r="Z217" s="4">
        <f t="shared" si="64"/>
        <v>0.20092118259875064</v>
      </c>
      <c r="AA217">
        <v>54.2</v>
      </c>
      <c r="AB217">
        <f t="shared" si="65"/>
        <v>53.7</v>
      </c>
      <c r="AP217" s="3">
        <v>24777</v>
      </c>
      <c r="AQ217" s="2">
        <v>54.1</v>
      </c>
      <c r="AR217" s="2" t="str">
        <f t="shared" si="52"/>
        <v>-</v>
      </c>
      <c r="AS217" s="2">
        <v>55.8</v>
      </c>
      <c r="AT217" s="8" t="str">
        <f t="shared" si="53"/>
        <v>-</v>
      </c>
      <c r="AU217" s="2">
        <v>57.7</v>
      </c>
      <c r="AV217" s="8" t="str">
        <f t="shared" si="54"/>
        <v>+</v>
      </c>
      <c r="AW217" s="2">
        <v>52.4</v>
      </c>
      <c r="AX217" s="8" t="str">
        <f t="shared" si="55"/>
        <v>+</v>
      </c>
      <c r="AY217" s="2">
        <v>51.1</v>
      </c>
      <c r="AZ217" s="8" t="str">
        <f t="shared" si="56"/>
        <v>+</v>
      </c>
      <c r="BA217" s="2">
        <v>48</v>
      </c>
      <c r="BB217" s="8" t="str">
        <f t="shared" si="57"/>
        <v>+</v>
      </c>
      <c r="BC217" s="2"/>
      <c r="BD217" s="8" t="str">
        <f t="shared" si="58"/>
        <v>+</v>
      </c>
      <c r="BE217" s="2">
        <v>78.7</v>
      </c>
      <c r="BF217" s="8" t="str">
        <f t="shared" si="63"/>
        <v>+</v>
      </c>
      <c r="BG217" s="2"/>
      <c r="BH217" s="8" t="str">
        <f t="shared" si="59"/>
        <v>+</v>
      </c>
      <c r="BI217" s="2"/>
      <c r="BJ217" s="8" t="str">
        <f t="shared" si="60"/>
        <v>+</v>
      </c>
      <c r="BK217" s="2"/>
      <c r="BL217" s="8" t="str">
        <f t="shared" si="61"/>
        <v>+</v>
      </c>
    </row>
    <row r="218" spans="1:64">
      <c r="A218" s="1">
        <v>24838</v>
      </c>
      <c r="B218">
        <v>55.6</v>
      </c>
      <c r="C218">
        <v>59.4</v>
      </c>
      <c r="D218">
        <v>51.5</v>
      </c>
      <c r="E218">
        <v>58.7</v>
      </c>
      <c r="F218">
        <v>49.9</v>
      </c>
      <c r="G218">
        <v>53.8</v>
      </c>
      <c r="I218">
        <v>79.599999999999994</v>
      </c>
      <c r="W218" s="1">
        <v>24838</v>
      </c>
      <c r="X218">
        <v>92.239998</v>
      </c>
      <c r="Y218" s="4">
        <f t="shared" si="62"/>
        <v>-4.384785898364401E-2</v>
      </c>
      <c r="Z218" s="4">
        <f t="shared" si="64"/>
        <v>6.5004005715229157E-2</v>
      </c>
      <c r="AA218">
        <v>55.6</v>
      </c>
      <c r="AB218">
        <f t="shared" si="65"/>
        <v>52.4</v>
      </c>
      <c r="AP218" s="3">
        <v>24807</v>
      </c>
      <c r="AQ218" s="2">
        <v>54.2</v>
      </c>
      <c r="AR218" s="2" t="str">
        <f t="shared" si="52"/>
        <v>+</v>
      </c>
      <c r="AS218" s="2">
        <v>57</v>
      </c>
      <c r="AT218" s="8" t="str">
        <f t="shared" si="53"/>
        <v>+</v>
      </c>
      <c r="AU218" s="2">
        <v>58.6</v>
      </c>
      <c r="AV218" s="8" t="str">
        <f t="shared" si="54"/>
        <v>+</v>
      </c>
      <c r="AW218" s="2">
        <v>51.5</v>
      </c>
      <c r="AX218" s="8" t="str">
        <f t="shared" si="55"/>
        <v>-</v>
      </c>
      <c r="AY218" s="2">
        <v>51.4</v>
      </c>
      <c r="AZ218" s="8" t="str">
        <f t="shared" si="56"/>
        <v>+</v>
      </c>
      <c r="BA218" s="2">
        <v>44.4</v>
      </c>
      <c r="BB218" s="8" t="str">
        <f t="shared" si="57"/>
        <v>-</v>
      </c>
      <c r="BC218" s="2"/>
      <c r="BD218" s="8" t="str">
        <f t="shared" si="58"/>
        <v>+</v>
      </c>
      <c r="BE218" s="2">
        <v>83.8</v>
      </c>
      <c r="BF218" s="8" t="str">
        <f t="shared" si="63"/>
        <v>+</v>
      </c>
      <c r="BG218" s="2"/>
      <c r="BH218" s="8" t="str">
        <f t="shared" si="59"/>
        <v>+</v>
      </c>
      <c r="BI218" s="2"/>
      <c r="BJ218" s="8" t="str">
        <f t="shared" si="60"/>
        <v>+</v>
      </c>
      <c r="BK218" s="2"/>
      <c r="BL218" s="8" t="str">
        <f t="shared" si="61"/>
        <v>+</v>
      </c>
    </row>
    <row r="219" spans="1:64">
      <c r="A219" s="1">
        <v>24869</v>
      </c>
      <c r="B219">
        <v>56.6</v>
      </c>
      <c r="C219">
        <v>60.1</v>
      </c>
      <c r="D219">
        <v>53.2</v>
      </c>
      <c r="E219">
        <v>59.3</v>
      </c>
      <c r="F219">
        <v>50.6</v>
      </c>
      <c r="G219">
        <v>54.8</v>
      </c>
      <c r="I219">
        <v>78</v>
      </c>
      <c r="W219" s="1">
        <v>24869</v>
      </c>
      <c r="X219">
        <v>89.360000999999997</v>
      </c>
      <c r="Y219" s="4">
        <f t="shared" si="62"/>
        <v>-3.1222864944121128E-2</v>
      </c>
      <c r="Z219" s="4">
        <f t="shared" si="64"/>
        <v>2.9730376005189782E-2</v>
      </c>
      <c r="AA219">
        <v>56.6</v>
      </c>
      <c r="AB219">
        <f t="shared" si="65"/>
        <v>49.1</v>
      </c>
      <c r="AP219" s="3">
        <v>24838</v>
      </c>
      <c r="AQ219" s="2">
        <v>55.6</v>
      </c>
      <c r="AR219" s="2" t="str">
        <f t="shared" si="52"/>
        <v>+</v>
      </c>
      <c r="AS219" s="2">
        <v>59.4</v>
      </c>
      <c r="AT219" s="8" t="str">
        <f t="shared" si="53"/>
        <v>+</v>
      </c>
      <c r="AU219" s="2">
        <v>58.7</v>
      </c>
      <c r="AV219" s="8" t="str">
        <f t="shared" si="54"/>
        <v>+</v>
      </c>
      <c r="AW219" s="2">
        <v>51.5</v>
      </c>
      <c r="AX219" s="8" t="str">
        <f t="shared" si="55"/>
        <v>+</v>
      </c>
      <c r="AY219" s="2">
        <v>49.9</v>
      </c>
      <c r="AZ219" s="8" t="str">
        <f t="shared" si="56"/>
        <v>-</v>
      </c>
      <c r="BA219" s="2">
        <v>53.8</v>
      </c>
      <c r="BB219" s="8" t="str">
        <f t="shared" si="57"/>
        <v>+</v>
      </c>
      <c r="BC219" s="2"/>
      <c r="BD219" s="8" t="str">
        <f t="shared" si="58"/>
        <v>+</v>
      </c>
      <c r="BE219" s="2">
        <v>79.599999999999994</v>
      </c>
      <c r="BF219" s="8" t="str">
        <f t="shared" si="63"/>
        <v>-</v>
      </c>
      <c r="BG219" s="2"/>
      <c r="BH219" s="8" t="str">
        <f t="shared" si="59"/>
        <v>+</v>
      </c>
      <c r="BI219" s="2"/>
      <c r="BJ219" s="8" t="str">
        <f t="shared" si="60"/>
        <v>+</v>
      </c>
      <c r="BK219" s="2"/>
      <c r="BL219" s="8" t="str">
        <f t="shared" si="61"/>
        <v>+</v>
      </c>
    </row>
    <row r="220" spans="1:64">
      <c r="A220" s="1">
        <v>24898</v>
      </c>
      <c r="B220">
        <v>55</v>
      </c>
      <c r="C220">
        <v>56.6</v>
      </c>
      <c r="D220">
        <v>50.3</v>
      </c>
      <c r="E220">
        <v>58.1</v>
      </c>
      <c r="F220">
        <v>53.9</v>
      </c>
      <c r="G220">
        <v>53.7</v>
      </c>
      <c r="I220">
        <v>76.3</v>
      </c>
      <c r="W220" s="1">
        <v>24898</v>
      </c>
      <c r="X220">
        <v>90.199996999999996</v>
      </c>
      <c r="Y220" s="4">
        <f t="shared" si="62"/>
        <v>9.4001341830781682E-3</v>
      </c>
      <c r="Z220" s="4">
        <f t="shared" si="64"/>
        <v>0</v>
      </c>
      <c r="AA220">
        <v>55</v>
      </c>
      <c r="AB220">
        <f t="shared" si="65"/>
        <v>47.6</v>
      </c>
      <c r="AP220" s="3">
        <v>24869</v>
      </c>
      <c r="AQ220" s="2">
        <v>56.6</v>
      </c>
      <c r="AR220" s="2" t="str">
        <f t="shared" si="52"/>
        <v>+</v>
      </c>
      <c r="AS220" s="2">
        <v>60.1</v>
      </c>
      <c r="AT220" s="8" t="str">
        <f t="shared" si="53"/>
        <v>+</v>
      </c>
      <c r="AU220" s="2">
        <v>59.3</v>
      </c>
      <c r="AV220" s="8" t="str">
        <f t="shared" si="54"/>
        <v>+</v>
      </c>
      <c r="AW220" s="2">
        <v>53.2</v>
      </c>
      <c r="AX220" s="8" t="str">
        <f t="shared" si="55"/>
        <v>+</v>
      </c>
      <c r="AY220" s="2">
        <v>50.6</v>
      </c>
      <c r="AZ220" s="8" t="str">
        <f t="shared" si="56"/>
        <v>+</v>
      </c>
      <c r="BA220" s="2">
        <v>54.8</v>
      </c>
      <c r="BB220" s="8" t="str">
        <f t="shared" si="57"/>
        <v>+</v>
      </c>
      <c r="BC220" s="2"/>
      <c r="BD220" s="8" t="str">
        <f t="shared" si="58"/>
        <v>+</v>
      </c>
      <c r="BE220" s="2">
        <v>78</v>
      </c>
      <c r="BF220" s="8" t="str">
        <f t="shared" si="63"/>
        <v>-</v>
      </c>
      <c r="BG220" s="2"/>
      <c r="BH220" s="8" t="str">
        <f t="shared" si="59"/>
        <v>+</v>
      </c>
      <c r="BI220" s="2"/>
      <c r="BJ220" s="8" t="str">
        <f t="shared" si="60"/>
        <v>+</v>
      </c>
      <c r="BK220" s="2"/>
      <c r="BL220" s="8" t="str">
        <f t="shared" si="61"/>
        <v>+</v>
      </c>
    </row>
    <row r="221" spans="1:64">
      <c r="A221" s="1">
        <v>24929</v>
      </c>
      <c r="B221">
        <v>53.8</v>
      </c>
      <c r="C221">
        <v>55.7</v>
      </c>
      <c r="D221">
        <v>50.1</v>
      </c>
      <c r="E221">
        <v>55.8</v>
      </c>
      <c r="F221">
        <v>54</v>
      </c>
      <c r="G221">
        <v>50.7</v>
      </c>
      <c r="I221">
        <v>76.099999999999994</v>
      </c>
      <c r="W221" s="1">
        <v>24929</v>
      </c>
      <c r="X221">
        <v>97.459998999999996</v>
      </c>
      <c r="Y221" s="4">
        <f t="shared" si="62"/>
        <v>8.0487829727976606E-2</v>
      </c>
      <c r="Z221" s="4">
        <f t="shared" si="64"/>
        <v>3.6698190901006428E-2</v>
      </c>
      <c r="AA221">
        <v>53.8</v>
      </c>
      <c r="AB221">
        <f t="shared" si="65"/>
        <v>45.3</v>
      </c>
      <c r="AP221" s="3">
        <v>24898</v>
      </c>
      <c r="AQ221" s="2">
        <v>55</v>
      </c>
      <c r="AR221" s="2" t="str">
        <f t="shared" si="52"/>
        <v>-</v>
      </c>
      <c r="AS221" s="2">
        <v>56.6</v>
      </c>
      <c r="AT221" s="8" t="str">
        <f t="shared" si="53"/>
        <v>-</v>
      </c>
      <c r="AU221" s="2">
        <v>58.1</v>
      </c>
      <c r="AV221" s="8" t="str">
        <f t="shared" si="54"/>
        <v>-</v>
      </c>
      <c r="AW221" s="2">
        <v>50.3</v>
      </c>
      <c r="AX221" s="8" t="str">
        <f t="shared" si="55"/>
        <v>-</v>
      </c>
      <c r="AY221" s="2">
        <v>53.9</v>
      </c>
      <c r="AZ221" s="8" t="str">
        <f t="shared" si="56"/>
        <v>+</v>
      </c>
      <c r="BA221" s="2">
        <v>53.7</v>
      </c>
      <c r="BB221" s="8" t="str">
        <f t="shared" si="57"/>
        <v>-</v>
      </c>
      <c r="BC221" s="2"/>
      <c r="BD221" s="8" t="str">
        <f t="shared" si="58"/>
        <v>+</v>
      </c>
      <c r="BE221" s="2">
        <v>76.3</v>
      </c>
      <c r="BF221" s="8" t="str">
        <f t="shared" si="63"/>
        <v>-</v>
      </c>
      <c r="BG221" s="2"/>
      <c r="BH221" s="8" t="str">
        <f t="shared" si="59"/>
        <v>+</v>
      </c>
      <c r="BI221" s="2"/>
      <c r="BJ221" s="8" t="str">
        <f t="shared" si="60"/>
        <v>+</v>
      </c>
      <c r="BK221" s="2"/>
      <c r="BL221" s="8" t="str">
        <f t="shared" si="61"/>
        <v>+</v>
      </c>
    </row>
    <row r="222" spans="1:64">
      <c r="A222" s="1">
        <v>24959</v>
      </c>
      <c r="B222">
        <v>58</v>
      </c>
      <c r="C222">
        <v>64.5</v>
      </c>
      <c r="D222">
        <v>53.5</v>
      </c>
      <c r="E222">
        <v>60.1</v>
      </c>
      <c r="F222">
        <v>49</v>
      </c>
      <c r="G222">
        <v>54.9</v>
      </c>
      <c r="I222">
        <v>71.5</v>
      </c>
      <c r="W222" s="1">
        <v>24959</v>
      </c>
      <c r="X222">
        <v>98.68</v>
      </c>
      <c r="Y222" s="4">
        <f t="shared" si="62"/>
        <v>1.251796647360945E-2</v>
      </c>
      <c r="Z222" s="4">
        <f t="shared" si="64"/>
        <v>0.10776827328764557</v>
      </c>
      <c r="AA222">
        <v>58</v>
      </c>
      <c r="AB222">
        <f t="shared" si="65"/>
        <v>42.8</v>
      </c>
      <c r="AP222" s="3">
        <v>24929</v>
      </c>
      <c r="AQ222" s="2">
        <v>53.8</v>
      </c>
      <c r="AR222" s="2" t="str">
        <f t="shared" si="52"/>
        <v>-</v>
      </c>
      <c r="AS222" s="2">
        <v>55.7</v>
      </c>
      <c r="AT222" s="8" t="str">
        <f t="shared" si="53"/>
        <v>-</v>
      </c>
      <c r="AU222" s="2">
        <v>55.8</v>
      </c>
      <c r="AV222" s="8" t="str">
        <f t="shared" si="54"/>
        <v>-</v>
      </c>
      <c r="AW222" s="2">
        <v>50.1</v>
      </c>
      <c r="AX222" s="8" t="str">
        <f t="shared" si="55"/>
        <v>-</v>
      </c>
      <c r="AY222" s="2">
        <v>54</v>
      </c>
      <c r="AZ222" s="8" t="str">
        <f t="shared" si="56"/>
        <v>+</v>
      </c>
      <c r="BA222" s="2">
        <v>50.7</v>
      </c>
      <c r="BB222" s="8" t="str">
        <f t="shared" si="57"/>
        <v>-</v>
      </c>
      <c r="BC222" s="2"/>
      <c r="BD222" s="8" t="str">
        <f t="shared" si="58"/>
        <v>+</v>
      </c>
      <c r="BE222" s="2">
        <v>76.099999999999994</v>
      </c>
      <c r="BF222" s="8" t="str">
        <f t="shared" si="63"/>
        <v>-</v>
      </c>
      <c r="BG222" s="2"/>
      <c r="BH222" s="8" t="str">
        <f t="shared" si="59"/>
        <v>+</v>
      </c>
      <c r="BI222" s="2"/>
      <c r="BJ222" s="8" t="str">
        <f t="shared" si="60"/>
        <v>+</v>
      </c>
      <c r="BK222" s="2"/>
      <c r="BL222" s="8" t="str">
        <f t="shared" si="61"/>
        <v>+</v>
      </c>
    </row>
    <row r="223" spans="1:64">
      <c r="A223" s="1">
        <v>24990</v>
      </c>
      <c r="B223">
        <v>55.3</v>
      </c>
      <c r="C223">
        <v>56.2</v>
      </c>
      <c r="D223">
        <v>53.1</v>
      </c>
      <c r="E223">
        <v>60</v>
      </c>
      <c r="F223">
        <v>49.4</v>
      </c>
      <c r="G223">
        <v>54</v>
      </c>
      <c r="I223">
        <v>69.2</v>
      </c>
      <c r="W223" s="1">
        <v>24990</v>
      </c>
      <c r="X223">
        <v>99.580001999999993</v>
      </c>
      <c r="Y223" s="4">
        <f t="shared" si="62"/>
        <v>9.1204094041344389E-3</v>
      </c>
      <c r="Z223" s="4">
        <f t="shared" si="64"/>
        <v>9.8631984759840849E-2</v>
      </c>
      <c r="AA223">
        <v>55.3</v>
      </c>
      <c r="AB223">
        <f t="shared" si="65"/>
        <v>44.5</v>
      </c>
      <c r="AP223" s="3">
        <v>24959</v>
      </c>
      <c r="AQ223" s="2">
        <v>58</v>
      </c>
      <c r="AR223" s="2" t="str">
        <f t="shared" si="52"/>
        <v>+</v>
      </c>
      <c r="AS223" s="2">
        <v>64.5</v>
      </c>
      <c r="AT223" s="8" t="str">
        <f t="shared" si="53"/>
        <v>+</v>
      </c>
      <c r="AU223" s="2">
        <v>60.1</v>
      </c>
      <c r="AV223" s="8" t="str">
        <f t="shared" si="54"/>
        <v>+</v>
      </c>
      <c r="AW223" s="2">
        <v>53.5</v>
      </c>
      <c r="AX223" s="8" t="str">
        <f t="shared" si="55"/>
        <v>+</v>
      </c>
      <c r="AY223" s="2">
        <v>49</v>
      </c>
      <c r="AZ223" s="8" t="str">
        <f t="shared" si="56"/>
        <v>-</v>
      </c>
      <c r="BA223" s="2">
        <v>54.9</v>
      </c>
      <c r="BB223" s="8" t="str">
        <f t="shared" si="57"/>
        <v>+</v>
      </c>
      <c r="BC223" s="2"/>
      <c r="BD223" s="8" t="str">
        <f t="shared" si="58"/>
        <v>+</v>
      </c>
      <c r="BE223" s="2">
        <v>71.5</v>
      </c>
      <c r="BF223" s="8" t="str">
        <f t="shared" si="63"/>
        <v>-</v>
      </c>
      <c r="BG223" s="2"/>
      <c r="BH223" s="8" t="str">
        <f t="shared" si="59"/>
        <v>+</v>
      </c>
      <c r="BI223" s="2"/>
      <c r="BJ223" s="8" t="str">
        <f t="shared" si="60"/>
        <v>+</v>
      </c>
      <c r="BK223" s="2"/>
      <c r="BL223" s="8" t="str">
        <f t="shared" si="61"/>
        <v>+</v>
      </c>
    </row>
    <row r="224" spans="1:64">
      <c r="A224" s="1">
        <v>25020</v>
      </c>
      <c r="B224">
        <v>53.5</v>
      </c>
      <c r="C224">
        <v>54.3</v>
      </c>
      <c r="D224">
        <v>52.6</v>
      </c>
      <c r="E224">
        <v>54.9</v>
      </c>
      <c r="F224">
        <v>49.9</v>
      </c>
      <c r="G224">
        <v>55</v>
      </c>
      <c r="I224">
        <v>70.400000000000006</v>
      </c>
      <c r="W224" s="1">
        <v>25020</v>
      </c>
      <c r="X224">
        <v>97.739998</v>
      </c>
      <c r="Y224" s="4">
        <f t="shared" si="62"/>
        <v>-1.8477645742565794E-2</v>
      </c>
      <c r="Z224" s="4">
        <f t="shared" si="64"/>
        <v>3.1556707124010555E-2</v>
      </c>
      <c r="AA224">
        <v>53.5</v>
      </c>
      <c r="AB224">
        <f t="shared" si="65"/>
        <v>46.8</v>
      </c>
      <c r="AP224" s="3">
        <v>24990</v>
      </c>
      <c r="AQ224" s="2">
        <v>55.3</v>
      </c>
      <c r="AR224" s="2" t="str">
        <f t="shared" si="52"/>
        <v>-</v>
      </c>
      <c r="AS224" s="2">
        <v>56.2</v>
      </c>
      <c r="AT224" s="8" t="str">
        <f t="shared" si="53"/>
        <v>-</v>
      </c>
      <c r="AU224" s="2">
        <v>60</v>
      </c>
      <c r="AV224" s="8" t="str">
        <f t="shared" si="54"/>
        <v>-</v>
      </c>
      <c r="AW224" s="2">
        <v>53.1</v>
      </c>
      <c r="AX224" s="8" t="str">
        <f t="shared" si="55"/>
        <v>-</v>
      </c>
      <c r="AY224" s="2">
        <v>49.4</v>
      </c>
      <c r="AZ224" s="8" t="str">
        <f t="shared" si="56"/>
        <v>+</v>
      </c>
      <c r="BA224" s="2">
        <v>54</v>
      </c>
      <c r="BB224" s="8" t="str">
        <f t="shared" si="57"/>
        <v>-</v>
      </c>
      <c r="BC224" s="2"/>
      <c r="BD224" s="8" t="str">
        <f t="shared" si="58"/>
        <v>+</v>
      </c>
      <c r="BE224" s="2">
        <v>69.2</v>
      </c>
      <c r="BF224" s="8" t="str">
        <f t="shared" si="63"/>
        <v>-</v>
      </c>
      <c r="BG224" s="2"/>
      <c r="BH224" s="8" t="str">
        <f t="shared" si="59"/>
        <v>+</v>
      </c>
      <c r="BI224" s="2"/>
      <c r="BJ224" s="8" t="str">
        <f t="shared" si="60"/>
        <v>+</v>
      </c>
      <c r="BK224" s="2"/>
      <c r="BL224" s="8" t="str">
        <f t="shared" si="61"/>
        <v>+</v>
      </c>
    </row>
    <row r="225" spans="1:64">
      <c r="A225" s="1">
        <v>25051</v>
      </c>
      <c r="B225">
        <v>54.1</v>
      </c>
      <c r="C225">
        <v>54.5</v>
      </c>
      <c r="D225">
        <v>48.2</v>
      </c>
      <c r="E225">
        <v>56.5</v>
      </c>
      <c r="F225">
        <v>55.9</v>
      </c>
      <c r="G225">
        <v>55.8</v>
      </c>
      <c r="I225">
        <v>67.099999999999994</v>
      </c>
      <c r="W225" s="1">
        <v>25051</v>
      </c>
      <c r="X225">
        <v>98.860000999999997</v>
      </c>
      <c r="Y225" s="4">
        <f t="shared" si="62"/>
        <v>1.1459003713096013E-2</v>
      </c>
      <c r="Z225" s="4">
        <f t="shared" si="64"/>
        <v>5.5745429899032715E-2</v>
      </c>
      <c r="AA225">
        <v>54.1</v>
      </c>
      <c r="AB225">
        <f t="shared" si="65"/>
        <v>49.5</v>
      </c>
      <c r="AP225" s="3">
        <v>25020</v>
      </c>
      <c r="AQ225" s="2">
        <v>53.5</v>
      </c>
      <c r="AR225" s="2" t="str">
        <f t="shared" si="52"/>
        <v>-</v>
      </c>
      <c r="AS225" s="2">
        <v>54.3</v>
      </c>
      <c r="AT225" s="8" t="str">
        <f t="shared" si="53"/>
        <v>-</v>
      </c>
      <c r="AU225" s="2">
        <v>54.9</v>
      </c>
      <c r="AV225" s="8" t="str">
        <f t="shared" si="54"/>
        <v>-</v>
      </c>
      <c r="AW225" s="2">
        <v>52.6</v>
      </c>
      <c r="AX225" s="8" t="str">
        <f t="shared" si="55"/>
        <v>-</v>
      </c>
      <c r="AY225" s="2">
        <v>49.9</v>
      </c>
      <c r="AZ225" s="8" t="str">
        <f t="shared" si="56"/>
        <v>+</v>
      </c>
      <c r="BA225" s="2">
        <v>55</v>
      </c>
      <c r="BB225" s="8" t="str">
        <f t="shared" si="57"/>
        <v>+</v>
      </c>
      <c r="BC225" s="2"/>
      <c r="BD225" s="8" t="str">
        <f t="shared" si="58"/>
        <v>+</v>
      </c>
      <c r="BE225" s="2">
        <v>70.400000000000006</v>
      </c>
      <c r="BF225" s="8" t="str">
        <f t="shared" si="63"/>
        <v>+</v>
      </c>
      <c r="BG225" s="2"/>
      <c r="BH225" s="8" t="str">
        <f t="shared" si="59"/>
        <v>+</v>
      </c>
      <c r="BI225" s="2"/>
      <c r="BJ225" s="8" t="str">
        <f t="shared" si="60"/>
        <v>+</v>
      </c>
      <c r="BK225" s="2"/>
      <c r="BL225" s="8" t="str">
        <f t="shared" si="61"/>
        <v>+</v>
      </c>
    </row>
    <row r="226" spans="1:64">
      <c r="A226" s="1">
        <v>25082</v>
      </c>
      <c r="B226">
        <v>52.7</v>
      </c>
      <c r="C226">
        <v>53.8</v>
      </c>
      <c r="D226">
        <v>49.5</v>
      </c>
      <c r="E226">
        <v>56.1</v>
      </c>
      <c r="F226">
        <v>47.8</v>
      </c>
      <c r="G226">
        <v>54.2</v>
      </c>
      <c r="I226">
        <v>74.3</v>
      </c>
      <c r="W226" s="1">
        <v>25082</v>
      </c>
      <c r="X226">
        <v>102.66999800000001</v>
      </c>
      <c r="Y226" s="4">
        <f t="shared" si="62"/>
        <v>3.8539317837959663E-2</v>
      </c>
      <c r="Z226" s="4">
        <f t="shared" si="64"/>
        <v>6.162753656940903E-2</v>
      </c>
      <c r="AA226">
        <v>52.7</v>
      </c>
      <c r="AB226">
        <f t="shared" si="65"/>
        <v>52.2</v>
      </c>
      <c r="AP226" s="3">
        <v>25051</v>
      </c>
      <c r="AQ226" s="2">
        <v>54.1</v>
      </c>
      <c r="AR226" s="2" t="str">
        <f t="shared" si="52"/>
        <v>+</v>
      </c>
      <c r="AS226" s="2">
        <v>54.5</v>
      </c>
      <c r="AT226" s="8" t="str">
        <f t="shared" si="53"/>
        <v>+</v>
      </c>
      <c r="AU226" s="2">
        <v>56.5</v>
      </c>
      <c r="AV226" s="8" t="str">
        <f t="shared" si="54"/>
        <v>+</v>
      </c>
      <c r="AW226" s="2">
        <v>48.2</v>
      </c>
      <c r="AX226" s="8" t="str">
        <f t="shared" si="55"/>
        <v>-</v>
      </c>
      <c r="AY226" s="2">
        <v>55.9</v>
      </c>
      <c r="AZ226" s="8" t="str">
        <f t="shared" si="56"/>
        <v>+</v>
      </c>
      <c r="BA226" s="2">
        <v>55.8</v>
      </c>
      <c r="BB226" s="8" t="str">
        <f t="shared" si="57"/>
        <v>+</v>
      </c>
      <c r="BC226" s="2"/>
      <c r="BD226" s="8" t="str">
        <f t="shared" si="58"/>
        <v>+</v>
      </c>
      <c r="BE226" s="2">
        <v>67.099999999999994</v>
      </c>
      <c r="BF226" s="8" t="str">
        <f t="shared" si="63"/>
        <v>-</v>
      </c>
      <c r="BG226" s="2"/>
      <c r="BH226" s="8" t="str">
        <f t="shared" si="59"/>
        <v>+</v>
      </c>
      <c r="BI226" s="2"/>
      <c r="BJ226" s="8" t="str">
        <f t="shared" si="60"/>
        <v>+</v>
      </c>
      <c r="BK226" s="2"/>
      <c r="BL226" s="8" t="str">
        <f t="shared" si="61"/>
        <v>+</v>
      </c>
    </row>
    <row r="227" spans="1:64">
      <c r="A227" s="1">
        <v>25112</v>
      </c>
      <c r="B227">
        <v>51.8</v>
      </c>
      <c r="C227">
        <v>55.4</v>
      </c>
      <c r="D227">
        <v>47.1</v>
      </c>
      <c r="E227">
        <v>57</v>
      </c>
      <c r="F227">
        <v>48.4</v>
      </c>
      <c r="G227">
        <v>42.4</v>
      </c>
      <c r="I227">
        <v>72.400000000000006</v>
      </c>
      <c r="W227" s="1">
        <v>25112</v>
      </c>
      <c r="X227">
        <v>103.410004</v>
      </c>
      <c r="Y227" s="4">
        <f t="shared" si="62"/>
        <v>7.2076167762270132E-3</v>
      </c>
      <c r="Z227" s="4">
        <f t="shared" si="64"/>
        <v>0.10836013585122818</v>
      </c>
      <c r="AA227">
        <v>51.8</v>
      </c>
      <c r="AB227">
        <f t="shared" si="65"/>
        <v>54.9</v>
      </c>
      <c r="AP227" s="3">
        <v>25082</v>
      </c>
      <c r="AQ227" s="2">
        <v>52.7</v>
      </c>
      <c r="AR227" s="2" t="str">
        <f t="shared" si="52"/>
        <v>-</v>
      </c>
      <c r="AS227" s="2">
        <v>53.8</v>
      </c>
      <c r="AT227" s="8" t="str">
        <f t="shared" si="53"/>
        <v>-</v>
      </c>
      <c r="AU227" s="2">
        <v>56.1</v>
      </c>
      <c r="AV227" s="8" t="str">
        <f t="shared" si="54"/>
        <v>-</v>
      </c>
      <c r="AW227" s="2">
        <v>49.5</v>
      </c>
      <c r="AX227" s="8" t="str">
        <f t="shared" si="55"/>
        <v>+</v>
      </c>
      <c r="AY227" s="2">
        <v>47.8</v>
      </c>
      <c r="AZ227" s="8" t="str">
        <f t="shared" si="56"/>
        <v>-</v>
      </c>
      <c r="BA227" s="2">
        <v>54.2</v>
      </c>
      <c r="BB227" s="8" t="str">
        <f t="shared" si="57"/>
        <v>-</v>
      </c>
      <c r="BC227" s="2"/>
      <c r="BD227" s="8" t="str">
        <f t="shared" si="58"/>
        <v>+</v>
      </c>
      <c r="BE227" s="2">
        <v>74.3</v>
      </c>
      <c r="BF227" s="8" t="str">
        <f t="shared" si="63"/>
        <v>+</v>
      </c>
      <c r="BG227" s="2"/>
      <c r="BH227" s="8" t="str">
        <f t="shared" si="59"/>
        <v>+</v>
      </c>
      <c r="BI227" s="2"/>
      <c r="BJ227" s="8" t="str">
        <f t="shared" si="60"/>
        <v>+</v>
      </c>
      <c r="BK227" s="2"/>
      <c r="BL227" s="8" t="str">
        <f t="shared" si="61"/>
        <v>+</v>
      </c>
    </row>
    <row r="228" spans="1:64">
      <c r="A228" s="1">
        <v>25143</v>
      </c>
      <c r="B228">
        <v>55.8</v>
      </c>
      <c r="C228">
        <v>58.5</v>
      </c>
      <c r="D228">
        <v>52.6</v>
      </c>
      <c r="E228">
        <v>61.1</v>
      </c>
      <c r="F228">
        <v>53.3</v>
      </c>
      <c r="G228">
        <v>44.3</v>
      </c>
      <c r="I228">
        <v>70.8</v>
      </c>
      <c r="W228" s="1">
        <v>25143</v>
      </c>
      <c r="X228">
        <v>108.370003</v>
      </c>
      <c r="Y228" s="4">
        <f t="shared" si="62"/>
        <v>4.7964401974106841E-2</v>
      </c>
      <c r="Z228" s="4">
        <f t="shared" si="64"/>
        <v>0.1528723723404255</v>
      </c>
      <c r="AA228">
        <v>55.8</v>
      </c>
      <c r="AB228">
        <f t="shared" si="65"/>
        <v>54.1</v>
      </c>
      <c r="AP228" s="3">
        <v>25112</v>
      </c>
      <c r="AQ228" s="2">
        <v>51.8</v>
      </c>
      <c r="AR228" s="2" t="str">
        <f t="shared" si="52"/>
        <v>-</v>
      </c>
      <c r="AS228" s="2">
        <v>55.4</v>
      </c>
      <c r="AT228" s="8" t="str">
        <f t="shared" si="53"/>
        <v>+</v>
      </c>
      <c r="AU228" s="2">
        <v>57</v>
      </c>
      <c r="AV228" s="8" t="str">
        <f t="shared" si="54"/>
        <v>+</v>
      </c>
      <c r="AW228" s="2">
        <v>47.1</v>
      </c>
      <c r="AX228" s="8" t="str">
        <f t="shared" si="55"/>
        <v>-</v>
      </c>
      <c r="AY228" s="2">
        <v>48.4</v>
      </c>
      <c r="AZ228" s="8" t="str">
        <f t="shared" si="56"/>
        <v>+</v>
      </c>
      <c r="BA228" s="2">
        <v>42.4</v>
      </c>
      <c r="BB228" s="8" t="str">
        <f t="shared" si="57"/>
        <v>-</v>
      </c>
      <c r="BC228" s="2"/>
      <c r="BD228" s="8" t="str">
        <f t="shared" si="58"/>
        <v>+</v>
      </c>
      <c r="BE228" s="2">
        <v>72.400000000000006</v>
      </c>
      <c r="BF228" s="8" t="str">
        <f t="shared" si="63"/>
        <v>-</v>
      </c>
      <c r="BG228" s="2"/>
      <c r="BH228" s="8" t="str">
        <f t="shared" si="59"/>
        <v>+</v>
      </c>
      <c r="BI228" s="2"/>
      <c r="BJ228" s="8" t="str">
        <f t="shared" si="60"/>
        <v>+</v>
      </c>
      <c r="BK228" s="2"/>
      <c r="BL228" s="8" t="str">
        <f t="shared" si="61"/>
        <v>+</v>
      </c>
    </row>
    <row r="229" spans="1:64">
      <c r="A229" s="1">
        <v>25173</v>
      </c>
      <c r="B229">
        <v>58.1</v>
      </c>
      <c r="C229">
        <v>61.3</v>
      </c>
      <c r="D229">
        <v>56.4</v>
      </c>
      <c r="E229">
        <v>59.8</v>
      </c>
      <c r="F229">
        <v>61</v>
      </c>
      <c r="G229">
        <v>43.5</v>
      </c>
      <c r="I229">
        <v>69.5</v>
      </c>
      <c r="W229" s="1">
        <v>25173</v>
      </c>
      <c r="X229">
        <v>103.860001</v>
      </c>
      <c r="Y229" s="4">
        <f t="shared" si="62"/>
        <v>-4.1616700887237221E-2</v>
      </c>
      <c r="Z229" s="4">
        <f t="shared" si="64"/>
        <v>7.6604124840840421E-2</v>
      </c>
      <c r="AA229">
        <v>58.1</v>
      </c>
      <c r="AB229">
        <f t="shared" si="65"/>
        <v>54.2</v>
      </c>
      <c r="AP229" s="3">
        <v>25143</v>
      </c>
      <c r="AQ229" s="2">
        <v>55.8</v>
      </c>
      <c r="AR229" s="2" t="str">
        <f t="shared" si="52"/>
        <v>+</v>
      </c>
      <c r="AS229" s="2">
        <v>58.5</v>
      </c>
      <c r="AT229" s="8" t="str">
        <f t="shared" si="53"/>
        <v>+</v>
      </c>
      <c r="AU229" s="2">
        <v>61.1</v>
      </c>
      <c r="AV229" s="8" t="str">
        <f t="shared" si="54"/>
        <v>+</v>
      </c>
      <c r="AW229" s="2">
        <v>52.6</v>
      </c>
      <c r="AX229" s="8" t="str">
        <f t="shared" si="55"/>
        <v>+</v>
      </c>
      <c r="AY229" s="2">
        <v>53.3</v>
      </c>
      <c r="AZ229" s="8" t="str">
        <f t="shared" si="56"/>
        <v>+</v>
      </c>
      <c r="BA229" s="2">
        <v>44.3</v>
      </c>
      <c r="BB229" s="8" t="str">
        <f t="shared" si="57"/>
        <v>+</v>
      </c>
      <c r="BC229" s="2"/>
      <c r="BD229" s="8" t="str">
        <f t="shared" si="58"/>
        <v>+</v>
      </c>
      <c r="BE229" s="2">
        <v>70.8</v>
      </c>
      <c r="BF229" s="8" t="str">
        <f t="shared" si="63"/>
        <v>-</v>
      </c>
      <c r="BG229" s="2"/>
      <c r="BH229" s="8" t="str">
        <f t="shared" si="59"/>
        <v>+</v>
      </c>
      <c r="BI229" s="2"/>
      <c r="BJ229" s="8" t="str">
        <f t="shared" si="60"/>
        <v>+</v>
      </c>
      <c r="BK229" s="2"/>
      <c r="BL229" s="8" t="str">
        <f t="shared" si="61"/>
        <v>+</v>
      </c>
    </row>
    <row r="230" spans="1:64">
      <c r="A230" s="1">
        <v>25204</v>
      </c>
      <c r="B230">
        <v>56.1</v>
      </c>
      <c r="C230">
        <v>56.7</v>
      </c>
      <c r="D230">
        <v>52.8</v>
      </c>
      <c r="E230">
        <v>60.6</v>
      </c>
      <c r="F230">
        <v>58.3</v>
      </c>
      <c r="G230">
        <v>46.3</v>
      </c>
      <c r="I230">
        <v>76.8</v>
      </c>
      <c r="W230" s="1">
        <v>25204</v>
      </c>
      <c r="X230">
        <v>103.010002</v>
      </c>
      <c r="Y230" s="4">
        <f t="shared" si="62"/>
        <v>-8.1840842655104239E-3</v>
      </c>
      <c r="Z230" s="4">
        <f t="shared" si="64"/>
        <v>0.11676067035474133</v>
      </c>
      <c r="AA230">
        <v>56.1</v>
      </c>
      <c r="AB230">
        <f t="shared" si="65"/>
        <v>55.6</v>
      </c>
      <c r="AP230" s="3">
        <v>25173</v>
      </c>
      <c r="AQ230" s="2">
        <v>58.1</v>
      </c>
      <c r="AR230" s="2" t="str">
        <f t="shared" ref="AR230:AR293" si="66">IF(OR(AQ230&gt;AQ229,AQ230=AQ229),"+","-")</f>
        <v>+</v>
      </c>
      <c r="AS230" s="2">
        <v>61.3</v>
      </c>
      <c r="AT230" s="8" t="str">
        <f t="shared" si="53"/>
        <v>+</v>
      </c>
      <c r="AU230" s="2">
        <v>59.8</v>
      </c>
      <c r="AV230" s="8" t="str">
        <f t="shared" si="54"/>
        <v>-</v>
      </c>
      <c r="AW230" s="2">
        <v>56.4</v>
      </c>
      <c r="AX230" s="8" t="str">
        <f t="shared" si="55"/>
        <v>+</v>
      </c>
      <c r="AY230" s="2">
        <v>61</v>
      </c>
      <c r="AZ230" s="8" t="str">
        <f t="shared" si="56"/>
        <v>+</v>
      </c>
      <c r="BA230" s="2">
        <v>43.5</v>
      </c>
      <c r="BB230" s="8" t="str">
        <f t="shared" si="57"/>
        <v>-</v>
      </c>
      <c r="BC230" s="2"/>
      <c r="BD230" s="8" t="str">
        <f t="shared" si="58"/>
        <v>+</v>
      </c>
      <c r="BE230" s="2">
        <v>69.5</v>
      </c>
      <c r="BF230" s="8" t="str">
        <f t="shared" si="63"/>
        <v>-</v>
      </c>
      <c r="BG230" s="2"/>
      <c r="BH230" s="8" t="str">
        <f t="shared" si="59"/>
        <v>+</v>
      </c>
      <c r="BI230" s="2"/>
      <c r="BJ230" s="8" t="str">
        <f t="shared" si="60"/>
        <v>+</v>
      </c>
      <c r="BK230" s="2"/>
      <c r="BL230" s="8" t="str">
        <f t="shared" si="61"/>
        <v>+</v>
      </c>
    </row>
    <row r="231" spans="1:64">
      <c r="A231" s="1">
        <v>25235</v>
      </c>
      <c r="B231">
        <v>54.9</v>
      </c>
      <c r="C231">
        <v>54.4</v>
      </c>
      <c r="D231">
        <v>51.9</v>
      </c>
      <c r="E231">
        <v>57.1</v>
      </c>
      <c r="F231">
        <v>63.6</v>
      </c>
      <c r="G231">
        <v>44.2</v>
      </c>
      <c r="I231">
        <v>77.099999999999994</v>
      </c>
      <c r="W231" s="1">
        <v>25235</v>
      </c>
      <c r="X231">
        <v>98.129997000000003</v>
      </c>
      <c r="Y231" s="4">
        <f t="shared" si="62"/>
        <v>-4.7374088974389078E-2</v>
      </c>
      <c r="Z231" s="4">
        <f t="shared" si="64"/>
        <v>9.8142299707449712E-2</v>
      </c>
      <c r="AA231">
        <v>54.9</v>
      </c>
      <c r="AB231">
        <f t="shared" si="65"/>
        <v>56.6</v>
      </c>
      <c r="AP231" s="3">
        <v>25204</v>
      </c>
      <c r="AQ231" s="2">
        <v>56.1</v>
      </c>
      <c r="AR231" s="2" t="str">
        <f t="shared" si="66"/>
        <v>-</v>
      </c>
      <c r="AS231" s="2">
        <v>56.7</v>
      </c>
      <c r="AT231" s="8" t="str">
        <f t="shared" ref="AT231:AT294" si="67">IF(OR(AS231&gt;AS230,AS231=AS230),"+","-")</f>
        <v>-</v>
      </c>
      <c r="AU231" s="2">
        <v>60.6</v>
      </c>
      <c r="AV231" s="8" t="str">
        <f t="shared" ref="AV231:AV294" si="68">IF(OR(AU231&gt;AU230,AU231=AU230),"+","-")</f>
        <v>+</v>
      </c>
      <c r="AW231" s="2">
        <v>52.8</v>
      </c>
      <c r="AX231" s="8" t="str">
        <f t="shared" ref="AX231:AX294" si="69">IF(OR(AW231&gt;AW230,AW231=AW230),"+","-")</f>
        <v>-</v>
      </c>
      <c r="AY231" s="2">
        <v>58.3</v>
      </c>
      <c r="AZ231" s="8" t="str">
        <f t="shared" ref="AZ231:AZ294" si="70">IF(OR(AY231&gt;AY230,AY231=AY230),"+","-")</f>
        <v>-</v>
      </c>
      <c r="BA231" s="2">
        <v>46.3</v>
      </c>
      <c r="BB231" s="8" t="str">
        <f t="shared" ref="BB231:BB294" si="71">IF(OR(BA231&gt;BA230,BA231=BA230),"+","-")</f>
        <v>+</v>
      </c>
      <c r="BC231" s="2"/>
      <c r="BD231" s="8" t="str">
        <f t="shared" ref="BD231:BD294" si="72">IF(OR(BC231&gt;BC230,BC231=BC230),"+","-")</f>
        <v>+</v>
      </c>
      <c r="BE231" s="2">
        <v>76.8</v>
      </c>
      <c r="BF231" s="8" t="str">
        <f t="shared" si="63"/>
        <v>+</v>
      </c>
      <c r="BG231" s="2"/>
      <c r="BH231" s="8" t="str">
        <f t="shared" ref="BH231:BH294" si="73">IF(OR(BG231&gt;BG230,BG231=BG230),"+","-")</f>
        <v>+</v>
      </c>
      <c r="BI231" s="2"/>
      <c r="BJ231" s="8" t="str">
        <f t="shared" ref="BJ231:BJ294" si="74">IF(OR(BI231&gt;BI230,BI231=BI230),"+","-")</f>
        <v>+</v>
      </c>
      <c r="BK231" s="2"/>
      <c r="BL231" s="8" t="str">
        <f t="shared" ref="BL231:BL294" si="75">IF(OR(BK231&gt;BK230,BK231=BK230),"+","-")</f>
        <v>+</v>
      </c>
    </row>
    <row r="232" spans="1:64">
      <c r="A232" s="1">
        <v>25263</v>
      </c>
      <c r="B232">
        <v>57</v>
      </c>
      <c r="C232">
        <v>57.9</v>
      </c>
      <c r="D232">
        <v>56.1</v>
      </c>
      <c r="E232">
        <v>59.1</v>
      </c>
      <c r="F232">
        <v>60.1</v>
      </c>
      <c r="G232">
        <v>46.3</v>
      </c>
      <c r="I232">
        <v>79.599999999999994</v>
      </c>
      <c r="W232" s="1">
        <v>25263</v>
      </c>
      <c r="X232">
        <v>101.510002</v>
      </c>
      <c r="Y232" s="4">
        <f t="shared" si="62"/>
        <v>3.4444156764826935E-2</v>
      </c>
      <c r="Z232" s="4">
        <f t="shared" si="64"/>
        <v>0.12538808621024683</v>
      </c>
      <c r="AA232">
        <v>57</v>
      </c>
      <c r="AB232">
        <f t="shared" si="65"/>
        <v>55</v>
      </c>
      <c r="AP232" s="3">
        <v>25235</v>
      </c>
      <c r="AQ232" s="2">
        <v>54.9</v>
      </c>
      <c r="AR232" s="2" t="str">
        <f t="shared" si="66"/>
        <v>-</v>
      </c>
      <c r="AS232" s="2">
        <v>54.4</v>
      </c>
      <c r="AT232" s="8" t="str">
        <f t="shared" si="67"/>
        <v>-</v>
      </c>
      <c r="AU232" s="2">
        <v>57.1</v>
      </c>
      <c r="AV232" s="8" t="str">
        <f t="shared" si="68"/>
        <v>-</v>
      </c>
      <c r="AW232" s="2">
        <v>51.9</v>
      </c>
      <c r="AX232" s="8" t="str">
        <f t="shared" si="69"/>
        <v>-</v>
      </c>
      <c r="AY232" s="2">
        <v>63.6</v>
      </c>
      <c r="AZ232" s="8" t="str">
        <f t="shared" si="70"/>
        <v>+</v>
      </c>
      <c r="BA232" s="2">
        <v>44.2</v>
      </c>
      <c r="BB232" s="8" t="str">
        <f t="shared" si="71"/>
        <v>-</v>
      </c>
      <c r="BC232" s="2"/>
      <c r="BD232" s="8" t="str">
        <f t="shared" si="72"/>
        <v>+</v>
      </c>
      <c r="BE232" s="2">
        <v>77.099999999999994</v>
      </c>
      <c r="BF232" s="8" t="str">
        <f t="shared" si="63"/>
        <v>+</v>
      </c>
      <c r="BG232" s="2"/>
      <c r="BH232" s="8" t="str">
        <f t="shared" si="73"/>
        <v>+</v>
      </c>
      <c r="BI232" s="2"/>
      <c r="BJ232" s="8" t="str">
        <f t="shared" si="74"/>
        <v>+</v>
      </c>
      <c r="BK232" s="2"/>
      <c r="BL232" s="8" t="str">
        <f t="shared" si="75"/>
        <v>+</v>
      </c>
    </row>
    <row r="233" spans="1:64">
      <c r="A233" s="1">
        <v>25294</v>
      </c>
      <c r="B233">
        <v>57.1</v>
      </c>
      <c r="C233">
        <v>59.3</v>
      </c>
      <c r="D233">
        <v>53.8</v>
      </c>
      <c r="E233">
        <v>58.8</v>
      </c>
      <c r="F233">
        <v>60.5</v>
      </c>
      <c r="G233">
        <v>47.6</v>
      </c>
      <c r="I233">
        <v>79.400000000000006</v>
      </c>
      <c r="W233" s="1">
        <v>25294</v>
      </c>
      <c r="X233">
        <v>103.69000200000001</v>
      </c>
      <c r="Y233" s="4">
        <f t="shared" si="62"/>
        <v>2.1475716255034718E-2</v>
      </c>
      <c r="Z233" s="4">
        <f t="shared" si="64"/>
        <v>6.3923692426879786E-2</v>
      </c>
      <c r="AA233">
        <v>57.1</v>
      </c>
      <c r="AB233">
        <f t="shared" si="65"/>
        <v>53.8</v>
      </c>
      <c r="AP233" s="3">
        <v>25263</v>
      </c>
      <c r="AQ233" s="2">
        <v>57</v>
      </c>
      <c r="AR233" s="2" t="str">
        <f t="shared" si="66"/>
        <v>+</v>
      </c>
      <c r="AS233" s="2">
        <v>57.9</v>
      </c>
      <c r="AT233" s="8" t="str">
        <f t="shared" si="67"/>
        <v>+</v>
      </c>
      <c r="AU233" s="2">
        <v>59.1</v>
      </c>
      <c r="AV233" s="8" t="str">
        <f t="shared" si="68"/>
        <v>+</v>
      </c>
      <c r="AW233" s="2">
        <v>56.1</v>
      </c>
      <c r="AX233" s="8" t="str">
        <f t="shared" si="69"/>
        <v>+</v>
      </c>
      <c r="AY233" s="2">
        <v>60.1</v>
      </c>
      <c r="AZ233" s="8" t="str">
        <f t="shared" si="70"/>
        <v>-</v>
      </c>
      <c r="BA233" s="2">
        <v>46.3</v>
      </c>
      <c r="BB233" s="8" t="str">
        <f t="shared" si="71"/>
        <v>+</v>
      </c>
      <c r="BC233" s="2"/>
      <c r="BD233" s="8" t="str">
        <f t="shared" si="72"/>
        <v>+</v>
      </c>
      <c r="BE233" s="2">
        <v>79.599999999999994</v>
      </c>
      <c r="BF233" s="8" t="str">
        <f t="shared" si="63"/>
        <v>+</v>
      </c>
      <c r="BG233" s="2"/>
      <c r="BH233" s="8" t="str">
        <f t="shared" si="73"/>
        <v>+</v>
      </c>
      <c r="BI233" s="2"/>
      <c r="BJ233" s="8" t="str">
        <f t="shared" si="74"/>
        <v>+</v>
      </c>
      <c r="BK233" s="2"/>
      <c r="BL233" s="8" t="str">
        <f t="shared" si="75"/>
        <v>+</v>
      </c>
    </row>
    <row r="234" spans="1:64">
      <c r="A234" s="1">
        <v>25324</v>
      </c>
      <c r="B234">
        <v>55.2</v>
      </c>
      <c r="C234">
        <v>54.4</v>
      </c>
      <c r="D234">
        <v>52.7</v>
      </c>
      <c r="E234">
        <v>55.1</v>
      </c>
      <c r="F234">
        <v>63.9</v>
      </c>
      <c r="G234">
        <v>49.2</v>
      </c>
      <c r="I234">
        <v>78.8</v>
      </c>
      <c r="W234" s="1">
        <v>25324</v>
      </c>
      <c r="X234">
        <v>103.459999</v>
      </c>
      <c r="Y234" s="4">
        <f t="shared" si="62"/>
        <v>-2.218179145179403E-3</v>
      </c>
      <c r="Z234" s="4">
        <f t="shared" si="64"/>
        <v>4.8439389947304311E-2</v>
      </c>
      <c r="AA234">
        <v>55.2</v>
      </c>
      <c r="AB234">
        <f t="shared" si="65"/>
        <v>58</v>
      </c>
      <c r="AP234" s="3">
        <v>25294</v>
      </c>
      <c r="AQ234" s="2">
        <v>57.1</v>
      </c>
      <c r="AR234" s="2" t="str">
        <f t="shared" si="66"/>
        <v>+</v>
      </c>
      <c r="AS234" s="2">
        <v>59.3</v>
      </c>
      <c r="AT234" s="8" t="str">
        <f t="shared" si="67"/>
        <v>+</v>
      </c>
      <c r="AU234" s="2">
        <v>58.8</v>
      </c>
      <c r="AV234" s="8" t="str">
        <f t="shared" si="68"/>
        <v>-</v>
      </c>
      <c r="AW234" s="2">
        <v>53.8</v>
      </c>
      <c r="AX234" s="8" t="str">
        <f t="shared" si="69"/>
        <v>-</v>
      </c>
      <c r="AY234" s="2">
        <v>60.5</v>
      </c>
      <c r="AZ234" s="8" t="str">
        <f t="shared" si="70"/>
        <v>+</v>
      </c>
      <c r="BA234" s="2">
        <v>47.6</v>
      </c>
      <c r="BB234" s="8" t="str">
        <f t="shared" si="71"/>
        <v>+</v>
      </c>
      <c r="BC234" s="2"/>
      <c r="BD234" s="8" t="str">
        <f t="shared" si="72"/>
        <v>+</v>
      </c>
      <c r="BE234" s="2">
        <v>79.400000000000006</v>
      </c>
      <c r="BF234" s="8" t="str">
        <f t="shared" si="63"/>
        <v>-</v>
      </c>
      <c r="BG234" s="2"/>
      <c r="BH234" s="8" t="str">
        <f t="shared" si="73"/>
        <v>+</v>
      </c>
      <c r="BI234" s="2"/>
      <c r="BJ234" s="8" t="str">
        <f t="shared" si="74"/>
        <v>+</v>
      </c>
      <c r="BK234" s="2"/>
      <c r="BL234" s="8" t="str">
        <f t="shared" si="75"/>
        <v>+</v>
      </c>
    </row>
    <row r="235" spans="1:64">
      <c r="A235" s="1">
        <v>25355</v>
      </c>
      <c r="B235">
        <v>56.7</v>
      </c>
      <c r="C235">
        <v>57.6</v>
      </c>
      <c r="D235">
        <v>52.8</v>
      </c>
      <c r="E235">
        <v>56.3</v>
      </c>
      <c r="F235">
        <v>64.900000000000006</v>
      </c>
      <c r="G235">
        <v>50.7</v>
      </c>
      <c r="I235">
        <v>79.3</v>
      </c>
      <c r="W235" s="1">
        <v>25355</v>
      </c>
      <c r="X235">
        <v>97.709998999999996</v>
      </c>
      <c r="Y235" s="4">
        <f t="shared" si="62"/>
        <v>-5.5577035139928815E-2</v>
      </c>
      <c r="Z235" s="4">
        <f t="shared" si="64"/>
        <v>-1.8778901008658314E-2</v>
      </c>
      <c r="AA235">
        <v>56.7</v>
      </c>
      <c r="AB235">
        <f t="shared" si="65"/>
        <v>55.3</v>
      </c>
      <c r="AP235" s="3">
        <v>25324</v>
      </c>
      <c r="AQ235" s="2">
        <v>55.2</v>
      </c>
      <c r="AR235" s="2" t="str">
        <f t="shared" si="66"/>
        <v>-</v>
      </c>
      <c r="AS235" s="2">
        <v>54.4</v>
      </c>
      <c r="AT235" s="8" t="str">
        <f t="shared" si="67"/>
        <v>-</v>
      </c>
      <c r="AU235" s="2">
        <v>55.1</v>
      </c>
      <c r="AV235" s="8" t="str">
        <f t="shared" si="68"/>
        <v>-</v>
      </c>
      <c r="AW235" s="2">
        <v>52.7</v>
      </c>
      <c r="AX235" s="8" t="str">
        <f t="shared" si="69"/>
        <v>-</v>
      </c>
      <c r="AY235" s="2">
        <v>63.9</v>
      </c>
      <c r="AZ235" s="8" t="str">
        <f t="shared" si="70"/>
        <v>+</v>
      </c>
      <c r="BA235" s="2">
        <v>49.2</v>
      </c>
      <c r="BB235" s="8" t="str">
        <f t="shared" si="71"/>
        <v>+</v>
      </c>
      <c r="BC235" s="2"/>
      <c r="BD235" s="8" t="str">
        <f t="shared" si="72"/>
        <v>+</v>
      </c>
      <c r="BE235" s="2">
        <v>78.8</v>
      </c>
      <c r="BF235" s="8" t="str">
        <f t="shared" si="63"/>
        <v>-</v>
      </c>
      <c r="BG235" s="2"/>
      <c r="BH235" s="8" t="str">
        <f t="shared" si="73"/>
        <v>+</v>
      </c>
      <c r="BI235" s="2"/>
      <c r="BJ235" s="8" t="str">
        <f t="shared" si="74"/>
        <v>+</v>
      </c>
      <c r="BK235" s="2"/>
      <c r="BL235" s="8" t="str">
        <f t="shared" si="75"/>
        <v>+</v>
      </c>
    </row>
    <row r="236" spans="1:64">
      <c r="A236" s="1">
        <v>25385</v>
      </c>
      <c r="B236">
        <v>55.5</v>
      </c>
      <c r="C236">
        <v>52.7</v>
      </c>
      <c r="D236">
        <v>53.1</v>
      </c>
      <c r="E236">
        <v>56.9</v>
      </c>
      <c r="F236">
        <v>67</v>
      </c>
      <c r="G236">
        <v>47.8</v>
      </c>
      <c r="I236">
        <v>80.900000000000006</v>
      </c>
      <c r="W236" s="1">
        <v>25385</v>
      </c>
      <c r="X236">
        <v>91.830001999999993</v>
      </c>
      <c r="Y236" s="4">
        <f t="shared" si="62"/>
        <v>-6.0178047898659819E-2</v>
      </c>
      <c r="Z236" s="4">
        <f t="shared" si="64"/>
        <v>-6.0466504204348424E-2</v>
      </c>
      <c r="AA236">
        <v>55.5</v>
      </c>
      <c r="AB236">
        <f t="shared" si="65"/>
        <v>53.5</v>
      </c>
      <c r="AP236" s="3">
        <v>25355</v>
      </c>
      <c r="AQ236" s="2">
        <v>56.7</v>
      </c>
      <c r="AR236" s="2" t="str">
        <f t="shared" si="66"/>
        <v>+</v>
      </c>
      <c r="AS236" s="2">
        <v>57.6</v>
      </c>
      <c r="AT236" s="8" t="str">
        <f t="shared" si="67"/>
        <v>+</v>
      </c>
      <c r="AU236" s="2">
        <v>56.3</v>
      </c>
      <c r="AV236" s="8" t="str">
        <f t="shared" si="68"/>
        <v>+</v>
      </c>
      <c r="AW236" s="2">
        <v>52.8</v>
      </c>
      <c r="AX236" s="8" t="str">
        <f t="shared" si="69"/>
        <v>+</v>
      </c>
      <c r="AY236" s="2">
        <v>64.900000000000006</v>
      </c>
      <c r="AZ236" s="8" t="str">
        <f t="shared" si="70"/>
        <v>+</v>
      </c>
      <c r="BA236" s="2">
        <v>50.7</v>
      </c>
      <c r="BB236" s="8" t="str">
        <f t="shared" si="71"/>
        <v>+</v>
      </c>
      <c r="BC236" s="2"/>
      <c r="BD236" s="8" t="str">
        <f t="shared" si="72"/>
        <v>+</v>
      </c>
      <c r="BE236" s="2">
        <v>79.3</v>
      </c>
      <c r="BF236" s="8" t="str">
        <f t="shared" si="63"/>
        <v>+</v>
      </c>
      <c r="BG236" s="2"/>
      <c r="BH236" s="8" t="str">
        <f t="shared" si="73"/>
        <v>+</v>
      </c>
      <c r="BI236" s="2"/>
      <c r="BJ236" s="8" t="str">
        <f t="shared" si="74"/>
        <v>+</v>
      </c>
      <c r="BK236" s="2"/>
      <c r="BL236" s="8" t="str">
        <f t="shared" si="75"/>
        <v>+</v>
      </c>
    </row>
    <row r="237" spans="1:64">
      <c r="A237" s="1">
        <v>25416</v>
      </c>
      <c r="B237">
        <v>53.1</v>
      </c>
      <c r="C237">
        <v>49.8</v>
      </c>
      <c r="D237">
        <v>53</v>
      </c>
      <c r="E237">
        <v>51.2</v>
      </c>
      <c r="F237">
        <v>65.7</v>
      </c>
      <c r="G237">
        <v>49.3</v>
      </c>
      <c r="I237">
        <v>80.900000000000006</v>
      </c>
      <c r="W237" s="1">
        <v>25416</v>
      </c>
      <c r="X237">
        <v>95.510002</v>
      </c>
      <c r="Y237" s="4">
        <f t="shared" si="62"/>
        <v>4.007404900198093E-2</v>
      </c>
      <c r="Z237" s="4">
        <f t="shared" si="64"/>
        <v>-3.3886293405965037E-2</v>
      </c>
      <c r="AA237">
        <v>53.1</v>
      </c>
      <c r="AB237">
        <f t="shared" si="65"/>
        <v>54.1</v>
      </c>
      <c r="AP237" s="3">
        <v>25385</v>
      </c>
      <c r="AQ237" s="2">
        <v>55.5</v>
      </c>
      <c r="AR237" s="2" t="str">
        <f t="shared" si="66"/>
        <v>-</v>
      </c>
      <c r="AS237" s="2">
        <v>52.7</v>
      </c>
      <c r="AT237" s="8" t="str">
        <f t="shared" si="67"/>
        <v>-</v>
      </c>
      <c r="AU237" s="2">
        <v>56.9</v>
      </c>
      <c r="AV237" s="8" t="str">
        <f t="shared" si="68"/>
        <v>+</v>
      </c>
      <c r="AW237" s="2">
        <v>53.1</v>
      </c>
      <c r="AX237" s="8" t="str">
        <f t="shared" si="69"/>
        <v>+</v>
      </c>
      <c r="AY237" s="2">
        <v>67</v>
      </c>
      <c r="AZ237" s="8" t="str">
        <f t="shared" si="70"/>
        <v>+</v>
      </c>
      <c r="BA237" s="2">
        <v>47.8</v>
      </c>
      <c r="BB237" s="8" t="str">
        <f t="shared" si="71"/>
        <v>-</v>
      </c>
      <c r="BC237" s="2"/>
      <c r="BD237" s="8" t="str">
        <f t="shared" si="72"/>
        <v>+</v>
      </c>
      <c r="BE237" s="2">
        <v>80.900000000000006</v>
      </c>
      <c r="BF237" s="8" t="str">
        <f t="shared" si="63"/>
        <v>+</v>
      </c>
      <c r="BG237" s="2"/>
      <c r="BH237" s="8" t="str">
        <f t="shared" si="73"/>
        <v>+</v>
      </c>
      <c r="BI237" s="2"/>
      <c r="BJ237" s="8" t="str">
        <f t="shared" si="74"/>
        <v>+</v>
      </c>
      <c r="BK237" s="2"/>
      <c r="BL237" s="8" t="str">
        <f t="shared" si="75"/>
        <v>+</v>
      </c>
    </row>
    <row r="238" spans="1:64">
      <c r="A238" s="1">
        <v>25447</v>
      </c>
      <c r="B238">
        <v>54.8</v>
      </c>
      <c r="C238">
        <v>51.5</v>
      </c>
      <c r="D238">
        <v>51.2</v>
      </c>
      <c r="E238">
        <v>54.1</v>
      </c>
      <c r="F238">
        <v>70.3</v>
      </c>
      <c r="G238">
        <v>50.9</v>
      </c>
      <c r="I238">
        <v>84.4</v>
      </c>
      <c r="W238" s="1">
        <v>25447</v>
      </c>
      <c r="X238">
        <v>93.120002999999997</v>
      </c>
      <c r="Y238" s="4">
        <f t="shared" si="62"/>
        <v>-2.5023546748538475E-2</v>
      </c>
      <c r="Z238" s="4">
        <f t="shared" si="64"/>
        <v>-9.3016413616760843E-2</v>
      </c>
      <c r="AA238">
        <v>54.8</v>
      </c>
      <c r="AB238">
        <f t="shared" si="65"/>
        <v>52.7</v>
      </c>
      <c r="AP238" s="3">
        <v>25416</v>
      </c>
      <c r="AQ238" s="2">
        <v>53.1</v>
      </c>
      <c r="AR238" s="2" t="str">
        <f t="shared" si="66"/>
        <v>-</v>
      </c>
      <c r="AS238" s="2">
        <v>49.8</v>
      </c>
      <c r="AT238" s="8" t="str">
        <f t="shared" si="67"/>
        <v>-</v>
      </c>
      <c r="AU238" s="2">
        <v>51.2</v>
      </c>
      <c r="AV238" s="8" t="str">
        <f t="shared" si="68"/>
        <v>-</v>
      </c>
      <c r="AW238" s="2">
        <v>53</v>
      </c>
      <c r="AX238" s="8" t="str">
        <f t="shared" si="69"/>
        <v>-</v>
      </c>
      <c r="AY238" s="2">
        <v>65.7</v>
      </c>
      <c r="AZ238" s="8" t="str">
        <f t="shared" si="70"/>
        <v>-</v>
      </c>
      <c r="BA238" s="2">
        <v>49.3</v>
      </c>
      <c r="BB238" s="8" t="str">
        <f t="shared" si="71"/>
        <v>+</v>
      </c>
      <c r="BC238" s="2"/>
      <c r="BD238" s="8" t="str">
        <f t="shared" si="72"/>
        <v>+</v>
      </c>
      <c r="BE238" s="2">
        <v>80.900000000000006</v>
      </c>
      <c r="BF238" s="8" t="str">
        <f t="shared" si="63"/>
        <v>+</v>
      </c>
      <c r="BG238" s="2"/>
      <c r="BH238" s="8" t="str">
        <f t="shared" si="73"/>
        <v>+</v>
      </c>
      <c r="BI238" s="2"/>
      <c r="BJ238" s="8" t="str">
        <f t="shared" si="74"/>
        <v>+</v>
      </c>
      <c r="BK238" s="2"/>
      <c r="BL238" s="8" t="str">
        <f t="shared" si="75"/>
        <v>+</v>
      </c>
    </row>
    <row r="239" spans="1:64">
      <c r="A239" s="1">
        <v>25477</v>
      </c>
      <c r="B239">
        <v>54.1</v>
      </c>
      <c r="C239">
        <v>50.4</v>
      </c>
      <c r="D239">
        <v>50.3</v>
      </c>
      <c r="E239">
        <v>54.8</v>
      </c>
      <c r="F239">
        <v>68.900000000000006</v>
      </c>
      <c r="G239">
        <v>49.4</v>
      </c>
      <c r="I239">
        <v>83.2</v>
      </c>
      <c r="W239" s="1">
        <v>25477</v>
      </c>
      <c r="X239">
        <v>97.120002999999997</v>
      </c>
      <c r="Y239" s="4">
        <f t="shared" si="62"/>
        <v>4.2955325076611095E-2</v>
      </c>
      <c r="Z239" s="4">
        <f t="shared" si="64"/>
        <v>-6.0825846211165449E-2</v>
      </c>
      <c r="AA239">
        <v>54.1</v>
      </c>
      <c r="AB239">
        <f t="shared" si="65"/>
        <v>51.8</v>
      </c>
      <c r="AP239" s="3">
        <v>25447</v>
      </c>
      <c r="AQ239" s="2">
        <v>54.8</v>
      </c>
      <c r="AR239" s="2" t="str">
        <f t="shared" si="66"/>
        <v>+</v>
      </c>
      <c r="AS239" s="2">
        <v>51.5</v>
      </c>
      <c r="AT239" s="8" t="str">
        <f t="shared" si="67"/>
        <v>+</v>
      </c>
      <c r="AU239" s="2">
        <v>54.1</v>
      </c>
      <c r="AV239" s="8" t="str">
        <f t="shared" si="68"/>
        <v>+</v>
      </c>
      <c r="AW239" s="2">
        <v>51.2</v>
      </c>
      <c r="AX239" s="8" t="str">
        <f t="shared" si="69"/>
        <v>-</v>
      </c>
      <c r="AY239" s="2">
        <v>70.3</v>
      </c>
      <c r="AZ239" s="8" t="str">
        <f t="shared" si="70"/>
        <v>+</v>
      </c>
      <c r="BA239" s="2">
        <v>50.9</v>
      </c>
      <c r="BB239" s="8" t="str">
        <f t="shared" si="71"/>
        <v>+</v>
      </c>
      <c r="BC239" s="2"/>
      <c r="BD239" s="8" t="str">
        <f t="shared" si="72"/>
        <v>+</v>
      </c>
      <c r="BE239" s="2">
        <v>84.4</v>
      </c>
      <c r="BF239" s="8" t="str">
        <f t="shared" si="63"/>
        <v>+</v>
      </c>
      <c r="BG239" s="2"/>
      <c r="BH239" s="8" t="str">
        <f t="shared" si="73"/>
        <v>+</v>
      </c>
      <c r="BI239" s="2"/>
      <c r="BJ239" s="8" t="str">
        <f t="shared" si="74"/>
        <v>+</v>
      </c>
      <c r="BK239" s="2"/>
      <c r="BL239" s="8" t="str">
        <f t="shared" si="75"/>
        <v>+</v>
      </c>
    </row>
    <row r="240" spans="1:64">
      <c r="A240" s="1">
        <v>25508</v>
      </c>
      <c r="B240">
        <v>54.6</v>
      </c>
      <c r="C240">
        <v>51.9</v>
      </c>
      <c r="D240">
        <v>51.3</v>
      </c>
      <c r="E240">
        <v>53.2</v>
      </c>
      <c r="F240">
        <v>66.8</v>
      </c>
      <c r="G240">
        <v>54.2</v>
      </c>
      <c r="I240">
        <v>85.3</v>
      </c>
      <c r="W240" s="1">
        <v>25508</v>
      </c>
      <c r="X240">
        <v>93.809997999999993</v>
      </c>
      <c r="Y240" s="4">
        <f t="shared" si="62"/>
        <v>-3.4081599029604684E-2</v>
      </c>
      <c r="Z240" s="4">
        <f t="shared" si="64"/>
        <v>-0.13435456857927747</v>
      </c>
      <c r="AA240">
        <v>54.6</v>
      </c>
      <c r="AB240">
        <f t="shared" si="65"/>
        <v>55.8</v>
      </c>
      <c r="AP240" s="3">
        <v>25477</v>
      </c>
      <c r="AQ240" s="2">
        <v>54.1</v>
      </c>
      <c r="AR240" s="2" t="str">
        <f t="shared" si="66"/>
        <v>-</v>
      </c>
      <c r="AS240" s="2">
        <v>50.4</v>
      </c>
      <c r="AT240" s="8" t="str">
        <f t="shared" si="67"/>
        <v>-</v>
      </c>
      <c r="AU240" s="2">
        <v>54.8</v>
      </c>
      <c r="AV240" s="8" t="str">
        <f t="shared" si="68"/>
        <v>+</v>
      </c>
      <c r="AW240" s="2">
        <v>50.3</v>
      </c>
      <c r="AX240" s="8" t="str">
        <f t="shared" si="69"/>
        <v>-</v>
      </c>
      <c r="AY240" s="2">
        <v>68.900000000000006</v>
      </c>
      <c r="AZ240" s="8" t="str">
        <f t="shared" si="70"/>
        <v>-</v>
      </c>
      <c r="BA240" s="2">
        <v>49.4</v>
      </c>
      <c r="BB240" s="8" t="str">
        <f t="shared" si="71"/>
        <v>-</v>
      </c>
      <c r="BC240" s="2"/>
      <c r="BD240" s="8" t="str">
        <f t="shared" si="72"/>
        <v>+</v>
      </c>
      <c r="BE240" s="2">
        <v>83.2</v>
      </c>
      <c r="BF240" s="8" t="str">
        <f t="shared" si="63"/>
        <v>-</v>
      </c>
      <c r="BG240" s="2"/>
      <c r="BH240" s="8" t="str">
        <f t="shared" si="73"/>
        <v>+</v>
      </c>
      <c r="BI240" s="2"/>
      <c r="BJ240" s="8" t="str">
        <f t="shared" si="74"/>
        <v>+</v>
      </c>
      <c r="BK240" s="2"/>
      <c r="BL240" s="8" t="str">
        <f t="shared" si="75"/>
        <v>+</v>
      </c>
    </row>
    <row r="241" spans="1:64">
      <c r="A241" s="1">
        <v>25538</v>
      </c>
      <c r="B241">
        <v>53.2</v>
      </c>
      <c r="C241">
        <v>50.6</v>
      </c>
      <c r="D241">
        <v>50.4</v>
      </c>
      <c r="E241">
        <v>51.2</v>
      </c>
      <c r="F241">
        <v>64.099999999999994</v>
      </c>
      <c r="G241">
        <v>55.6</v>
      </c>
      <c r="I241">
        <v>81.8</v>
      </c>
      <c r="W241" s="1">
        <v>25538</v>
      </c>
      <c r="X241">
        <v>92.059997999999993</v>
      </c>
      <c r="Y241" s="4">
        <f t="shared" si="62"/>
        <v>-1.8654728038689439E-2</v>
      </c>
      <c r="Z241" s="4">
        <f t="shared" si="64"/>
        <v>-0.11361450882327648</v>
      </c>
      <c r="AA241">
        <v>53.2</v>
      </c>
      <c r="AB241">
        <f t="shared" si="65"/>
        <v>58.1</v>
      </c>
      <c r="AP241" s="3">
        <v>25508</v>
      </c>
      <c r="AQ241" s="2">
        <v>54.6</v>
      </c>
      <c r="AR241" s="2" t="str">
        <f t="shared" si="66"/>
        <v>+</v>
      </c>
      <c r="AS241" s="2">
        <v>51.9</v>
      </c>
      <c r="AT241" s="8" t="str">
        <f t="shared" si="67"/>
        <v>+</v>
      </c>
      <c r="AU241" s="2">
        <v>53.2</v>
      </c>
      <c r="AV241" s="8" t="str">
        <f t="shared" si="68"/>
        <v>-</v>
      </c>
      <c r="AW241" s="2">
        <v>51.3</v>
      </c>
      <c r="AX241" s="8" t="str">
        <f t="shared" si="69"/>
        <v>+</v>
      </c>
      <c r="AY241" s="2">
        <v>66.8</v>
      </c>
      <c r="AZ241" s="8" t="str">
        <f t="shared" si="70"/>
        <v>-</v>
      </c>
      <c r="BA241" s="2">
        <v>54.2</v>
      </c>
      <c r="BB241" s="8" t="str">
        <f t="shared" si="71"/>
        <v>+</v>
      </c>
      <c r="BC241" s="2"/>
      <c r="BD241" s="8" t="str">
        <f t="shared" si="72"/>
        <v>+</v>
      </c>
      <c r="BE241" s="2">
        <v>85.3</v>
      </c>
      <c r="BF241" s="8" t="str">
        <f t="shared" si="63"/>
        <v>+</v>
      </c>
      <c r="BG241" s="2"/>
      <c r="BH241" s="8" t="str">
        <f t="shared" si="73"/>
        <v>+</v>
      </c>
      <c r="BI241" s="2"/>
      <c r="BJ241" s="8" t="str">
        <f t="shared" si="74"/>
        <v>+</v>
      </c>
      <c r="BK241" s="2"/>
      <c r="BL241" s="8" t="str">
        <f t="shared" si="75"/>
        <v>+</v>
      </c>
    </row>
    <row r="242" spans="1:64">
      <c r="A242" s="1">
        <v>25569</v>
      </c>
      <c r="B242">
        <v>52</v>
      </c>
      <c r="C242">
        <v>48</v>
      </c>
      <c r="D242">
        <v>49.6</v>
      </c>
      <c r="E242">
        <v>50.3</v>
      </c>
      <c r="F242">
        <v>66.8</v>
      </c>
      <c r="G242">
        <v>51.5</v>
      </c>
      <c r="I242">
        <v>82.2</v>
      </c>
      <c r="W242" s="1">
        <v>25569</v>
      </c>
      <c r="X242">
        <v>85.019997000000004</v>
      </c>
      <c r="Y242" s="4">
        <f t="shared" si="62"/>
        <v>-7.6471878698063739E-2</v>
      </c>
      <c r="Z242" s="4">
        <f t="shared" si="64"/>
        <v>-0.17464328366870624</v>
      </c>
      <c r="AA242">
        <v>52</v>
      </c>
      <c r="AB242">
        <f t="shared" si="65"/>
        <v>56.1</v>
      </c>
      <c r="AP242" s="3">
        <v>25538</v>
      </c>
      <c r="AQ242" s="2">
        <v>53.2</v>
      </c>
      <c r="AR242" s="2" t="str">
        <f t="shared" si="66"/>
        <v>-</v>
      </c>
      <c r="AS242" s="2">
        <v>50.6</v>
      </c>
      <c r="AT242" s="8" t="str">
        <f t="shared" si="67"/>
        <v>-</v>
      </c>
      <c r="AU242" s="2">
        <v>51.2</v>
      </c>
      <c r="AV242" s="8" t="str">
        <f t="shared" si="68"/>
        <v>-</v>
      </c>
      <c r="AW242" s="2">
        <v>50.4</v>
      </c>
      <c r="AX242" s="8" t="str">
        <f t="shared" si="69"/>
        <v>-</v>
      </c>
      <c r="AY242" s="2">
        <v>64.099999999999994</v>
      </c>
      <c r="AZ242" s="8" t="str">
        <f t="shared" si="70"/>
        <v>-</v>
      </c>
      <c r="BA242" s="2">
        <v>55.6</v>
      </c>
      <c r="BB242" s="8" t="str">
        <f t="shared" si="71"/>
        <v>+</v>
      </c>
      <c r="BC242" s="2"/>
      <c r="BD242" s="8" t="str">
        <f t="shared" si="72"/>
        <v>+</v>
      </c>
      <c r="BE242" s="2">
        <v>81.8</v>
      </c>
      <c r="BF242" s="8" t="str">
        <f t="shared" si="63"/>
        <v>-</v>
      </c>
      <c r="BG242" s="2"/>
      <c r="BH242" s="8" t="str">
        <f t="shared" si="73"/>
        <v>+</v>
      </c>
      <c r="BI242" s="2"/>
      <c r="BJ242" s="8" t="str">
        <f t="shared" si="74"/>
        <v>+</v>
      </c>
      <c r="BK242" s="2"/>
      <c r="BL242" s="8" t="str">
        <f t="shared" si="75"/>
        <v>+</v>
      </c>
    </row>
    <row r="243" spans="1:64">
      <c r="A243" s="1">
        <v>25600</v>
      </c>
      <c r="B243">
        <v>48.7</v>
      </c>
      <c r="C243">
        <v>45.8</v>
      </c>
      <c r="D243">
        <v>46.3</v>
      </c>
      <c r="E243">
        <v>48.1</v>
      </c>
      <c r="F243">
        <v>57.9</v>
      </c>
      <c r="G243">
        <v>50.2</v>
      </c>
      <c r="I243">
        <v>80.599999999999994</v>
      </c>
      <c r="W243" s="1">
        <v>25600</v>
      </c>
      <c r="X243">
        <v>89.5</v>
      </c>
      <c r="Y243" s="4">
        <f t="shared" si="62"/>
        <v>5.2693521031293336E-2</v>
      </c>
      <c r="Z243" s="4">
        <f t="shared" si="64"/>
        <v>-8.7944535451274938E-2</v>
      </c>
      <c r="AA243">
        <v>48.7</v>
      </c>
      <c r="AB243">
        <f t="shared" si="65"/>
        <v>54.9</v>
      </c>
      <c r="AP243" s="3">
        <v>25569</v>
      </c>
      <c r="AQ243" s="2">
        <v>52</v>
      </c>
      <c r="AR243" s="2" t="str">
        <f t="shared" si="66"/>
        <v>-</v>
      </c>
      <c r="AS243" s="2">
        <v>48</v>
      </c>
      <c r="AT243" s="8" t="str">
        <f t="shared" si="67"/>
        <v>-</v>
      </c>
      <c r="AU243" s="2">
        <v>50.3</v>
      </c>
      <c r="AV243" s="8" t="str">
        <f t="shared" si="68"/>
        <v>-</v>
      </c>
      <c r="AW243" s="2">
        <v>49.6</v>
      </c>
      <c r="AX243" s="8" t="str">
        <f t="shared" si="69"/>
        <v>-</v>
      </c>
      <c r="AY243" s="2">
        <v>66.8</v>
      </c>
      <c r="AZ243" s="8" t="str">
        <f t="shared" si="70"/>
        <v>+</v>
      </c>
      <c r="BA243" s="2">
        <v>51.5</v>
      </c>
      <c r="BB243" s="8" t="str">
        <f t="shared" si="71"/>
        <v>-</v>
      </c>
      <c r="BC243" s="2"/>
      <c r="BD243" s="8" t="str">
        <f t="shared" si="72"/>
        <v>+</v>
      </c>
      <c r="BE243" s="2">
        <v>82.2</v>
      </c>
      <c r="BF243" s="8" t="str">
        <f t="shared" si="63"/>
        <v>+</v>
      </c>
      <c r="BG243" s="2"/>
      <c r="BH243" s="8" t="str">
        <f t="shared" si="73"/>
        <v>+</v>
      </c>
      <c r="BI243" s="2"/>
      <c r="BJ243" s="8" t="str">
        <f t="shared" si="74"/>
        <v>+</v>
      </c>
      <c r="BK243" s="2"/>
      <c r="BL243" s="8" t="str">
        <f t="shared" si="75"/>
        <v>+</v>
      </c>
    </row>
    <row r="244" spans="1:64">
      <c r="A244" s="1">
        <v>25628</v>
      </c>
      <c r="B244">
        <v>47.4</v>
      </c>
      <c r="C244">
        <v>45.8</v>
      </c>
      <c r="D244">
        <v>43.3</v>
      </c>
      <c r="E244">
        <v>45.9</v>
      </c>
      <c r="F244">
        <v>57.7</v>
      </c>
      <c r="G244">
        <v>48.6</v>
      </c>
      <c r="I244">
        <v>74.5</v>
      </c>
      <c r="W244" s="1">
        <v>25628</v>
      </c>
      <c r="X244">
        <v>89.629997000000003</v>
      </c>
      <c r="Y244" s="4">
        <f t="shared" si="62"/>
        <v>1.4524804469274082E-3</v>
      </c>
      <c r="Z244" s="4">
        <f t="shared" si="64"/>
        <v>-0.11703285160018022</v>
      </c>
      <c r="AA244">
        <v>47.4</v>
      </c>
      <c r="AB244">
        <f t="shared" si="65"/>
        <v>57</v>
      </c>
      <c r="AP244" s="3">
        <v>25600</v>
      </c>
      <c r="AQ244" s="2">
        <v>48.7</v>
      </c>
      <c r="AR244" s="2" t="str">
        <f t="shared" si="66"/>
        <v>-</v>
      </c>
      <c r="AS244" s="2">
        <v>45.8</v>
      </c>
      <c r="AT244" s="8" t="str">
        <f t="shared" si="67"/>
        <v>-</v>
      </c>
      <c r="AU244" s="2">
        <v>48.1</v>
      </c>
      <c r="AV244" s="8" t="str">
        <f t="shared" si="68"/>
        <v>-</v>
      </c>
      <c r="AW244" s="2">
        <v>46.3</v>
      </c>
      <c r="AX244" s="8" t="str">
        <f t="shared" si="69"/>
        <v>-</v>
      </c>
      <c r="AY244" s="2">
        <v>57.9</v>
      </c>
      <c r="AZ244" s="8" t="str">
        <f t="shared" si="70"/>
        <v>-</v>
      </c>
      <c r="BA244" s="2">
        <v>50.2</v>
      </c>
      <c r="BB244" s="8" t="str">
        <f t="shared" si="71"/>
        <v>-</v>
      </c>
      <c r="BC244" s="2"/>
      <c r="BD244" s="8" t="str">
        <f t="shared" si="72"/>
        <v>+</v>
      </c>
      <c r="BE244" s="2">
        <v>80.599999999999994</v>
      </c>
      <c r="BF244" s="8" t="str">
        <f t="shared" si="63"/>
        <v>-</v>
      </c>
      <c r="BG244" s="2"/>
      <c r="BH244" s="8" t="str">
        <f t="shared" si="73"/>
        <v>+</v>
      </c>
      <c r="BI244" s="2"/>
      <c r="BJ244" s="8" t="str">
        <f t="shared" si="74"/>
        <v>+</v>
      </c>
      <c r="BK244" s="2"/>
      <c r="BL244" s="8" t="str">
        <f t="shared" si="75"/>
        <v>+</v>
      </c>
    </row>
    <row r="245" spans="1:64">
      <c r="A245" s="1">
        <v>25659</v>
      </c>
      <c r="B245">
        <v>46.9</v>
      </c>
      <c r="C245">
        <v>45.2</v>
      </c>
      <c r="D245">
        <v>44.8</v>
      </c>
      <c r="E245">
        <v>47.3</v>
      </c>
      <c r="F245">
        <v>49.3</v>
      </c>
      <c r="G245">
        <v>51.4</v>
      </c>
      <c r="I245">
        <v>67.8</v>
      </c>
      <c r="W245" s="1">
        <v>25659</v>
      </c>
      <c r="X245">
        <v>81.519997000000004</v>
      </c>
      <c r="Y245" s="4">
        <f t="shared" si="62"/>
        <v>-9.048310020583844E-2</v>
      </c>
      <c r="Z245" s="4">
        <f t="shared" si="64"/>
        <v>-0.21381044047043227</v>
      </c>
      <c r="AA245">
        <v>46.9</v>
      </c>
      <c r="AB245">
        <f t="shared" si="65"/>
        <v>57.1</v>
      </c>
      <c r="AP245" s="3">
        <v>25628</v>
      </c>
      <c r="AQ245" s="2">
        <v>47.4</v>
      </c>
      <c r="AR245" s="2" t="str">
        <f t="shared" si="66"/>
        <v>-</v>
      </c>
      <c r="AS245" s="2">
        <v>45.8</v>
      </c>
      <c r="AT245" s="8" t="str">
        <f t="shared" si="67"/>
        <v>+</v>
      </c>
      <c r="AU245" s="2">
        <v>45.9</v>
      </c>
      <c r="AV245" s="8" t="str">
        <f t="shared" si="68"/>
        <v>-</v>
      </c>
      <c r="AW245" s="2">
        <v>43.3</v>
      </c>
      <c r="AX245" s="8" t="str">
        <f t="shared" si="69"/>
        <v>-</v>
      </c>
      <c r="AY245" s="2">
        <v>57.7</v>
      </c>
      <c r="AZ245" s="8" t="str">
        <f t="shared" si="70"/>
        <v>-</v>
      </c>
      <c r="BA245" s="2">
        <v>48.6</v>
      </c>
      <c r="BB245" s="8" t="str">
        <f t="shared" si="71"/>
        <v>-</v>
      </c>
      <c r="BC245" s="2"/>
      <c r="BD245" s="8" t="str">
        <f t="shared" si="72"/>
        <v>+</v>
      </c>
      <c r="BE245" s="2">
        <v>74.5</v>
      </c>
      <c r="BF245" s="8" t="str">
        <f t="shared" si="63"/>
        <v>-</v>
      </c>
      <c r="BG245" s="2"/>
      <c r="BH245" s="8" t="str">
        <f t="shared" si="73"/>
        <v>+</v>
      </c>
      <c r="BI245" s="2"/>
      <c r="BJ245" s="8" t="str">
        <f t="shared" si="74"/>
        <v>+</v>
      </c>
      <c r="BK245" s="2"/>
      <c r="BL245" s="8" t="str">
        <f t="shared" si="75"/>
        <v>+</v>
      </c>
    </row>
    <row r="246" spans="1:64">
      <c r="A246" s="1">
        <v>25689</v>
      </c>
      <c r="B246">
        <v>45</v>
      </c>
      <c r="C246">
        <v>45.7</v>
      </c>
      <c r="D246">
        <v>40.700000000000003</v>
      </c>
      <c r="E246">
        <v>45.5</v>
      </c>
      <c r="F246">
        <v>48.7</v>
      </c>
      <c r="G246">
        <v>44.3</v>
      </c>
      <c r="I246">
        <v>75.099999999999994</v>
      </c>
      <c r="W246" s="1">
        <v>25689</v>
      </c>
      <c r="X246">
        <v>76.550003000000004</v>
      </c>
      <c r="Y246" s="4">
        <f t="shared" si="62"/>
        <v>-6.0966562596904902E-2</v>
      </c>
      <c r="Z246" s="4">
        <f t="shared" si="64"/>
        <v>-0.26010048579258149</v>
      </c>
      <c r="AA246">
        <v>45</v>
      </c>
      <c r="AB246">
        <f t="shared" si="65"/>
        <v>55.2</v>
      </c>
      <c r="AP246" s="3">
        <v>25659</v>
      </c>
      <c r="AQ246" s="2">
        <v>46.9</v>
      </c>
      <c r="AR246" s="2" t="str">
        <f t="shared" si="66"/>
        <v>-</v>
      </c>
      <c r="AS246" s="2">
        <v>45.2</v>
      </c>
      <c r="AT246" s="8" t="str">
        <f t="shared" si="67"/>
        <v>-</v>
      </c>
      <c r="AU246" s="2">
        <v>47.3</v>
      </c>
      <c r="AV246" s="8" t="str">
        <f t="shared" si="68"/>
        <v>+</v>
      </c>
      <c r="AW246" s="2">
        <v>44.8</v>
      </c>
      <c r="AX246" s="8" t="str">
        <f t="shared" si="69"/>
        <v>+</v>
      </c>
      <c r="AY246" s="2">
        <v>49.3</v>
      </c>
      <c r="AZ246" s="8" t="str">
        <f t="shared" si="70"/>
        <v>-</v>
      </c>
      <c r="BA246" s="2">
        <v>51.4</v>
      </c>
      <c r="BB246" s="8" t="str">
        <f t="shared" si="71"/>
        <v>+</v>
      </c>
      <c r="BC246" s="2"/>
      <c r="BD246" s="8" t="str">
        <f t="shared" si="72"/>
        <v>+</v>
      </c>
      <c r="BE246" s="2">
        <v>67.8</v>
      </c>
      <c r="BF246" s="8" t="str">
        <f t="shared" si="63"/>
        <v>-</v>
      </c>
      <c r="BG246" s="2"/>
      <c r="BH246" s="8" t="str">
        <f t="shared" si="73"/>
        <v>+</v>
      </c>
      <c r="BI246" s="2"/>
      <c r="BJ246" s="8" t="str">
        <f t="shared" si="74"/>
        <v>+</v>
      </c>
      <c r="BK246" s="2"/>
      <c r="BL246" s="8" t="str">
        <f t="shared" si="75"/>
        <v>+</v>
      </c>
    </row>
    <row r="247" spans="1:64">
      <c r="A247" s="1">
        <v>25720</v>
      </c>
      <c r="B247">
        <v>47.2</v>
      </c>
      <c r="C247">
        <v>45.3</v>
      </c>
      <c r="D247">
        <v>40.799999999999997</v>
      </c>
      <c r="E247">
        <v>45.2</v>
      </c>
      <c r="F247">
        <v>67.2</v>
      </c>
      <c r="G247">
        <v>40.4</v>
      </c>
      <c r="I247">
        <v>78.3</v>
      </c>
      <c r="W247" s="1">
        <v>25720</v>
      </c>
      <c r="X247">
        <v>72.720000999999996</v>
      </c>
      <c r="Y247" s="4">
        <f t="shared" si="62"/>
        <v>-5.0032682559137294E-2</v>
      </c>
      <c r="Z247" s="4">
        <f t="shared" si="64"/>
        <v>-0.25575681358875052</v>
      </c>
      <c r="AA247">
        <v>47.2</v>
      </c>
      <c r="AB247">
        <f t="shared" si="65"/>
        <v>56.7</v>
      </c>
      <c r="AP247" s="3">
        <v>25689</v>
      </c>
      <c r="AQ247" s="2">
        <v>45</v>
      </c>
      <c r="AR247" s="2" t="str">
        <f t="shared" si="66"/>
        <v>-</v>
      </c>
      <c r="AS247" s="2">
        <v>45.7</v>
      </c>
      <c r="AT247" s="8" t="str">
        <f t="shared" si="67"/>
        <v>+</v>
      </c>
      <c r="AU247" s="2">
        <v>45.5</v>
      </c>
      <c r="AV247" s="8" t="str">
        <f t="shared" si="68"/>
        <v>-</v>
      </c>
      <c r="AW247" s="2">
        <v>40.700000000000003</v>
      </c>
      <c r="AX247" s="8" t="str">
        <f t="shared" si="69"/>
        <v>-</v>
      </c>
      <c r="AY247" s="2">
        <v>48.7</v>
      </c>
      <c r="AZ247" s="8" t="str">
        <f t="shared" si="70"/>
        <v>-</v>
      </c>
      <c r="BA247" s="2">
        <v>44.3</v>
      </c>
      <c r="BB247" s="8" t="str">
        <f t="shared" si="71"/>
        <v>-</v>
      </c>
      <c r="BC247" s="2"/>
      <c r="BD247" s="8" t="str">
        <f t="shared" si="72"/>
        <v>+</v>
      </c>
      <c r="BE247" s="2">
        <v>75.099999999999994</v>
      </c>
      <c r="BF247" s="8" t="str">
        <f t="shared" si="63"/>
        <v>+</v>
      </c>
      <c r="BG247" s="2"/>
      <c r="BH247" s="8" t="str">
        <f t="shared" si="73"/>
        <v>+</v>
      </c>
      <c r="BI247" s="2"/>
      <c r="BJ247" s="8" t="str">
        <f t="shared" si="74"/>
        <v>+</v>
      </c>
      <c r="BK247" s="2"/>
      <c r="BL247" s="8" t="str">
        <f t="shared" si="75"/>
        <v>+</v>
      </c>
    </row>
    <row r="248" spans="1:64">
      <c r="A248" s="1">
        <v>25750</v>
      </c>
      <c r="B248">
        <v>51.1</v>
      </c>
      <c r="C248">
        <v>53.2</v>
      </c>
      <c r="D248">
        <v>41.4</v>
      </c>
      <c r="E248">
        <v>49.7</v>
      </c>
      <c r="F248">
        <v>66.099999999999994</v>
      </c>
      <c r="G248">
        <v>45.3</v>
      </c>
      <c r="I248">
        <v>73.8</v>
      </c>
      <c r="W248" s="1">
        <v>25750</v>
      </c>
      <c r="X248">
        <v>78.050003000000004</v>
      </c>
      <c r="Y248" s="4">
        <f t="shared" si="62"/>
        <v>7.3294855977793616E-2</v>
      </c>
      <c r="Z248" s="4">
        <f t="shared" si="64"/>
        <v>-0.1500598791231649</v>
      </c>
      <c r="AA248">
        <v>51.1</v>
      </c>
      <c r="AB248">
        <f t="shared" si="65"/>
        <v>55.5</v>
      </c>
      <c r="AP248" s="3">
        <v>25720</v>
      </c>
      <c r="AQ248" s="2">
        <v>47.2</v>
      </c>
      <c r="AR248" s="2" t="str">
        <f t="shared" si="66"/>
        <v>+</v>
      </c>
      <c r="AS248" s="2">
        <v>45.3</v>
      </c>
      <c r="AT248" s="8" t="str">
        <f t="shared" si="67"/>
        <v>-</v>
      </c>
      <c r="AU248" s="2">
        <v>45.2</v>
      </c>
      <c r="AV248" s="8" t="str">
        <f t="shared" si="68"/>
        <v>-</v>
      </c>
      <c r="AW248" s="2">
        <v>40.799999999999997</v>
      </c>
      <c r="AX248" s="8" t="str">
        <f t="shared" si="69"/>
        <v>+</v>
      </c>
      <c r="AY248" s="2">
        <v>67.2</v>
      </c>
      <c r="AZ248" s="8" t="str">
        <f t="shared" si="70"/>
        <v>+</v>
      </c>
      <c r="BA248" s="2">
        <v>40.4</v>
      </c>
      <c r="BB248" s="8" t="str">
        <f t="shared" si="71"/>
        <v>-</v>
      </c>
      <c r="BC248" s="2"/>
      <c r="BD248" s="8" t="str">
        <f t="shared" si="72"/>
        <v>+</v>
      </c>
      <c r="BE248" s="2">
        <v>78.3</v>
      </c>
      <c r="BF248" s="8" t="str">
        <f t="shared" si="63"/>
        <v>+</v>
      </c>
      <c r="BG248" s="2"/>
      <c r="BH248" s="8" t="str">
        <f t="shared" si="73"/>
        <v>+</v>
      </c>
      <c r="BI248" s="2"/>
      <c r="BJ248" s="8" t="str">
        <f t="shared" si="74"/>
        <v>+</v>
      </c>
      <c r="BK248" s="2"/>
      <c r="BL248" s="8" t="str">
        <f t="shared" si="75"/>
        <v>+</v>
      </c>
    </row>
    <row r="249" spans="1:64">
      <c r="A249" s="1">
        <v>25781</v>
      </c>
      <c r="B249">
        <v>49.5</v>
      </c>
      <c r="C249">
        <v>52.5</v>
      </c>
      <c r="D249">
        <v>40.6</v>
      </c>
      <c r="E249">
        <v>54.5</v>
      </c>
      <c r="F249">
        <v>49.8</v>
      </c>
      <c r="G249">
        <v>45.4</v>
      </c>
      <c r="I249">
        <v>72.400000000000006</v>
      </c>
      <c r="W249" s="1">
        <v>25781</v>
      </c>
      <c r="X249">
        <v>81.519997000000004</v>
      </c>
      <c r="Y249" s="4">
        <f t="shared" si="62"/>
        <v>4.4458601750470138E-2</v>
      </c>
      <c r="Z249" s="4">
        <f t="shared" si="64"/>
        <v>-0.1464768579944119</v>
      </c>
      <c r="AA249">
        <v>49.5</v>
      </c>
      <c r="AB249">
        <f t="shared" si="65"/>
        <v>53.1</v>
      </c>
      <c r="AP249" s="3">
        <v>25750</v>
      </c>
      <c r="AQ249" s="2">
        <v>51.1</v>
      </c>
      <c r="AR249" s="2" t="str">
        <f t="shared" si="66"/>
        <v>+</v>
      </c>
      <c r="AS249" s="2">
        <v>53.2</v>
      </c>
      <c r="AT249" s="8" t="str">
        <f t="shared" si="67"/>
        <v>+</v>
      </c>
      <c r="AU249" s="2">
        <v>49.7</v>
      </c>
      <c r="AV249" s="8" t="str">
        <f t="shared" si="68"/>
        <v>+</v>
      </c>
      <c r="AW249" s="2">
        <v>41.4</v>
      </c>
      <c r="AX249" s="8" t="str">
        <f t="shared" si="69"/>
        <v>+</v>
      </c>
      <c r="AY249" s="2">
        <v>66.099999999999994</v>
      </c>
      <c r="AZ249" s="8" t="str">
        <f t="shared" si="70"/>
        <v>-</v>
      </c>
      <c r="BA249" s="2">
        <v>45.3</v>
      </c>
      <c r="BB249" s="8" t="str">
        <f t="shared" si="71"/>
        <v>+</v>
      </c>
      <c r="BC249" s="2"/>
      <c r="BD249" s="8" t="str">
        <f t="shared" si="72"/>
        <v>+</v>
      </c>
      <c r="BE249" s="2">
        <v>73.8</v>
      </c>
      <c r="BF249" s="8" t="str">
        <f t="shared" si="63"/>
        <v>-</v>
      </c>
      <c r="BG249" s="2"/>
      <c r="BH249" s="8" t="str">
        <f t="shared" si="73"/>
        <v>+</v>
      </c>
      <c r="BI249" s="2"/>
      <c r="BJ249" s="8" t="str">
        <f t="shared" si="74"/>
        <v>+</v>
      </c>
      <c r="BK249" s="2"/>
      <c r="BL249" s="8" t="str">
        <f t="shared" si="75"/>
        <v>+</v>
      </c>
    </row>
    <row r="250" spans="1:64">
      <c r="A250" s="1">
        <v>25812</v>
      </c>
      <c r="B250">
        <v>47.3</v>
      </c>
      <c r="C250">
        <v>51.8</v>
      </c>
      <c r="D250">
        <v>40.1</v>
      </c>
      <c r="E250">
        <v>49.7</v>
      </c>
      <c r="F250">
        <v>46.1</v>
      </c>
      <c r="G250">
        <v>43.8</v>
      </c>
      <c r="I250">
        <v>68.599999999999994</v>
      </c>
      <c r="W250" s="1">
        <v>25812</v>
      </c>
      <c r="X250">
        <v>84.300003000000004</v>
      </c>
      <c r="Y250" s="4">
        <f t="shared" si="62"/>
        <v>3.4102135700520203E-2</v>
      </c>
      <c r="Z250" s="4">
        <f t="shared" si="64"/>
        <v>-9.4716491793927382E-2</v>
      </c>
      <c r="AA250">
        <v>47.3</v>
      </c>
      <c r="AB250">
        <f t="shared" si="65"/>
        <v>54.8</v>
      </c>
      <c r="AP250" s="3">
        <v>25781</v>
      </c>
      <c r="AQ250" s="2">
        <v>49.5</v>
      </c>
      <c r="AR250" s="2" t="str">
        <f t="shared" si="66"/>
        <v>-</v>
      </c>
      <c r="AS250" s="2">
        <v>52.5</v>
      </c>
      <c r="AT250" s="8" t="str">
        <f t="shared" si="67"/>
        <v>-</v>
      </c>
      <c r="AU250" s="2">
        <v>54.5</v>
      </c>
      <c r="AV250" s="8" t="str">
        <f t="shared" si="68"/>
        <v>+</v>
      </c>
      <c r="AW250" s="2">
        <v>40.6</v>
      </c>
      <c r="AX250" s="8" t="str">
        <f t="shared" si="69"/>
        <v>-</v>
      </c>
      <c r="AY250" s="2">
        <v>49.8</v>
      </c>
      <c r="AZ250" s="8" t="str">
        <f t="shared" si="70"/>
        <v>-</v>
      </c>
      <c r="BA250" s="2">
        <v>45.4</v>
      </c>
      <c r="BB250" s="8" t="str">
        <f t="shared" si="71"/>
        <v>+</v>
      </c>
      <c r="BC250" s="2"/>
      <c r="BD250" s="8" t="str">
        <f t="shared" si="72"/>
        <v>+</v>
      </c>
      <c r="BE250" s="2">
        <v>72.400000000000006</v>
      </c>
      <c r="BF250" s="8" t="str">
        <f t="shared" si="63"/>
        <v>-</v>
      </c>
      <c r="BG250" s="2"/>
      <c r="BH250" s="8" t="str">
        <f t="shared" si="73"/>
        <v>+</v>
      </c>
      <c r="BI250" s="2"/>
      <c r="BJ250" s="8" t="str">
        <f t="shared" si="74"/>
        <v>+</v>
      </c>
      <c r="BK250" s="2"/>
      <c r="BL250" s="8" t="str">
        <f t="shared" si="75"/>
        <v>+</v>
      </c>
    </row>
    <row r="251" spans="1:64">
      <c r="A251" s="1">
        <v>25842</v>
      </c>
      <c r="B251">
        <v>44.1</v>
      </c>
      <c r="C251">
        <v>44.2</v>
      </c>
      <c r="D251">
        <v>39.5</v>
      </c>
      <c r="E251">
        <v>45.1</v>
      </c>
      <c r="F251">
        <v>46.5</v>
      </c>
      <c r="G251">
        <v>47.2</v>
      </c>
      <c r="I251">
        <v>70.599999999999994</v>
      </c>
      <c r="W251" s="1">
        <v>25842</v>
      </c>
      <c r="X251">
        <v>83.25</v>
      </c>
      <c r="Y251" s="4">
        <f t="shared" si="62"/>
        <v>-1.2455551158165483E-2</v>
      </c>
      <c r="Z251" s="4">
        <f t="shared" si="64"/>
        <v>-0.14281304130519845</v>
      </c>
      <c r="AA251">
        <v>44.1</v>
      </c>
      <c r="AB251">
        <f t="shared" si="65"/>
        <v>54.1</v>
      </c>
      <c r="AP251" s="3">
        <v>25812</v>
      </c>
      <c r="AQ251" s="2">
        <v>47.3</v>
      </c>
      <c r="AR251" s="2" t="str">
        <f t="shared" si="66"/>
        <v>-</v>
      </c>
      <c r="AS251" s="2">
        <v>51.8</v>
      </c>
      <c r="AT251" s="8" t="str">
        <f t="shared" si="67"/>
        <v>-</v>
      </c>
      <c r="AU251" s="2">
        <v>49.7</v>
      </c>
      <c r="AV251" s="8" t="str">
        <f t="shared" si="68"/>
        <v>-</v>
      </c>
      <c r="AW251" s="2">
        <v>40.1</v>
      </c>
      <c r="AX251" s="8" t="str">
        <f t="shared" si="69"/>
        <v>-</v>
      </c>
      <c r="AY251" s="2">
        <v>46.1</v>
      </c>
      <c r="AZ251" s="8" t="str">
        <f t="shared" si="70"/>
        <v>-</v>
      </c>
      <c r="BA251" s="2">
        <v>43.8</v>
      </c>
      <c r="BB251" s="8" t="str">
        <f t="shared" si="71"/>
        <v>-</v>
      </c>
      <c r="BC251" s="2"/>
      <c r="BD251" s="8" t="str">
        <f t="shared" si="72"/>
        <v>+</v>
      </c>
      <c r="BE251" s="2">
        <v>68.599999999999994</v>
      </c>
      <c r="BF251" s="8" t="str">
        <f t="shared" si="63"/>
        <v>-</v>
      </c>
      <c r="BG251" s="2"/>
      <c r="BH251" s="8" t="str">
        <f t="shared" si="73"/>
        <v>+</v>
      </c>
      <c r="BI251" s="2"/>
      <c r="BJ251" s="8" t="str">
        <f t="shared" si="74"/>
        <v>+</v>
      </c>
      <c r="BK251" s="2"/>
      <c r="BL251" s="8" t="str">
        <f t="shared" si="75"/>
        <v>+</v>
      </c>
    </row>
    <row r="252" spans="1:64">
      <c r="A252" s="1">
        <v>25873</v>
      </c>
      <c r="B252">
        <v>42.4</v>
      </c>
      <c r="C252">
        <v>44.7</v>
      </c>
      <c r="D252">
        <v>37.6</v>
      </c>
      <c r="E252">
        <v>44.1</v>
      </c>
      <c r="F252">
        <v>39</v>
      </c>
      <c r="G252">
        <v>45.7</v>
      </c>
      <c r="I252">
        <v>67.8</v>
      </c>
      <c r="W252" s="1">
        <v>25873</v>
      </c>
      <c r="X252">
        <v>87.199996999999996</v>
      </c>
      <c r="Y252" s="4">
        <f t="shared" si="62"/>
        <v>4.7447411411411365E-2</v>
      </c>
      <c r="Z252" s="4">
        <f t="shared" si="64"/>
        <v>-7.0461583423122948E-2</v>
      </c>
      <c r="AA252">
        <v>42.4</v>
      </c>
      <c r="AB252">
        <f t="shared" si="65"/>
        <v>54.6</v>
      </c>
      <c r="AP252" s="3">
        <v>25842</v>
      </c>
      <c r="AQ252" s="2">
        <v>44.1</v>
      </c>
      <c r="AR252" s="2" t="str">
        <f t="shared" si="66"/>
        <v>-</v>
      </c>
      <c r="AS252" s="2">
        <v>44.2</v>
      </c>
      <c r="AT252" s="8" t="str">
        <f t="shared" si="67"/>
        <v>-</v>
      </c>
      <c r="AU252" s="2">
        <v>45.1</v>
      </c>
      <c r="AV252" s="8" t="str">
        <f t="shared" si="68"/>
        <v>-</v>
      </c>
      <c r="AW252" s="2">
        <v>39.5</v>
      </c>
      <c r="AX252" s="8" t="str">
        <f t="shared" si="69"/>
        <v>-</v>
      </c>
      <c r="AY252" s="2">
        <v>46.5</v>
      </c>
      <c r="AZ252" s="8" t="str">
        <f t="shared" si="70"/>
        <v>+</v>
      </c>
      <c r="BA252" s="2">
        <v>47.2</v>
      </c>
      <c r="BB252" s="8" t="str">
        <f t="shared" si="71"/>
        <v>+</v>
      </c>
      <c r="BC252" s="2"/>
      <c r="BD252" s="8" t="str">
        <f t="shared" si="72"/>
        <v>+</v>
      </c>
      <c r="BE252" s="2">
        <v>70.599999999999994</v>
      </c>
      <c r="BF252" s="8" t="str">
        <f t="shared" si="63"/>
        <v>+</v>
      </c>
      <c r="BG252" s="2"/>
      <c r="BH252" s="8" t="str">
        <f t="shared" si="73"/>
        <v>+</v>
      </c>
      <c r="BI252" s="2"/>
      <c r="BJ252" s="8" t="str">
        <f t="shared" si="74"/>
        <v>+</v>
      </c>
      <c r="BK252" s="2"/>
      <c r="BL252" s="8" t="str">
        <f t="shared" si="75"/>
        <v>+</v>
      </c>
    </row>
    <row r="253" spans="1:64">
      <c r="A253" s="1">
        <v>25903</v>
      </c>
      <c r="B253">
        <v>39.700000000000003</v>
      </c>
      <c r="C253">
        <v>43.3</v>
      </c>
      <c r="D253">
        <v>33.799999999999997</v>
      </c>
      <c r="E253">
        <v>38.5</v>
      </c>
      <c r="F253">
        <v>37.799999999999997</v>
      </c>
      <c r="G253">
        <v>46.3</v>
      </c>
      <c r="I253">
        <v>68.099999999999994</v>
      </c>
      <c r="W253" s="1">
        <v>25903</v>
      </c>
      <c r="X253">
        <v>92.150002000000001</v>
      </c>
      <c r="Y253" s="4">
        <f t="shared" si="62"/>
        <v>5.6766114338283803E-2</v>
      </c>
      <c r="Z253" s="4">
        <f t="shared" si="64"/>
        <v>9.7766676032306154E-4</v>
      </c>
      <c r="AA253">
        <v>39.700000000000003</v>
      </c>
      <c r="AB253">
        <f t="shared" si="65"/>
        <v>53.2</v>
      </c>
      <c r="AP253" s="3">
        <v>25873</v>
      </c>
      <c r="AQ253" s="2">
        <v>42.4</v>
      </c>
      <c r="AR253" s="2" t="str">
        <f t="shared" si="66"/>
        <v>-</v>
      </c>
      <c r="AS253" s="2">
        <v>44.7</v>
      </c>
      <c r="AT253" s="8" t="str">
        <f t="shared" si="67"/>
        <v>+</v>
      </c>
      <c r="AU253" s="2">
        <v>44.1</v>
      </c>
      <c r="AV253" s="8" t="str">
        <f t="shared" si="68"/>
        <v>-</v>
      </c>
      <c r="AW253" s="2">
        <v>37.6</v>
      </c>
      <c r="AX253" s="8" t="str">
        <f t="shared" si="69"/>
        <v>-</v>
      </c>
      <c r="AY253" s="2">
        <v>39</v>
      </c>
      <c r="AZ253" s="8" t="str">
        <f t="shared" si="70"/>
        <v>-</v>
      </c>
      <c r="BA253" s="2">
        <v>45.7</v>
      </c>
      <c r="BB253" s="8" t="str">
        <f t="shared" si="71"/>
        <v>-</v>
      </c>
      <c r="BC253" s="2"/>
      <c r="BD253" s="8" t="str">
        <f t="shared" si="72"/>
        <v>+</v>
      </c>
      <c r="BE253" s="2">
        <v>67.8</v>
      </c>
      <c r="BF253" s="8" t="str">
        <f t="shared" si="63"/>
        <v>-</v>
      </c>
      <c r="BG253" s="2"/>
      <c r="BH253" s="8" t="str">
        <f t="shared" si="73"/>
        <v>+</v>
      </c>
      <c r="BI253" s="2"/>
      <c r="BJ253" s="8" t="str">
        <f t="shared" si="74"/>
        <v>+</v>
      </c>
      <c r="BK253" s="2"/>
      <c r="BL253" s="8" t="str">
        <f t="shared" si="75"/>
        <v>+</v>
      </c>
    </row>
    <row r="254" spans="1:64">
      <c r="A254" s="1">
        <v>25934</v>
      </c>
      <c r="B254">
        <v>45.4</v>
      </c>
      <c r="C254">
        <v>51.2</v>
      </c>
      <c r="D254">
        <v>41.4</v>
      </c>
      <c r="E254">
        <v>46.8</v>
      </c>
      <c r="F254">
        <v>37.5</v>
      </c>
      <c r="G254">
        <v>44.4</v>
      </c>
      <c r="I254">
        <v>64.5</v>
      </c>
      <c r="W254" s="1">
        <v>25934</v>
      </c>
      <c r="X254">
        <v>95.879997000000003</v>
      </c>
      <c r="Y254" s="4">
        <f t="shared" si="62"/>
        <v>4.0477427227836656E-2</v>
      </c>
      <c r="Z254" s="4">
        <f t="shared" si="64"/>
        <v>0.1277346551776519</v>
      </c>
      <c r="AA254">
        <v>45.4</v>
      </c>
      <c r="AB254">
        <f t="shared" si="65"/>
        <v>52</v>
      </c>
      <c r="AP254" s="3">
        <v>25903</v>
      </c>
      <c r="AQ254" s="2">
        <v>39.700000000000003</v>
      </c>
      <c r="AR254" s="2" t="str">
        <f t="shared" si="66"/>
        <v>-</v>
      </c>
      <c r="AS254" s="2">
        <v>43.3</v>
      </c>
      <c r="AT254" s="8" t="str">
        <f t="shared" si="67"/>
        <v>-</v>
      </c>
      <c r="AU254" s="2">
        <v>38.5</v>
      </c>
      <c r="AV254" s="8" t="str">
        <f t="shared" si="68"/>
        <v>-</v>
      </c>
      <c r="AW254" s="2">
        <v>33.799999999999997</v>
      </c>
      <c r="AX254" s="8" t="str">
        <f t="shared" si="69"/>
        <v>-</v>
      </c>
      <c r="AY254" s="2">
        <v>37.799999999999997</v>
      </c>
      <c r="AZ254" s="8" t="str">
        <f t="shared" si="70"/>
        <v>-</v>
      </c>
      <c r="BA254" s="2">
        <v>46.3</v>
      </c>
      <c r="BB254" s="8" t="str">
        <f t="shared" si="71"/>
        <v>+</v>
      </c>
      <c r="BC254" s="2"/>
      <c r="BD254" s="8" t="str">
        <f t="shared" si="72"/>
        <v>+</v>
      </c>
      <c r="BE254" s="2">
        <v>68.099999999999994</v>
      </c>
      <c r="BF254" s="8" t="str">
        <f t="shared" si="63"/>
        <v>+</v>
      </c>
      <c r="BG254" s="2"/>
      <c r="BH254" s="8" t="str">
        <f t="shared" si="73"/>
        <v>+</v>
      </c>
      <c r="BI254" s="2"/>
      <c r="BJ254" s="8" t="str">
        <f t="shared" si="74"/>
        <v>+</v>
      </c>
      <c r="BK254" s="2"/>
      <c r="BL254" s="8" t="str">
        <f t="shared" si="75"/>
        <v>+</v>
      </c>
    </row>
    <row r="255" spans="1:64">
      <c r="A255" s="1">
        <v>25965</v>
      </c>
      <c r="B255">
        <v>47.9</v>
      </c>
      <c r="C255">
        <v>55.4</v>
      </c>
      <c r="D255">
        <v>40</v>
      </c>
      <c r="E255">
        <v>50.5</v>
      </c>
      <c r="F255">
        <v>39.799999999999997</v>
      </c>
      <c r="G255">
        <v>47.4</v>
      </c>
      <c r="I255">
        <v>65.099999999999994</v>
      </c>
      <c r="W255" s="1">
        <v>25965</v>
      </c>
      <c r="X255">
        <v>96.75</v>
      </c>
      <c r="Y255" s="4">
        <f t="shared" si="62"/>
        <v>9.0738738759034068E-3</v>
      </c>
      <c r="Z255" s="4">
        <f t="shared" si="64"/>
        <v>8.1005586592178769E-2</v>
      </c>
      <c r="AA255">
        <v>47.9</v>
      </c>
      <c r="AB255">
        <f t="shared" si="65"/>
        <v>48.7</v>
      </c>
      <c r="AP255" s="3">
        <v>25934</v>
      </c>
      <c r="AQ255" s="2">
        <v>45.4</v>
      </c>
      <c r="AR255" s="2" t="str">
        <f t="shared" si="66"/>
        <v>+</v>
      </c>
      <c r="AS255" s="2">
        <v>51.2</v>
      </c>
      <c r="AT255" s="8" t="str">
        <f t="shared" si="67"/>
        <v>+</v>
      </c>
      <c r="AU255" s="2">
        <v>46.8</v>
      </c>
      <c r="AV255" s="8" t="str">
        <f t="shared" si="68"/>
        <v>+</v>
      </c>
      <c r="AW255" s="2">
        <v>41.4</v>
      </c>
      <c r="AX255" s="8" t="str">
        <f t="shared" si="69"/>
        <v>+</v>
      </c>
      <c r="AY255" s="2">
        <v>37.5</v>
      </c>
      <c r="AZ255" s="8" t="str">
        <f t="shared" si="70"/>
        <v>-</v>
      </c>
      <c r="BA255" s="2">
        <v>44.4</v>
      </c>
      <c r="BB255" s="8" t="str">
        <f t="shared" si="71"/>
        <v>-</v>
      </c>
      <c r="BC255" s="2"/>
      <c r="BD255" s="8" t="str">
        <f t="shared" si="72"/>
        <v>+</v>
      </c>
      <c r="BE255" s="2">
        <v>64.5</v>
      </c>
      <c r="BF255" s="8" t="str">
        <f t="shared" si="63"/>
        <v>-</v>
      </c>
      <c r="BG255" s="2"/>
      <c r="BH255" s="8" t="str">
        <f t="shared" si="73"/>
        <v>+</v>
      </c>
      <c r="BI255" s="2"/>
      <c r="BJ255" s="8" t="str">
        <f t="shared" si="74"/>
        <v>+</v>
      </c>
      <c r="BK255" s="2"/>
      <c r="BL255" s="8" t="str">
        <f t="shared" si="75"/>
        <v>+</v>
      </c>
    </row>
    <row r="256" spans="1:64">
      <c r="A256" s="1">
        <v>25993</v>
      </c>
      <c r="B256">
        <v>54.8</v>
      </c>
      <c r="C256">
        <v>62.8</v>
      </c>
      <c r="D256">
        <v>47.7</v>
      </c>
      <c r="E256">
        <v>60</v>
      </c>
      <c r="F256">
        <v>44.2</v>
      </c>
      <c r="G256">
        <v>48</v>
      </c>
      <c r="I256">
        <v>64.599999999999994</v>
      </c>
      <c r="W256" s="1">
        <v>25993</v>
      </c>
      <c r="X256">
        <v>100.30999799999999</v>
      </c>
      <c r="Y256" s="4">
        <f t="shared" si="62"/>
        <v>3.6795844961240241E-2</v>
      </c>
      <c r="Z256" s="4">
        <f t="shared" si="64"/>
        <v>0.11915654755628285</v>
      </c>
      <c r="AA256">
        <v>54.8</v>
      </c>
      <c r="AB256">
        <f t="shared" si="65"/>
        <v>47.4</v>
      </c>
      <c r="AP256" s="3">
        <v>25965</v>
      </c>
      <c r="AQ256" s="2">
        <v>47.9</v>
      </c>
      <c r="AR256" s="2" t="str">
        <f t="shared" si="66"/>
        <v>+</v>
      </c>
      <c r="AS256" s="2">
        <v>55.4</v>
      </c>
      <c r="AT256" s="8" t="str">
        <f t="shared" si="67"/>
        <v>+</v>
      </c>
      <c r="AU256" s="2">
        <v>50.5</v>
      </c>
      <c r="AV256" s="8" t="str">
        <f t="shared" si="68"/>
        <v>+</v>
      </c>
      <c r="AW256" s="2">
        <v>40</v>
      </c>
      <c r="AX256" s="8" t="str">
        <f t="shared" si="69"/>
        <v>-</v>
      </c>
      <c r="AY256" s="2">
        <v>39.799999999999997</v>
      </c>
      <c r="AZ256" s="8" t="str">
        <f t="shared" si="70"/>
        <v>+</v>
      </c>
      <c r="BA256" s="2">
        <v>47.4</v>
      </c>
      <c r="BB256" s="8" t="str">
        <f t="shared" si="71"/>
        <v>+</v>
      </c>
      <c r="BC256" s="2"/>
      <c r="BD256" s="8" t="str">
        <f t="shared" si="72"/>
        <v>+</v>
      </c>
      <c r="BE256" s="2">
        <v>65.099999999999994</v>
      </c>
      <c r="BF256" s="8" t="str">
        <f t="shared" si="63"/>
        <v>+</v>
      </c>
      <c r="BG256" s="2"/>
      <c r="BH256" s="8" t="str">
        <f t="shared" si="73"/>
        <v>+</v>
      </c>
      <c r="BI256" s="2"/>
      <c r="BJ256" s="8" t="str">
        <f t="shared" si="74"/>
        <v>+</v>
      </c>
      <c r="BK256" s="2"/>
      <c r="BL256" s="8" t="str">
        <f t="shared" si="75"/>
        <v>+</v>
      </c>
    </row>
    <row r="257" spans="1:64">
      <c r="A257" s="1">
        <v>26024</v>
      </c>
      <c r="B257">
        <v>51.2</v>
      </c>
      <c r="C257">
        <v>56.2</v>
      </c>
      <c r="D257">
        <v>44.3</v>
      </c>
      <c r="E257">
        <v>54.4</v>
      </c>
      <c r="F257">
        <v>45</v>
      </c>
      <c r="G257">
        <v>51.2</v>
      </c>
      <c r="I257">
        <v>67</v>
      </c>
      <c r="W257" s="1">
        <v>26024</v>
      </c>
      <c r="X257">
        <v>103.949997</v>
      </c>
      <c r="Y257" s="4">
        <f t="shared" si="62"/>
        <v>3.6287499477370172E-2</v>
      </c>
      <c r="Z257" s="4">
        <f t="shared" si="64"/>
        <v>0.27514721326596703</v>
      </c>
      <c r="AA257">
        <v>51.2</v>
      </c>
      <c r="AB257">
        <f t="shared" si="65"/>
        <v>46.9</v>
      </c>
      <c r="AP257" s="3">
        <v>25993</v>
      </c>
      <c r="AQ257" s="2">
        <v>54.8</v>
      </c>
      <c r="AR257" s="2" t="str">
        <f t="shared" si="66"/>
        <v>+</v>
      </c>
      <c r="AS257" s="2">
        <v>62.8</v>
      </c>
      <c r="AT257" s="8" t="str">
        <f t="shared" si="67"/>
        <v>+</v>
      </c>
      <c r="AU257" s="2">
        <v>60</v>
      </c>
      <c r="AV257" s="8" t="str">
        <f t="shared" si="68"/>
        <v>+</v>
      </c>
      <c r="AW257" s="2">
        <v>47.7</v>
      </c>
      <c r="AX257" s="8" t="str">
        <f t="shared" si="69"/>
        <v>+</v>
      </c>
      <c r="AY257" s="2">
        <v>44.2</v>
      </c>
      <c r="AZ257" s="8" t="str">
        <f t="shared" si="70"/>
        <v>+</v>
      </c>
      <c r="BA257" s="2">
        <v>48</v>
      </c>
      <c r="BB257" s="8" t="str">
        <f t="shared" si="71"/>
        <v>+</v>
      </c>
      <c r="BC257" s="2"/>
      <c r="BD257" s="8" t="str">
        <f t="shared" si="72"/>
        <v>+</v>
      </c>
      <c r="BE257" s="2">
        <v>64.599999999999994</v>
      </c>
      <c r="BF257" s="8" t="str">
        <f t="shared" si="63"/>
        <v>-</v>
      </c>
      <c r="BG257" s="2"/>
      <c r="BH257" s="8" t="str">
        <f t="shared" si="73"/>
        <v>+</v>
      </c>
      <c r="BI257" s="2"/>
      <c r="BJ257" s="8" t="str">
        <f t="shared" si="74"/>
        <v>+</v>
      </c>
      <c r="BK257" s="2"/>
      <c r="BL257" s="8" t="str">
        <f t="shared" si="75"/>
        <v>+</v>
      </c>
    </row>
    <row r="258" spans="1:64">
      <c r="A258" s="1">
        <v>26054</v>
      </c>
      <c r="B258">
        <v>54.5</v>
      </c>
      <c r="C258">
        <v>59.6</v>
      </c>
      <c r="D258">
        <v>45.7</v>
      </c>
      <c r="E258">
        <v>58.1</v>
      </c>
      <c r="F258">
        <v>48.9</v>
      </c>
      <c r="G258">
        <v>55.5</v>
      </c>
      <c r="I258">
        <v>70.8</v>
      </c>
      <c r="W258" s="1">
        <v>26054</v>
      </c>
      <c r="X258">
        <v>99.629997000000003</v>
      </c>
      <c r="Y258" s="4">
        <f t="shared" si="62"/>
        <v>-4.155844275781935E-2</v>
      </c>
      <c r="Z258" s="4">
        <f t="shared" si="64"/>
        <v>0.30150219589148808</v>
      </c>
      <c r="AA258">
        <v>54.5</v>
      </c>
      <c r="AB258">
        <f t="shared" si="65"/>
        <v>45</v>
      </c>
      <c r="AP258" s="3">
        <v>26024</v>
      </c>
      <c r="AQ258" s="2">
        <v>51.2</v>
      </c>
      <c r="AR258" s="2" t="str">
        <f t="shared" si="66"/>
        <v>-</v>
      </c>
      <c r="AS258" s="2">
        <v>56.2</v>
      </c>
      <c r="AT258" s="8" t="str">
        <f t="shared" si="67"/>
        <v>-</v>
      </c>
      <c r="AU258" s="2">
        <v>54.4</v>
      </c>
      <c r="AV258" s="8" t="str">
        <f t="shared" si="68"/>
        <v>-</v>
      </c>
      <c r="AW258" s="2">
        <v>44.3</v>
      </c>
      <c r="AX258" s="8" t="str">
        <f t="shared" si="69"/>
        <v>-</v>
      </c>
      <c r="AY258" s="2">
        <v>45</v>
      </c>
      <c r="AZ258" s="8" t="str">
        <f t="shared" si="70"/>
        <v>+</v>
      </c>
      <c r="BA258" s="2">
        <v>51.2</v>
      </c>
      <c r="BB258" s="8" t="str">
        <f t="shared" si="71"/>
        <v>+</v>
      </c>
      <c r="BC258" s="2"/>
      <c r="BD258" s="8" t="str">
        <f t="shared" si="72"/>
        <v>+</v>
      </c>
      <c r="BE258" s="2">
        <v>67</v>
      </c>
      <c r="BF258" s="8" t="str">
        <f t="shared" si="63"/>
        <v>+</v>
      </c>
      <c r="BG258" s="2"/>
      <c r="BH258" s="8" t="str">
        <f t="shared" si="73"/>
        <v>+</v>
      </c>
      <c r="BI258" s="2"/>
      <c r="BJ258" s="8" t="str">
        <f t="shared" si="74"/>
        <v>+</v>
      </c>
      <c r="BK258" s="2"/>
      <c r="BL258" s="8" t="str">
        <f t="shared" si="75"/>
        <v>+</v>
      </c>
    </row>
    <row r="259" spans="1:64">
      <c r="A259" s="1">
        <v>26085</v>
      </c>
      <c r="B259">
        <v>54.2</v>
      </c>
      <c r="C259">
        <v>57</v>
      </c>
      <c r="D259">
        <v>47.4</v>
      </c>
      <c r="E259">
        <v>58.9</v>
      </c>
      <c r="F259">
        <v>49.4</v>
      </c>
      <c r="G259">
        <v>55.1</v>
      </c>
      <c r="I259">
        <v>71.599999999999994</v>
      </c>
      <c r="W259" s="1">
        <v>26085</v>
      </c>
      <c r="X259">
        <v>98.699996999999996</v>
      </c>
      <c r="Y259" s="4">
        <f t="shared" si="62"/>
        <v>-9.3345380708985352E-3</v>
      </c>
      <c r="Z259" s="4">
        <f t="shared" si="64"/>
        <v>0.35726066615428126</v>
      </c>
      <c r="AA259">
        <v>54.2</v>
      </c>
      <c r="AB259">
        <f t="shared" si="65"/>
        <v>47.2</v>
      </c>
      <c r="AP259" s="3">
        <v>26054</v>
      </c>
      <c r="AQ259" s="2">
        <v>54.5</v>
      </c>
      <c r="AR259" s="2" t="str">
        <f t="shared" si="66"/>
        <v>+</v>
      </c>
      <c r="AS259" s="2">
        <v>59.6</v>
      </c>
      <c r="AT259" s="8" t="str">
        <f t="shared" si="67"/>
        <v>+</v>
      </c>
      <c r="AU259" s="2">
        <v>58.1</v>
      </c>
      <c r="AV259" s="8" t="str">
        <f t="shared" si="68"/>
        <v>+</v>
      </c>
      <c r="AW259" s="2">
        <v>45.7</v>
      </c>
      <c r="AX259" s="8" t="str">
        <f t="shared" si="69"/>
        <v>+</v>
      </c>
      <c r="AY259" s="2">
        <v>48.9</v>
      </c>
      <c r="AZ259" s="8" t="str">
        <f t="shared" si="70"/>
        <v>+</v>
      </c>
      <c r="BA259" s="2">
        <v>55.5</v>
      </c>
      <c r="BB259" s="8" t="str">
        <f t="shared" si="71"/>
        <v>+</v>
      </c>
      <c r="BC259" s="2"/>
      <c r="BD259" s="8" t="str">
        <f t="shared" si="72"/>
        <v>+</v>
      </c>
      <c r="BE259" s="2">
        <v>70.8</v>
      </c>
      <c r="BF259" s="8" t="str">
        <f t="shared" si="63"/>
        <v>+</v>
      </c>
      <c r="BG259" s="2"/>
      <c r="BH259" s="8" t="str">
        <f t="shared" si="73"/>
        <v>+</v>
      </c>
      <c r="BI259" s="2"/>
      <c r="BJ259" s="8" t="str">
        <f t="shared" si="74"/>
        <v>+</v>
      </c>
      <c r="BK259" s="2"/>
      <c r="BL259" s="8" t="str">
        <f t="shared" si="75"/>
        <v>+</v>
      </c>
    </row>
    <row r="260" spans="1:64">
      <c r="A260" s="1">
        <v>26115</v>
      </c>
      <c r="B260">
        <v>53.8</v>
      </c>
      <c r="C260">
        <v>57.9</v>
      </c>
      <c r="D260">
        <v>47.5</v>
      </c>
      <c r="E260">
        <v>55.4</v>
      </c>
      <c r="F260">
        <v>47.9</v>
      </c>
      <c r="G260">
        <v>59</v>
      </c>
      <c r="I260">
        <v>78.099999999999994</v>
      </c>
      <c r="W260" s="1">
        <v>26115</v>
      </c>
      <c r="X260">
        <v>95.580001999999993</v>
      </c>
      <c r="Y260" s="4">
        <f t="shared" ref="Y260:Y323" si="76">(X260-X259)/X259</f>
        <v>-3.161089255149626E-2</v>
      </c>
      <c r="Z260" s="4">
        <f t="shared" si="64"/>
        <v>0.22459959418579381</v>
      </c>
      <c r="AA260">
        <v>53.8</v>
      </c>
      <c r="AB260">
        <f t="shared" si="65"/>
        <v>51.1</v>
      </c>
      <c r="AP260" s="3">
        <v>26085</v>
      </c>
      <c r="AQ260" s="2">
        <v>54.2</v>
      </c>
      <c r="AR260" s="2" t="str">
        <f t="shared" si="66"/>
        <v>-</v>
      </c>
      <c r="AS260" s="2">
        <v>57</v>
      </c>
      <c r="AT260" s="8" t="str">
        <f t="shared" si="67"/>
        <v>-</v>
      </c>
      <c r="AU260" s="2">
        <v>58.9</v>
      </c>
      <c r="AV260" s="8" t="str">
        <f t="shared" si="68"/>
        <v>+</v>
      </c>
      <c r="AW260" s="2">
        <v>47.4</v>
      </c>
      <c r="AX260" s="8" t="str">
        <f t="shared" si="69"/>
        <v>+</v>
      </c>
      <c r="AY260" s="2">
        <v>49.4</v>
      </c>
      <c r="AZ260" s="8" t="str">
        <f t="shared" si="70"/>
        <v>+</v>
      </c>
      <c r="BA260" s="2">
        <v>55.1</v>
      </c>
      <c r="BB260" s="8" t="str">
        <f t="shared" si="71"/>
        <v>-</v>
      </c>
      <c r="BC260" s="2"/>
      <c r="BD260" s="8" t="str">
        <f t="shared" si="72"/>
        <v>+</v>
      </c>
      <c r="BE260" s="2">
        <v>71.599999999999994</v>
      </c>
      <c r="BF260" s="8" t="str">
        <f t="shared" si="63"/>
        <v>+</v>
      </c>
      <c r="BG260" s="2"/>
      <c r="BH260" s="8" t="str">
        <f t="shared" si="73"/>
        <v>+</v>
      </c>
      <c r="BI260" s="2"/>
      <c r="BJ260" s="8" t="str">
        <f t="shared" si="74"/>
        <v>+</v>
      </c>
      <c r="BK260" s="2"/>
      <c r="BL260" s="8" t="str">
        <f t="shared" si="75"/>
        <v>+</v>
      </c>
    </row>
    <row r="261" spans="1:64">
      <c r="A261" s="1">
        <v>26146</v>
      </c>
      <c r="B261">
        <v>54.4</v>
      </c>
      <c r="C261">
        <v>57.8</v>
      </c>
      <c r="D261">
        <v>49.5</v>
      </c>
      <c r="E261">
        <v>56.8</v>
      </c>
      <c r="F261">
        <v>47.4</v>
      </c>
      <c r="G261">
        <v>58.9</v>
      </c>
      <c r="I261">
        <v>72.599999999999994</v>
      </c>
      <c r="W261" s="1">
        <v>26146</v>
      </c>
      <c r="X261">
        <v>99.029999000000004</v>
      </c>
      <c r="Y261" s="4">
        <f t="shared" si="76"/>
        <v>3.6095385308738646E-2</v>
      </c>
      <c r="Z261" s="4">
        <f t="shared" si="64"/>
        <v>0.21479394804197552</v>
      </c>
      <c r="AA261">
        <v>54.4</v>
      </c>
      <c r="AB261">
        <f t="shared" si="65"/>
        <v>49.5</v>
      </c>
      <c r="AP261" s="3">
        <v>26115</v>
      </c>
      <c r="AQ261" s="2">
        <v>53.8</v>
      </c>
      <c r="AR261" s="2" t="str">
        <f t="shared" si="66"/>
        <v>-</v>
      </c>
      <c r="AS261" s="2">
        <v>57.9</v>
      </c>
      <c r="AT261" s="8" t="str">
        <f t="shared" si="67"/>
        <v>+</v>
      </c>
      <c r="AU261" s="2">
        <v>55.4</v>
      </c>
      <c r="AV261" s="8" t="str">
        <f t="shared" si="68"/>
        <v>-</v>
      </c>
      <c r="AW261" s="2">
        <v>47.5</v>
      </c>
      <c r="AX261" s="8" t="str">
        <f t="shared" si="69"/>
        <v>+</v>
      </c>
      <c r="AY261" s="2">
        <v>47.9</v>
      </c>
      <c r="AZ261" s="8" t="str">
        <f t="shared" si="70"/>
        <v>-</v>
      </c>
      <c r="BA261" s="2">
        <v>59</v>
      </c>
      <c r="BB261" s="8" t="str">
        <f t="shared" si="71"/>
        <v>+</v>
      </c>
      <c r="BC261" s="2"/>
      <c r="BD261" s="8" t="str">
        <f t="shared" si="72"/>
        <v>+</v>
      </c>
      <c r="BE261" s="2">
        <v>78.099999999999994</v>
      </c>
      <c r="BF261" s="8" t="str">
        <f t="shared" si="63"/>
        <v>+</v>
      </c>
      <c r="BG261" s="2"/>
      <c r="BH261" s="8" t="str">
        <f t="shared" si="73"/>
        <v>+</v>
      </c>
      <c r="BI261" s="2"/>
      <c r="BJ261" s="8" t="str">
        <f t="shared" si="74"/>
        <v>+</v>
      </c>
      <c r="BK261" s="2"/>
      <c r="BL261" s="8" t="str">
        <f t="shared" si="75"/>
        <v>+</v>
      </c>
    </row>
    <row r="262" spans="1:64">
      <c r="A262" s="1">
        <v>26177</v>
      </c>
      <c r="B262">
        <v>53.6</v>
      </c>
      <c r="C262">
        <v>58.4</v>
      </c>
      <c r="D262">
        <v>48.4</v>
      </c>
      <c r="E262">
        <v>55.6</v>
      </c>
      <c r="F262">
        <v>49.7</v>
      </c>
      <c r="G262">
        <v>50.9</v>
      </c>
      <c r="I262">
        <v>72.400000000000006</v>
      </c>
      <c r="W262" s="1">
        <v>26177</v>
      </c>
      <c r="X262">
        <v>98.339995999999999</v>
      </c>
      <c r="Y262" s="4">
        <f t="shared" si="76"/>
        <v>-6.9676159443362645E-3</v>
      </c>
      <c r="Z262" s="4">
        <f t="shared" si="64"/>
        <v>0.16654795374087941</v>
      </c>
      <c r="AA262">
        <v>53.6</v>
      </c>
      <c r="AB262">
        <f t="shared" si="65"/>
        <v>47.3</v>
      </c>
      <c r="AP262" s="3">
        <v>26146</v>
      </c>
      <c r="AQ262" s="2">
        <v>54.4</v>
      </c>
      <c r="AR262" s="2" t="str">
        <f t="shared" si="66"/>
        <v>+</v>
      </c>
      <c r="AS262" s="2">
        <v>57.8</v>
      </c>
      <c r="AT262" s="8" t="str">
        <f t="shared" si="67"/>
        <v>-</v>
      </c>
      <c r="AU262" s="2">
        <v>56.8</v>
      </c>
      <c r="AV262" s="8" t="str">
        <f t="shared" si="68"/>
        <v>+</v>
      </c>
      <c r="AW262" s="2">
        <v>49.5</v>
      </c>
      <c r="AX262" s="8" t="str">
        <f t="shared" si="69"/>
        <v>+</v>
      </c>
      <c r="AY262" s="2">
        <v>47.4</v>
      </c>
      <c r="AZ262" s="8" t="str">
        <f t="shared" si="70"/>
        <v>-</v>
      </c>
      <c r="BA262" s="2">
        <v>58.9</v>
      </c>
      <c r="BB262" s="8" t="str">
        <f t="shared" si="71"/>
        <v>-</v>
      </c>
      <c r="BC262" s="2"/>
      <c r="BD262" s="8" t="str">
        <f t="shared" si="72"/>
        <v>+</v>
      </c>
      <c r="BE262" s="2">
        <v>72.599999999999994</v>
      </c>
      <c r="BF262" s="8" t="str">
        <f t="shared" ref="BF262:BF325" si="77">IF(OR(BE262&gt;BE261,BE262=BE261),"+","-")</f>
        <v>-</v>
      </c>
      <c r="BG262" s="2"/>
      <c r="BH262" s="8" t="str">
        <f t="shared" si="73"/>
        <v>+</v>
      </c>
      <c r="BI262" s="2"/>
      <c r="BJ262" s="8" t="str">
        <f t="shared" si="74"/>
        <v>+</v>
      </c>
      <c r="BK262" s="2"/>
      <c r="BL262" s="8" t="str">
        <f t="shared" si="75"/>
        <v>+</v>
      </c>
    </row>
    <row r="263" spans="1:64">
      <c r="A263" s="1">
        <v>26207</v>
      </c>
      <c r="B263">
        <v>55.1</v>
      </c>
      <c r="C263">
        <v>61</v>
      </c>
      <c r="D263">
        <v>53</v>
      </c>
      <c r="E263">
        <v>59.3</v>
      </c>
      <c r="F263">
        <v>48.9</v>
      </c>
      <c r="G263">
        <v>40.200000000000003</v>
      </c>
      <c r="I263">
        <v>52.3</v>
      </c>
      <c r="W263" s="1">
        <v>26207</v>
      </c>
      <c r="X263">
        <v>94.230002999999996</v>
      </c>
      <c r="Y263" s="4">
        <f t="shared" si="76"/>
        <v>-4.1793707211458531E-2</v>
      </c>
      <c r="Z263" s="4">
        <f t="shared" si="64"/>
        <v>0.13189192792792789</v>
      </c>
      <c r="AA263">
        <v>55.1</v>
      </c>
      <c r="AB263">
        <f t="shared" si="65"/>
        <v>44.1</v>
      </c>
      <c r="AP263" s="3">
        <v>26177</v>
      </c>
      <c r="AQ263" s="2">
        <v>53.6</v>
      </c>
      <c r="AR263" s="2" t="str">
        <f t="shared" si="66"/>
        <v>-</v>
      </c>
      <c r="AS263" s="2">
        <v>58.4</v>
      </c>
      <c r="AT263" s="8" t="str">
        <f t="shared" si="67"/>
        <v>+</v>
      </c>
      <c r="AU263" s="2">
        <v>55.6</v>
      </c>
      <c r="AV263" s="8" t="str">
        <f t="shared" si="68"/>
        <v>-</v>
      </c>
      <c r="AW263" s="2">
        <v>48.4</v>
      </c>
      <c r="AX263" s="8" t="str">
        <f t="shared" si="69"/>
        <v>-</v>
      </c>
      <c r="AY263" s="2">
        <v>49.7</v>
      </c>
      <c r="AZ263" s="8" t="str">
        <f t="shared" si="70"/>
        <v>+</v>
      </c>
      <c r="BA263" s="2">
        <v>50.9</v>
      </c>
      <c r="BB263" s="8" t="str">
        <f t="shared" si="71"/>
        <v>-</v>
      </c>
      <c r="BC263" s="2"/>
      <c r="BD263" s="8" t="str">
        <f t="shared" si="72"/>
        <v>+</v>
      </c>
      <c r="BE263" s="2">
        <v>72.400000000000006</v>
      </c>
      <c r="BF263" s="8" t="str">
        <f t="shared" si="77"/>
        <v>-</v>
      </c>
      <c r="BG263" s="2"/>
      <c r="BH263" s="8" t="str">
        <f t="shared" si="73"/>
        <v>+</v>
      </c>
      <c r="BI263" s="2"/>
      <c r="BJ263" s="8" t="str">
        <f t="shared" si="74"/>
        <v>+</v>
      </c>
      <c r="BK263" s="2"/>
      <c r="BL263" s="8" t="str">
        <f t="shared" si="75"/>
        <v>+</v>
      </c>
    </row>
    <row r="264" spans="1:64">
      <c r="A264" s="1">
        <v>26238</v>
      </c>
      <c r="B264">
        <v>55</v>
      </c>
      <c r="C264">
        <v>61.4</v>
      </c>
      <c r="D264">
        <v>49.8</v>
      </c>
      <c r="E264">
        <v>60.8</v>
      </c>
      <c r="F264">
        <v>50.9</v>
      </c>
      <c r="G264">
        <v>38.1</v>
      </c>
      <c r="I264">
        <v>51.7</v>
      </c>
      <c r="W264" s="1">
        <v>26238</v>
      </c>
      <c r="X264">
        <v>93.989998</v>
      </c>
      <c r="Y264" s="4">
        <f t="shared" si="76"/>
        <v>-2.5470125475852579E-3</v>
      </c>
      <c r="Z264" s="4">
        <f t="shared" si="64"/>
        <v>7.7866986623864265E-2</v>
      </c>
      <c r="AA264">
        <v>55</v>
      </c>
      <c r="AB264">
        <f t="shared" si="65"/>
        <v>42.4</v>
      </c>
      <c r="AP264" s="3">
        <v>26207</v>
      </c>
      <c r="AQ264" s="2">
        <v>55.1</v>
      </c>
      <c r="AR264" s="2" t="str">
        <f t="shared" si="66"/>
        <v>+</v>
      </c>
      <c r="AS264" s="2">
        <v>61</v>
      </c>
      <c r="AT264" s="8" t="str">
        <f t="shared" si="67"/>
        <v>+</v>
      </c>
      <c r="AU264" s="2">
        <v>59.3</v>
      </c>
      <c r="AV264" s="8" t="str">
        <f t="shared" si="68"/>
        <v>+</v>
      </c>
      <c r="AW264" s="2">
        <v>53</v>
      </c>
      <c r="AX264" s="8" t="str">
        <f t="shared" si="69"/>
        <v>+</v>
      </c>
      <c r="AY264" s="2">
        <v>48.9</v>
      </c>
      <c r="AZ264" s="8" t="str">
        <f t="shared" si="70"/>
        <v>-</v>
      </c>
      <c r="BA264" s="2">
        <v>40.200000000000003</v>
      </c>
      <c r="BB264" s="8" t="str">
        <f t="shared" si="71"/>
        <v>-</v>
      </c>
      <c r="BC264" s="2"/>
      <c r="BD264" s="8" t="str">
        <f t="shared" si="72"/>
        <v>+</v>
      </c>
      <c r="BE264" s="2">
        <v>52.3</v>
      </c>
      <c r="BF264" s="8" t="str">
        <f t="shared" si="77"/>
        <v>-</v>
      </c>
      <c r="BG264" s="2"/>
      <c r="BH264" s="8" t="str">
        <f t="shared" si="73"/>
        <v>+</v>
      </c>
      <c r="BI264" s="2"/>
      <c r="BJ264" s="8" t="str">
        <f t="shared" si="74"/>
        <v>+</v>
      </c>
      <c r="BK264" s="2"/>
      <c r="BL264" s="8" t="str">
        <f t="shared" si="75"/>
        <v>+</v>
      </c>
    </row>
    <row r="265" spans="1:64">
      <c r="A265" s="1">
        <v>26268</v>
      </c>
      <c r="B265">
        <v>52.3</v>
      </c>
      <c r="C265">
        <v>55.4</v>
      </c>
      <c r="D265">
        <v>49.3</v>
      </c>
      <c r="E265">
        <v>56.1</v>
      </c>
      <c r="F265">
        <v>50.9</v>
      </c>
      <c r="G265">
        <v>41.6</v>
      </c>
      <c r="I265">
        <v>53.9</v>
      </c>
      <c r="W265" s="1">
        <v>26268</v>
      </c>
      <c r="X265">
        <v>102.089996</v>
      </c>
      <c r="Y265" s="4">
        <f t="shared" si="76"/>
        <v>8.6179361340128977E-2</v>
      </c>
      <c r="Z265" s="4">
        <f t="shared" si="64"/>
        <v>0.10786753970987432</v>
      </c>
      <c r="AA265">
        <v>52.3</v>
      </c>
      <c r="AB265">
        <f t="shared" si="65"/>
        <v>39.700000000000003</v>
      </c>
      <c r="AP265" s="3">
        <v>26238</v>
      </c>
      <c r="AQ265" s="2">
        <v>55</v>
      </c>
      <c r="AR265" s="2" t="str">
        <f t="shared" si="66"/>
        <v>-</v>
      </c>
      <c r="AS265" s="2">
        <v>61.4</v>
      </c>
      <c r="AT265" s="8" t="str">
        <f t="shared" si="67"/>
        <v>+</v>
      </c>
      <c r="AU265" s="2">
        <v>60.8</v>
      </c>
      <c r="AV265" s="8" t="str">
        <f t="shared" si="68"/>
        <v>+</v>
      </c>
      <c r="AW265" s="2">
        <v>49.8</v>
      </c>
      <c r="AX265" s="8" t="str">
        <f t="shared" si="69"/>
        <v>-</v>
      </c>
      <c r="AY265" s="2">
        <v>50.9</v>
      </c>
      <c r="AZ265" s="8" t="str">
        <f t="shared" si="70"/>
        <v>+</v>
      </c>
      <c r="BA265" s="2">
        <v>38.1</v>
      </c>
      <c r="BB265" s="8" t="str">
        <f t="shared" si="71"/>
        <v>-</v>
      </c>
      <c r="BC265" s="2"/>
      <c r="BD265" s="8" t="str">
        <f t="shared" si="72"/>
        <v>+</v>
      </c>
      <c r="BE265" s="2">
        <v>51.7</v>
      </c>
      <c r="BF265" s="8" t="str">
        <f t="shared" si="77"/>
        <v>-</v>
      </c>
      <c r="BG265" s="2"/>
      <c r="BH265" s="8" t="str">
        <f t="shared" si="73"/>
        <v>+</v>
      </c>
      <c r="BI265" s="2"/>
      <c r="BJ265" s="8" t="str">
        <f t="shared" si="74"/>
        <v>+</v>
      </c>
      <c r="BK265" s="2"/>
      <c r="BL265" s="8" t="str">
        <f t="shared" si="75"/>
        <v>+</v>
      </c>
    </row>
    <row r="266" spans="1:64">
      <c r="A266" s="1">
        <v>26299</v>
      </c>
      <c r="B266">
        <v>57.6</v>
      </c>
      <c r="C266">
        <v>63.5</v>
      </c>
      <c r="D266">
        <v>49</v>
      </c>
      <c r="E266">
        <v>63.9</v>
      </c>
      <c r="F266">
        <v>53.3</v>
      </c>
      <c r="G266">
        <v>47.7</v>
      </c>
      <c r="I266">
        <v>65.099999999999994</v>
      </c>
      <c r="W266" s="1">
        <v>26299</v>
      </c>
      <c r="X266">
        <v>103.94000200000001</v>
      </c>
      <c r="Y266" s="4">
        <f t="shared" si="76"/>
        <v>1.8121325031690741E-2</v>
      </c>
      <c r="Z266" s="4">
        <f t="shared" si="64"/>
        <v>8.4063467377872403E-2</v>
      </c>
      <c r="AA266">
        <v>57.6</v>
      </c>
      <c r="AB266">
        <f t="shared" si="65"/>
        <v>45.4</v>
      </c>
      <c r="AP266" s="3">
        <v>26268</v>
      </c>
      <c r="AQ266" s="2">
        <v>52.3</v>
      </c>
      <c r="AR266" s="2" t="str">
        <f t="shared" si="66"/>
        <v>-</v>
      </c>
      <c r="AS266" s="2">
        <v>55.4</v>
      </c>
      <c r="AT266" s="8" t="str">
        <f t="shared" si="67"/>
        <v>-</v>
      </c>
      <c r="AU266" s="2">
        <v>56.1</v>
      </c>
      <c r="AV266" s="8" t="str">
        <f t="shared" si="68"/>
        <v>-</v>
      </c>
      <c r="AW266" s="2">
        <v>49.3</v>
      </c>
      <c r="AX266" s="8" t="str">
        <f t="shared" si="69"/>
        <v>-</v>
      </c>
      <c r="AY266" s="2">
        <v>50.9</v>
      </c>
      <c r="AZ266" s="8" t="str">
        <f t="shared" si="70"/>
        <v>+</v>
      </c>
      <c r="BA266" s="2">
        <v>41.6</v>
      </c>
      <c r="BB266" s="8" t="str">
        <f t="shared" si="71"/>
        <v>+</v>
      </c>
      <c r="BC266" s="2"/>
      <c r="BD266" s="8" t="str">
        <f t="shared" si="72"/>
        <v>+</v>
      </c>
      <c r="BE266" s="2">
        <v>53.9</v>
      </c>
      <c r="BF266" s="8" t="str">
        <f t="shared" si="77"/>
        <v>+</v>
      </c>
      <c r="BG266" s="2"/>
      <c r="BH266" s="8" t="str">
        <f t="shared" si="73"/>
        <v>+</v>
      </c>
      <c r="BI266" s="2"/>
      <c r="BJ266" s="8" t="str">
        <f t="shared" si="74"/>
        <v>+</v>
      </c>
      <c r="BK266" s="2"/>
      <c r="BL266" s="8" t="str">
        <f t="shared" si="75"/>
        <v>+</v>
      </c>
    </row>
    <row r="267" spans="1:64">
      <c r="A267" s="1">
        <v>26330</v>
      </c>
      <c r="B267">
        <v>59.6</v>
      </c>
      <c r="C267">
        <v>64.8</v>
      </c>
      <c r="D267">
        <v>53.3</v>
      </c>
      <c r="E267">
        <v>65.599999999999994</v>
      </c>
      <c r="F267">
        <v>55.2</v>
      </c>
      <c r="G267">
        <v>48.4</v>
      </c>
      <c r="I267">
        <v>79.3</v>
      </c>
      <c r="W267" s="1">
        <v>26330</v>
      </c>
      <c r="X267">
        <v>106.57</v>
      </c>
      <c r="Y267" s="4">
        <f t="shared" si="76"/>
        <v>2.5303039728631006E-2</v>
      </c>
      <c r="Z267" s="4">
        <f t="shared" si="64"/>
        <v>0.10149870801033585</v>
      </c>
      <c r="AA267">
        <v>59.6</v>
      </c>
      <c r="AB267">
        <f t="shared" si="65"/>
        <v>47.9</v>
      </c>
      <c r="AP267" s="3">
        <v>26299</v>
      </c>
      <c r="AQ267" s="2">
        <v>57.6</v>
      </c>
      <c r="AR267" s="2" t="str">
        <f t="shared" si="66"/>
        <v>+</v>
      </c>
      <c r="AS267" s="2">
        <v>63.5</v>
      </c>
      <c r="AT267" s="8" t="str">
        <f t="shared" si="67"/>
        <v>+</v>
      </c>
      <c r="AU267" s="2">
        <v>63.9</v>
      </c>
      <c r="AV267" s="8" t="str">
        <f t="shared" si="68"/>
        <v>+</v>
      </c>
      <c r="AW267" s="2">
        <v>49</v>
      </c>
      <c r="AX267" s="8" t="str">
        <f t="shared" si="69"/>
        <v>-</v>
      </c>
      <c r="AY267" s="2">
        <v>53.3</v>
      </c>
      <c r="AZ267" s="8" t="str">
        <f t="shared" si="70"/>
        <v>+</v>
      </c>
      <c r="BA267" s="2">
        <v>47.7</v>
      </c>
      <c r="BB267" s="8" t="str">
        <f t="shared" si="71"/>
        <v>+</v>
      </c>
      <c r="BC267" s="2"/>
      <c r="BD267" s="8" t="str">
        <f t="shared" si="72"/>
        <v>+</v>
      </c>
      <c r="BE267" s="2">
        <v>65.099999999999994</v>
      </c>
      <c r="BF267" s="8" t="str">
        <f t="shared" si="77"/>
        <v>+</v>
      </c>
      <c r="BG267" s="2"/>
      <c r="BH267" s="8" t="str">
        <f t="shared" si="73"/>
        <v>+</v>
      </c>
      <c r="BI267" s="2"/>
      <c r="BJ267" s="8" t="str">
        <f t="shared" si="74"/>
        <v>+</v>
      </c>
      <c r="BK267" s="2"/>
      <c r="BL267" s="8" t="str">
        <f t="shared" si="75"/>
        <v>+</v>
      </c>
    </row>
    <row r="268" spans="1:64">
      <c r="A268" s="1">
        <v>26359</v>
      </c>
      <c r="B268">
        <v>60.6</v>
      </c>
      <c r="C268">
        <v>66</v>
      </c>
      <c r="D268">
        <v>54.4</v>
      </c>
      <c r="E268">
        <v>67.7</v>
      </c>
      <c r="F268">
        <v>52.6</v>
      </c>
      <c r="G268">
        <v>51.7</v>
      </c>
      <c r="I268">
        <v>74.099999999999994</v>
      </c>
      <c r="W268" s="1">
        <v>26359</v>
      </c>
      <c r="X268">
        <v>107.199997</v>
      </c>
      <c r="Y268" s="4">
        <f t="shared" si="76"/>
        <v>5.9115792436896224E-3</v>
      </c>
      <c r="Z268" s="4">
        <f t="shared" si="64"/>
        <v>6.8687061483143519E-2</v>
      </c>
      <c r="AA268">
        <v>60.6</v>
      </c>
      <c r="AB268">
        <f t="shared" si="65"/>
        <v>54.8</v>
      </c>
      <c r="AP268" s="3">
        <v>26330</v>
      </c>
      <c r="AQ268" s="2">
        <v>59.6</v>
      </c>
      <c r="AR268" s="2" t="str">
        <f t="shared" si="66"/>
        <v>+</v>
      </c>
      <c r="AS268" s="2">
        <v>64.8</v>
      </c>
      <c r="AT268" s="8" t="str">
        <f t="shared" si="67"/>
        <v>+</v>
      </c>
      <c r="AU268" s="2">
        <v>65.599999999999994</v>
      </c>
      <c r="AV268" s="8" t="str">
        <f t="shared" si="68"/>
        <v>+</v>
      </c>
      <c r="AW268" s="2">
        <v>53.3</v>
      </c>
      <c r="AX268" s="8" t="str">
        <f t="shared" si="69"/>
        <v>+</v>
      </c>
      <c r="AY268" s="2">
        <v>55.2</v>
      </c>
      <c r="AZ268" s="8" t="str">
        <f t="shared" si="70"/>
        <v>+</v>
      </c>
      <c r="BA268" s="2">
        <v>48.4</v>
      </c>
      <c r="BB268" s="8" t="str">
        <f t="shared" si="71"/>
        <v>+</v>
      </c>
      <c r="BC268" s="2"/>
      <c r="BD268" s="8" t="str">
        <f t="shared" si="72"/>
        <v>+</v>
      </c>
      <c r="BE268" s="2">
        <v>79.3</v>
      </c>
      <c r="BF268" s="8" t="str">
        <f t="shared" si="77"/>
        <v>+</v>
      </c>
      <c r="BG268" s="2"/>
      <c r="BH268" s="8" t="str">
        <f t="shared" si="73"/>
        <v>+</v>
      </c>
      <c r="BI268" s="2"/>
      <c r="BJ268" s="8" t="str">
        <f t="shared" si="74"/>
        <v>+</v>
      </c>
      <c r="BK268" s="2"/>
      <c r="BL268" s="8" t="str">
        <f t="shared" si="75"/>
        <v>+</v>
      </c>
    </row>
    <row r="269" spans="1:64">
      <c r="A269" s="1">
        <v>26390</v>
      </c>
      <c r="B269">
        <v>59.8</v>
      </c>
      <c r="C269">
        <v>64.599999999999994</v>
      </c>
      <c r="D269">
        <v>53.9</v>
      </c>
      <c r="E269">
        <v>63.5</v>
      </c>
      <c r="F269">
        <v>57.1</v>
      </c>
      <c r="G269">
        <v>51.5</v>
      </c>
      <c r="I269">
        <v>73.900000000000006</v>
      </c>
      <c r="W269" s="1">
        <v>26390</v>
      </c>
      <c r="X269">
        <v>107.66999800000001</v>
      </c>
      <c r="Y269" s="4">
        <f t="shared" si="76"/>
        <v>4.3843378092632834E-3</v>
      </c>
      <c r="Z269" s="4">
        <f t="shared" si="64"/>
        <v>3.5786446439243384E-2</v>
      </c>
      <c r="AA269">
        <v>59.8</v>
      </c>
      <c r="AB269">
        <f t="shared" si="65"/>
        <v>51.2</v>
      </c>
      <c r="AP269" s="3">
        <v>26359</v>
      </c>
      <c r="AQ269" s="2">
        <v>60.6</v>
      </c>
      <c r="AR269" s="2" t="str">
        <f t="shared" si="66"/>
        <v>+</v>
      </c>
      <c r="AS269" s="2">
        <v>66</v>
      </c>
      <c r="AT269" s="8" t="str">
        <f t="shared" si="67"/>
        <v>+</v>
      </c>
      <c r="AU269" s="2">
        <v>67.7</v>
      </c>
      <c r="AV269" s="8" t="str">
        <f t="shared" si="68"/>
        <v>+</v>
      </c>
      <c r="AW269" s="2">
        <v>54.4</v>
      </c>
      <c r="AX269" s="8" t="str">
        <f t="shared" si="69"/>
        <v>+</v>
      </c>
      <c r="AY269" s="2">
        <v>52.6</v>
      </c>
      <c r="AZ269" s="8" t="str">
        <f t="shared" si="70"/>
        <v>-</v>
      </c>
      <c r="BA269" s="2">
        <v>51.7</v>
      </c>
      <c r="BB269" s="8" t="str">
        <f t="shared" si="71"/>
        <v>+</v>
      </c>
      <c r="BC269" s="2"/>
      <c r="BD269" s="8" t="str">
        <f t="shared" si="72"/>
        <v>+</v>
      </c>
      <c r="BE269" s="2">
        <v>74.099999999999994</v>
      </c>
      <c r="BF269" s="8" t="str">
        <f t="shared" si="77"/>
        <v>-</v>
      </c>
      <c r="BG269" s="2"/>
      <c r="BH269" s="8" t="str">
        <f t="shared" si="73"/>
        <v>+</v>
      </c>
      <c r="BI269" s="2"/>
      <c r="BJ269" s="8" t="str">
        <f t="shared" si="74"/>
        <v>+</v>
      </c>
      <c r="BK269" s="2"/>
      <c r="BL269" s="8" t="str">
        <f t="shared" si="75"/>
        <v>+</v>
      </c>
    </row>
    <row r="270" spans="1:64">
      <c r="A270" s="1">
        <v>26420</v>
      </c>
      <c r="B270">
        <v>59.3</v>
      </c>
      <c r="C270">
        <v>63</v>
      </c>
      <c r="D270">
        <v>55.9</v>
      </c>
      <c r="E270">
        <v>62.6</v>
      </c>
      <c r="F270">
        <v>55</v>
      </c>
      <c r="G270">
        <v>52.3</v>
      </c>
      <c r="I270">
        <v>73.400000000000006</v>
      </c>
      <c r="W270" s="1">
        <v>26420</v>
      </c>
      <c r="X270">
        <v>109.529999</v>
      </c>
      <c r="Y270" s="4">
        <f t="shared" si="76"/>
        <v>1.7275016574254946E-2</v>
      </c>
      <c r="Z270" s="4">
        <f t="shared" si="64"/>
        <v>9.936768340964619E-2</v>
      </c>
      <c r="AA270">
        <v>59.3</v>
      </c>
      <c r="AB270">
        <f t="shared" si="65"/>
        <v>54.5</v>
      </c>
      <c r="AP270" s="3">
        <v>26390</v>
      </c>
      <c r="AQ270" s="2">
        <v>59.8</v>
      </c>
      <c r="AR270" s="2" t="str">
        <f t="shared" si="66"/>
        <v>-</v>
      </c>
      <c r="AS270" s="2">
        <v>64.599999999999994</v>
      </c>
      <c r="AT270" s="8" t="str">
        <f t="shared" si="67"/>
        <v>-</v>
      </c>
      <c r="AU270" s="2">
        <v>63.5</v>
      </c>
      <c r="AV270" s="8" t="str">
        <f t="shared" si="68"/>
        <v>-</v>
      </c>
      <c r="AW270" s="2">
        <v>53.9</v>
      </c>
      <c r="AX270" s="8" t="str">
        <f t="shared" si="69"/>
        <v>-</v>
      </c>
      <c r="AY270" s="2">
        <v>57.1</v>
      </c>
      <c r="AZ270" s="8" t="str">
        <f t="shared" si="70"/>
        <v>+</v>
      </c>
      <c r="BA270" s="2">
        <v>51.5</v>
      </c>
      <c r="BB270" s="8" t="str">
        <f t="shared" si="71"/>
        <v>-</v>
      </c>
      <c r="BC270" s="2"/>
      <c r="BD270" s="8" t="str">
        <f t="shared" si="72"/>
        <v>+</v>
      </c>
      <c r="BE270" s="2">
        <v>73.900000000000006</v>
      </c>
      <c r="BF270" s="8" t="str">
        <f t="shared" si="77"/>
        <v>-</v>
      </c>
      <c r="BG270" s="2"/>
      <c r="BH270" s="8" t="str">
        <f t="shared" si="73"/>
        <v>+</v>
      </c>
      <c r="BI270" s="2"/>
      <c r="BJ270" s="8" t="str">
        <f t="shared" si="74"/>
        <v>+</v>
      </c>
      <c r="BK270" s="2"/>
      <c r="BL270" s="8" t="str">
        <f t="shared" si="75"/>
        <v>+</v>
      </c>
    </row>
    <row r="271" spans="1:64">
      <c r="A271" s="1">
        <v>26451</v>
      </c>
      <c r="B271">
        <v>61.4</v>
      </c>
      <c r="C271">
        <v>66.900000000000006</v>
      </c>
      <c r="D271">
        <v>56</v>
      </c>
      <c r="E271">
        <v>65.7</v>
      </c>
      <c r="F271">
        <v>56.1</v>
      </c>
      <c r="G271">
        <v>53.1</v>
      </c>
      <c r="I271">
        <v>71.400000000000006</v>
      </c>
      <c r="W271" s="1">
        <v>26451</v>
      </c>
      <c r="X271">
        <v>107.139999</v>
      </c>
      <c r="Y271" s="4">
        <f t="shared" si="76"/>
        <v>-2.1820505996717855E-2</v>
      </c>
      <c r="Z271" s="4">
        <f t="shared" ref="Z271:Z334" si="78">(X271-X259)/X259</f>
        <v>8.5511674331661902E-2</v>
      </c>
      <c r="AA271">
        <v>61.4</v>
      </c>
      <c r="AB271">
        <f t="shared" ref="AB271:AB334" si="79">AA259</f>
        <v>54.2</v>
      </c>
      <c r="AP271" s="3">
        <v>26420</v>
      </c>
      <c r="AQ271" s="2">
        <v>59.3</v>
      </c>
      <c r="AR271" s="2" t="str">
        <f t="shared" si="66"/>
        <v>-</v>
      </c>
      <c r="AS271" s="2">
        <v>63</v>
      </c>
      <c r="AT271" s="8" t="str">
        <f t="shared" si="67"/>
        <v>-</v>
      </c>
      <c r="AU271" s="2">
        <v>62.6</v>
      </c>
      <c r="AV271" s="8" t="str">
        <f t="shared" si="68"/>
        <v>-</v>
      </c>
      <c r="AW271" s="2">
        <v>55.9</v>
      </c>
      <c r="AX271" s="8" t="str">
        <f t="shared" si="69"/>
        <v>+</v>
      </c>
      <c r="AY271" s="2">
        <v>55</v>
      </c>
      <c r="AZ271" s="8" t="str">
        <f t="shared" si="70"/>
        <v>-</v>
      </c>
      <c r="BA271" s="2">
        <v>52.3</v>
      </c>
      <c r="BB271" s="8" t="str">
        <f t="shared" si="71"/>
        <v>+</v>
      </c>
      <c r="BC271" s="2"/>
      <c r="BD271" s="8" t="str">
        <f t="shared" si="72"/>
        <v>+</v>
      </c>
      <c r="BE271" s="2">
        <v>73.400000000000006</v>
      </c>
      <c r="BF271" s="8" t="str">
        <f t="shared" si="77"/>
        <v>-</v>
      </c>
      <c r="BG271" s="2"/>
      <c r="BH271" s="8" t="str">
        <f t="shared" si="73"/>
        <v>+</v>
      </c>
      <c r="BI271" s="2"/>
      <c r="BJ271" s="8" t="str">
        <f t="shared" si="74"/>
        <v>+</v>
      </c>
      <c r="BK271" s="2"/>
      <c r="BL271" s="8" t="str">
        <f t="shared" si="75"/>
        <v>+</v>
      </c>
    </row>
    <row r="272" spans="1:64">
      <c r="A272" s="1">
        <v>26481</v>
      </c>
      <c r="B272">
        <v>58.6</v>
      </c>
      <c r="C272">
        <v>62.1</v>
      </c>
      <c r="D272">
        <v>53.9</v>
      </c>
      <c r="E272">
        <v>62.2</v>
      </c>
      <c r="F272">
        <v>57.7</v>
      </c>
      <c r="G272">
        <v>49.6</v>
      </c>
      <c r="I272">
        <v>70.2</v>
      </c>
      <c r="W272" s="1">
        <v>26481</v>
      </c>
      <c r="X272">
        <v>107.389999</v>
      </c>
      <c r="Y272" s="4">
        <f t="shared" si="76"/>
        <v>2.3333955789937985E-3</v>
      </c>
      <c r="Z272" s="4">
        <f t="shared" si="78"/>
        <v>0.12356138054904006</v>
      </c>
      <c r="AA272">
        <v>58.6</v>
      </c>
      <c r="AB272">
        <f t="shared" si="79"/>
        <v>53.8</v>
      </c>
      <c r="AP272" s="3">
        <v>26451</v>
      </c>
      <c r="AQ272" s="2">
        <v>61.4</v>
      </c>
      <c r="AR272" s="2" t="str">
        <f t="shared" si="66"/>
        <v>+</v>
      </c>
      <c r="AS272" s="2">
        <v>66.900000000000006</v>
      </c>
      <c r="AT272" s="8" t="str">
        <f t="shared" si="67"/>
        <v>+</v>
      </c>
      <c r="AU272" s="2">
        <v>65.7</v>
      </c>
      <c r="AV272" s="8" t="str">
        <f t="shared" si="68"/>
        <v>+</v>
      </c>
      <c r="AW272" s="2">
        <v>56</v>
      </c>
      <c r="AX272" s="8" t="str">
        <f t="shared" si="69"/>
        <v>+</v>
      </c>
      <c r="AY272" s="2">
        <v>56.1</v>
      </c>
      <c r="AZ272" s="8" t="str">
        <f t="shared" si="70"/>
        <v>+</v>
      </c>
      <c r="BA272" s="2">
        <v>53.1</v>
      </c>
      <c r="BB272" s="8" t="str">
        <f t="shared" si="71"/>
        <v>+</v>
      </c>
      <c r="BC272" s="2"/>
      <c r="BD272" s="8" t="str">
        <f t="shared" si="72"/>
        <v>+</v>
      </c>
      <c r="BE272" s="2">
        <v>71.400000000000006</v>
      </c>
      <c r="BF272" s="8" t="str">
        <f t="shared" si="77"/>
        <v>-</v>
      </c>
      <c r="BG272" s="2"/>
      <c r="BH272" s="8" t="str">
        <f t="shared" si="73"/>
        <v>+</v>
      </c>
      <c r="BI272" s="2"/>
      <c r="BJ272" s="8" t="str">
        <f t="shared" si="74"/>
        <v>+</v>
      </c>
      <c r="BK272" s="2"/>
      <c r="BL272" s="8" t="str">
        <f t="shared" si="75"/>
        <v>+</v>
      </c>
    </row>
    <row r="273" spans="1:64">
      <c r="A273" s="1">
        <v>26512</v>
      </c>
      <c r="B273">
        <v>60.1</v>
      </c>
      <c r="C273">
        <v>64.7</v>
      </c>
      <c r="D273">
        <v>52.1</v>
      </c>
      <c r="E273">
        <v>65.3</v>
      </c>
      <c r="F273">
        <v>61.7</v>
      </c>
      <c r="G273">
        <v>46.7</v>
      </c>
      <c r="I273">
        <v>70.599999999999994</v>
      </c>
      <c r="W273" s="1">
        <v>26512</v>
      </c>
      <c r="X273">
        <v>111.089996</v>
      </c>
      <c r="Y273" s="4">
        <f t="shared" si="76"/>
        <v>3.4453832148745957E-2</v>
      </c>
      <c r="Z273" s="4">
        <f t="shared" si="78"/>
        <v>0.12178124933637528</v>
      </c>
      <c r="AA273">
        <v>60.1</v>
      </c>
      <c r="AB273">
        <f t="shared" si="79"/>
        <v>54.4</v>
      </c>
      <c r="AP273" s="3">
        <v>26481</v>
      </c>
      <c r="AQ273" s="2">
        <v>58.6</v>
      </c>
      <c r="AR273" s="2" t="str">
        <f t="shared" si="66"/>
        <v>-</v>
      </c>
      <c r="AS273" s="2">
        <v>62.1</v>
      </c>
      <c r="AT273" s="8" t="str">
        <f t="shared" si="67"/>
        <v>-</v>
      </c>
      <c r="AU273" s="2">
        <v>62.2</v>
      </c>
      <c r="AV273" s="8" t="str">
        <f t="shared" si="68"/>
        <v>-</v>
      </c>
      <c r="AW273" s="2">
        <v>53.9</v>
      </c>
      <c r="AX273" s="8" t="str">
        <f t="shared" si="69"/>
        <v>-</v>
      </c>
      <c r="AY273" s="2">
        <v>57.7</v>
      </c>
      <c r="AZ273" s="8" t="str">
        <f t="shared" si="70"/>
        <v>+</v>
      </c>
      <c r="BA273" s="2">
        <v>49.6</v>
      </c>
      <c r="BB273" s="8" t="str">
        <f t="shared" si="71"/>
        <v>-</v>
      </c>
      <c r="BC273" s="2"/>
      <c r="BD273" s="8" t="str">
        <f t="shared" si="72"/>
        <v>+</v>
      </c>
      <c r="BE273" s="2">
        <v>70.2</v>
      </c>
      <c r="BF273" s="8" t="str">
        <f t="shared" si="77"/>
        <v>-</v>
      </c>
      <c r="BG273" s="2"/>
      <c r="BH273" s="8" t="str">
        <f t="shared" si="73"/>
        <v>+</v>
      </c>
      <c r="BI273" s="2"/>
      <c r="BJ273" s="8" t="str">
        <f t="shared" si="74"/>
        <v>+</v>
      </c>
      <c r="BK273" s="2"/>
      <c r="BL273" s="8" t="str">
        <f t="shared" si="75"/>
        <v>+</v>
      </c>
    </row>
    <row r="274" spans="1:64">
      <c r="A274" s="1">
        <v>26543</v>
      </c>
      <c r="B274">
        <v>61.7</v>
      </c>
      <c r="C274">
        <v>65.099999999999994</v>
      </c>
      <c r="D274">
        <v>57.1</v>
      </c>
      <c r="E274">
        <v>63.2</v>
      </c>
      <c r="F274">
        <v>62.9</v>
      </c>
      <c r="G274">
        <v>55.5</v>
      </c>
      <c r="I274">
        <v>70.099999999999994</v>
      </c>
      <c r="W274" s="1">
        <v>26543</v>
      </c>
      <c r="X274">
        <v>110.550003</v>
      </c>
      <c r="Y274" s="4">
        <f t="shared" si="76"/>
        <v>-4.8608607385312672E-3</v>
      </c>
      <c r="Z274" s="4">
        <f t="shared" si="78"/>
        <v>0.12416115005739888</v>
      </c>
      <c r="AA274">
        <v>61.7</v>
      </c>
      <c r="AB274">
        <f t="shared" si="79"/>
        <v>53.6</v>
      </c>
      <c r="AP274" s="3">
        <v>26512</v>
      </c>
      <c r="AQ274" s="2">
        <v>60.1</v>
      </c>
      <c r="AR274" s="2" t="str">
        <f t="shared" si="66"/>
        <v>+</v>
      </c>
      <c r="AS274" s="2">
        <v>64.7</v>
      </c>
      <c r="AT274" s="8" t="str">
        <f t="shared" si="67"/>
        <v>+</v>
      </c>
      <c r="AU274" s="2">
        <v>65.3</v>
      </c>
      <c r="AV274" s="8" t="str">
        <f t="shared" si="68"/>
        <v>+</v>
      </c>
      <c r="AW274" s="2">
        <v>52.1</v>
      </c>
      <c r="AX274" s="8" t="str">
        <f t="shared" si="69"/>
        <v>-</v>
      </c>
      <c r="AY274" s="2">
        <v>61.7</v>
      </c>
      <c r="AZ274" s="8" t="str">
        <f t="shared" si="70"/>
        <v>+</v>
      </c>
      <c r="BA274" s="2">
        <v>46.7</v>
      </c>
      <c r="BB274" s="8" t="str">
        <f t="shared" si="71"/>
        <v>-</v>
      </c>
      <c r="BC274" s="2"/>
      <c r="BD274" s="8" t="str">
        <f t="shared" si="72"/>
        <v>+</v>
      </c>
      <c r="BE274" s="2">
        <v>70.599999999999994</v>
      </c>
      <c r="BF274" s="8" t="str">
        <f t="shared" si="77"/>
        <v>+</v>
      </c>
      <c r="BG274" s="2"/>
      <c r="BH274" s="8" t="str">
        <f t="shared" si="73"/>
        <v>+</v>
      </c>
      <c r="BI274" s="2"/>
      <c r="BJ274" s="8" t="str">
        <f t="shared" si="74"/>
        <v>+</v>
      </c>
      <c r="BK274" s="2"/>
      <c r="BL274" s="8" t="str">
        <f t="shared" si="75"/>
        <v>+</v>
      </c>
    </row>
    <row r="275" spans="1:64">
      <c r="A275" s="1">
        <v>26573</v>
      </c>
      <c r="B275">
        <v>65.099999999999994</v>
      </c>
      <c r="C275">
        <v>69.3</v>
      </c>
      <c r="D275">
        <v>58.6</v>
      </c>
      <c r="E275">
        <v>68.3</v>
      </c>
      <c r="F275">
        <v>65.5</v>
      </c>
      <c r="G275">
        <v>56.8</v>
      </c>
      <c r="I275">
        <v>67.8</v>
      </c>
      <c r="W275" s="1">
        <v>26573</v>
      </c>
      <c r="X275">
        <v>111.58000199999999</v>
      </c>
      <c r="Y275" s="4">
        <f t="shared" si="76"/>
        <v>9.3170418095781457E-3</v>
      </c>
      <c r="Z275" s="4">
        <f t="shared" si="78"/>
        <v>0.18412393555797718</v>
      </c>
      <c r="AA275">
        <v>65.099999999999994</v>
      </c>
      <c r="AB275">
        <f t="shared" si="79"/>
        <v>55.1</v>
      </c>
      <c r="AP275" s="3">
        <v>26543</v>
      </c>
      <c r="AQ275" s="2">
        <v>61.7</v>
      </c>
      <c r="AR275" s="2" t="str">
        <f t="shared" si="66"/>
        <v>+</v>
      </c>
      <c r="AS275" s="2">
        <v>65.099999999999994</v>
      </c>
      <c r="AT275" s="8" t="str">
        <f t="shared" si="67"/>
        <v>+</v>
      </c>
      <c r="AU275" s="2">
        <v>63.2</v>
      </c>
      <c r="AV275" s="8" t="str">
        <f t="shared" si="68"/>
        <v>-</v>
      </c>
      <c r="AW275" s="2">
        <v>57.1</v>
      </c>
      <c r="AX275" s="8" t="str">
        <f t="shared" si="69"/>
        <v>+</v>
      </c>
      <c r="AY275" s="2">
        <v>62.9</v>
      </c>
      <c r="AZ275" s="8" t="str">
        <f t="shared" si="70"/>
        <v>+</v>
      </c>
      <c r="BA275" s="2">
        <v>55.5</v>
      </c>
      <c r="BB275" s="8" t="str">
        <f t="shared" si="71"/>
        <v>+</v>
      </c>
      <c r="BC275" s="2"/>
      <c r="BD275" s="8" t="str">
        <f t="shared" si="72"/>
        <v>+</v>
      </c>
      <c r="BE275" s="2">
        <v>70.099999999999994</v>
      </c>
      <c r="BF275" s="8" t="str">
        <f t="shared" si="77"/>
        <v>-</v>
      </c>
      <c r="BG275" s="2"/>
      <c r="BH275" s="8" t="str">
        <f t="shared" si="73"/>
        <v>+</v>
      </c>
      <c r="BI275" s="2"/>
      <c r="BJ275" s="8" t="str">
        <f t="shared" si="74"/>
        <v>+</v>
      </c>
      <c r="BK275" s="2"/>
      <c r="BL275" s="8" t="str">
        <f t="shared" si="75"/>
        <v>+</v>
      </c>
    </row>
    <row r="276" spans="1:64">
      <c r="A276" s="1">
        <v>26604</v>
      </c>
      <c r="B276">
        <v>67</v>
      </c>
      <c r="C276">
        <v>70.8</v>
      </c>
      <c r="D276">
        <v>59</v>
      </c>
      <c r="E276">
        <v>66.900000000000006</v>
      </c>
      <c r="F276">
        <v>73</v>
      </c>
      <c r="G276">
        <v>63</v>
      </c>
      <c r="I276">
        <v>72</v>
      </c>
      <c r="W276" s="1">
        <v>26604</v>
      </c>
      <c r="X276">
        <v>116.66999800000001</v>
      </c>
      <c r="Y276" s="4">
        <f t="shared" si="76"/>
        <v>4.561745750820128E-2</v>
      </c>
      <c r="Z276" s="4">
        <f t="shared" si="78"/>
        <v>0.24130227133316895</v>
      </c>
      <c r="AA276">
        <v>67</v>
      </c>
      <c r="AB276">
        <f t="shared" si="79"/>
        <v>55</v>
      </c>
      <c r="AP276" s="3">
        <v>26573</v>
      </c>
      <c r="AQ276" s="2">
        <v>65.099999999999994</v>
      </c>
      <c r="AR276" s="2" t="str">
        <f t="shared" si="66"/>
        <v>+</v>
      </c>
      <c r="AS276" s="2">
        <v>69.3</v>
      </c>
      <c r="AT276" s="8" t="str">
        <f t="shared" si="67"/>
        <v>+</v>
      </c>
      <c r="AU276" s="2">
        <v>68.3</v>
      </c>
      <c r="AV276" s="8" t="str">
        <f t="shared" si="68"/>
        <v>+</v>
      </c>
      <c r="AW276" s="2">
        <v>58.6</v>
      </c>
      <c r="AX276" s="8" t="str">
        <f t="shared" si="69"/>
        <v>+</v>
      </c>
      <c r="AY276" s="2">
        <v>65.5</v>
      </c>
      <c r="AZ276" s="8" t="str">
        <f t="shared" si="70"/>
        <v>+</v>
      </c>
      <c r="BA276" s="2">
        <v>56.8</v>
      </c>
      <c r="BB276" s="8" t="str">
        <f t="shared" si="71"/>
        <v>+</v>
      </c>
      <c r="BC276" s="2"/>
      <c r="BD276" s="8" t="str">
        <f t="shared" si="72"/>
        <v>+</v>
      </c>
      <c r="BE276" s="2">
        <v>67.8</v>
      </c>
      <c r="BF276" s="8" t="str">
        <f t="shared" si="77"/>
        <v>-</v>
      </c>
      <c r="BG276" s="2"/>
      <c r="BH276" s="8" t="str">
        <f t="shared" si="73"/>
        <v>+</v>
      </c>
      <c r="BI276" s="2"/>
      <c r="BJ276" s="8" t="str">
        <f t="shared" si="74"/>
        <v>+</v>
      </c>
      <c r="BK276" s="2"/>
      <c r="BL276" s="8" t="str">
        <f t="shared" si="75"/>
        <v>+</v>
      </c>
    </row>
    <row r="277" spans="1:64">
      <c r="A277" s="1">
        <v>26634</v>
      </c>
      <c r="B277">
        <v>69.900000000000006</v>
      </c>
      <c r="C277">
        <v>73</v>
      </c>
      <c r="D277">
        <v>61.7</v>
      </c>
      <c r="E277">
        <v>72.7</v>
      </c>
      <c r="F277">
        <v>74.5</v>
      </c>
      <c r="G277">
        <v>63.4</v>
      </c>
      <c r="I277">
        <v>74.5</v>
      </c>
      <c r="W277" s="1">
        <v>26634</v>
      </c>
      <c r="X277">
        <v>118.050003</v>
      </c>
      <c r="Y277" s="4">
        <f t="shared" si="76"/>
        <v>1.1828276537726494E-2</v>
      </c>
      <c r="Z277" s="4">
        <f t="shared" si="78"/>
        <v>0.15633272235606713</v>
      </c>
      <c r="AA277">
        <v>69.900000000000006</v>
      </c>
      <c r="AB277">
        <f t="shared" si="79"/>
        <v>52.3</v>
      </c>
      <c r="AP277" s="3">
        <v>26604</v>
      </c>
      <c r="AQ277" s="2">
        <v>67</v>
      </c>
      <c r="AR277" s="2" t="str">
        <f t="shared" si="66"/>
        <v>+</v>
      </c>
      <c r="AS277" s="2">
        <v>70.8</v>
      </c>
      <c r="AT277" s="8" t="str">
        <f t="shared" si="67"/>
        <v>+</v>
      </c>
      <c r="AU277" s="2">
        <v>66.900000000000006</v>
      </c>
      <c r="AV277" s="8" t="str">
        <f t="shared" si="68"/>
        <v>-</v>
      </c>
      <c r="AW277" s="2">
        <v>59</v>
      </c>
      <c r="AX277" s="8" t="str">
        <f t="shared" si="69"/>
        <v>+</v>
      </c>
      <c r="AY277" s="2">
        <v>73</v>
      </c>
      <c r="AZ277" s="8" t="str">
        <f t="shared" si="70"/>
        <v>+</v>
      </c>
      <c r="BA277" s="2">
        <v>63</v>
      </c>
      <c r="BB277" s="8" t="str">
        <f t="shared" si="71"/>
        <v>+</v>
      </c>
      <c r="BC277" s="2"/>
      <c r="BD277" s="8" t="str">
        <f t="shared" si="72"/>
        <v>+</v>
      </c>
      <c r="BE277" s="2">
        <v>72</v>
      </c>
      <c r="BF277" s="8" t="str">
        <f t="shared" si="77"/>
        <v>+</v>
      </c>
      <c r="BG277" s="2"/>
      <c r="BH277" s="8" t="str">
        <f t="shared" si="73"/>
        <v>+</v>
      </c>
      <c r="BI277" s="2"/>
      <c r="BJ277" s="8" t="str">
        <f t="shared" si="74"/>
        <v>+</v>
      </c>
      <c r="BK277" s="2"/>
      <c r="BL277" s="8" t="str">
        <f t="shared" si="75"/>
        <v>+</v>
      </c>
    </row>
    <row r="278" spans="1:64">
      <c r="A278" s="1">
        <v>26665</v>
      </c>
      <c r="B278">
        <v>70.5</v>
      </c>
      <c r="C278">
        <v>71.900000000000006</v>
      </c>
      <c r="D278">
        <v>63.2</v>
      </c>
      <c r="E278">
        <v>71.8</v>
      </c>
      <c r="F278">
        <v>80.7</v>
      </c>
      <c r="G278">
        <v>62.5</v>
      </c>
      <c r="I278">
        <v>78</v>
      </c>
      <c r="W278" s="1">
        <v>26665</v>
      </c>
      <c r="X278">
        <v>116.029999</v>
      </c>
      <c r="Y278" s="4">
        <f t="shared" si="76"/>
        <v>-1.7111426926435573E-2</v>
      </c>
      <c r="Z278" s="4">
        <f t="shared" si="78"/>
        <v>0.11631707492174183</v>
      </c>
      <c r="AA278">
        <v>70.5</v>
      </c>
      <c r="AB278">
        <f t="shared" si="79"/>
        <v>57.6</v>
      </c>
      <c r="AP278" s="3">
        <v>26634</v>
      </c>
      <c r="AQ278" s="2">
        <v>69.900000000000006</v>
      </c>
      <c r="AR278" s="2" t="str">
        <f t="shared" si="66"/>
        <v>+</v>
      </c>
      <c r="AS278" s="2">
        <v>73</v>
      </c>
      <c r="AT278" s="8" t="str">
        <f t="shared" si="67"/>
        <v>+</v>
      </c>
      <c r="AU278" s="2">
        <v>72.7</v>
      </c>
      <c r="AV278" s="8" t="str">
        <f t="shared" si="68"/>
        <v>+</v>
      </c>
      <c r="AW278" s="2">
        <v>61.7</v>
      </c>
      <c r="AX278" s="8" t="str">
        <f t="shared" si="69"/>
        <v>+</v>
      </c>
      <c r="AY278" s="2">
        <v>74.5</v>
      </c>
      <c r="AZ278" s="8" t="str">
        <f t="shared" si="70"/>
        <v>+</v>
      </c>
      <c r="BA278" s="2">
        <v>63.4</v>
      </c>
      <c r="BB278" s="8" t="str">
        <f t="shared" si="71"/>
        <v>+</v>
      </c>
      <c r="BC278" s="2"/>
      <c r="BD278" s="8" t="str">
        <f t="shared" si="72"/>
        <v>+</v>
      </c>
      <c r="BE278" s="2">
        <v>74.5</v>
      </c>
      <c r="BF278" s="8" t="str">
        <f t="shared" si="77"/>
        <v>+</v>
      </c>
      <c r="BG278" s="2"/>
      <c r="BH278" s="8" t="str">
        <f t="shared" si="73"/>
        <v>+</v>
      </c>
      <c r="BI278" s="2"/>
      <c r="BJ278" s="8" t="str">
        <f t="shared" si="74"/>
        <v>+</v>
      </c>
      <c r="BK278" s="2"/>
      <c r="BL278" s="8" t="str">
        <f t="shared" si="75"/>
        <v>+</v>
      </c>
    </row>
    <row r="279" spans="1:64">
      <c r="A279" s="1">
        <v>26696</v>
      </c>
      <c r="B279">
        <v>72.099999999999994</v>
      </c>
      <c r="C279">
        <v>73.8</v>
      </c>
      <c r="D279">
        <v>67.8</v>
      </c>
      <c r="E279">
        <v>71.099999999999994</v>
      </c>
      <c r="F279">
        <v>83.7</v>
      </c>
      <c r="G279">
        <v>61</v>
      </c>
      <c r="I279">
        <v>82.9</v>
      </c>
      <c r="W279" s="1">
        <v>26696</v>
      </c>
      <c r="X279">
        <v>111.68</v>
      </c>
      <c r="Y279" s="4">
        <f t="shared" si="76"/>
        <v>-3.7490295936312097E-2</v>
      </c>
      <c r="Z279" s="4">
        <f t="shared" si="78"/>
        <v>4.7949704419630423E-2</v>
      </c>
      <c r="AA279">
        <v>72.099999999999994</v>
      </c>
      <c r="AB279">
        <f t="shared" si="79"/>
        <v>59.6</v>
      </c>
      <c r="AP279" s="3">
        <v>26665</v>
      </c>
      <c r="AQ279" s="2">
        <v>70.5</v>
      </c>
      <c r="AR279" s="2" t="str">
        <f t="shared" si="66"/>
        <v>+</v>
      </c>
      <c r="AS279" s="2">
        <v>71.900000000000006</v>
      </c>
      <c r="AT279" s="8" t="str">
        <f t="shared" si="67"/>
        <v>-</v>
      </c>
      <c r="AU279" s="2">
        <v>71.8</v>
      </c>
      <c r="AV279" s="8" t="str">
        <f t="shared" si="68"/>
        <v>-</v>
      </c>
      <c r="AW279" s="2">
        <v>63.2</v>
      </c>
      <c r="AX279" s="8" t="str">
        <f t="shared" si="69"/>
        <v>+</v>
      </c>
      <c r="AY279" s="2">
        <v>80.7</v>
      </c>
      <c r="AZ279" s="8" t="str">
        <f t="shared" si="70"/>
        <v>+</v>
      </c>
      <c r="BA279" s="2">
        <v>62.5</v>
      </c>
      <c r="BB279" s="8" t="str">
        <f t="shared" si="71"/>
        <v>-</v>
      </c>
      <c r="BC279" s="2"/>
      <c r="BD279" s="8" t="str">
        <f t="shared" si="72"/>
        <v>+</v>
      </c>
      <c r="BE279" s="2">
        <v>78</v>
      </c>
      <c r="BF279" s="8" t="str">
        <f t="shared" si="77"/>
        <v>+</v>
      </c>
      <c r="BG279" s="2"/>
      <c r="BH279" s="8" t="str">
        <f t="shared" si="73"/>
        <v>+</v>
      </c>
      <c r="BI279" s="2"/>
      <c r="BJ279" s="8" t="str">
        <f t="shared" si="74"/>
        <v>+</v>
      </c>
      <c r="BK279" s="2"/>
      <c r="BL279" s="8" t="str">
        <f t="shared" si="75"/>
        <v>+</v>
      </c>
    </row>
    <row r="280" spans="1:64">
      <c r="A280" s="1">
        <v>26724</v>
      </c>
      <c r="B280">
        <v>69.599999999999994</v>
      </c>
      <c r="C280">
        <v>69</v>
      </c>
      <c r="D280">
        <v>63.2</v>
      </c>
      <c r="E280">
        <v>68.5</v>
      </c>
      <c r="F280">
        <v>85.2</v>
      </c>
      <c r="G280">
        <v>63.6</v>
      </c>
      <c r="I280">
        <v>87.8</v>
      </c>
      <c r="W280" s="1">
        <v>26724</v>
      </c>
      <c r="X280">
        <v>111.519997</v>
      </c>
      <c r="Y280" s="4">
        <f t="shared" si="76"/>
        <v>-1.4326916189112036E-3</v>
      </c>
      <c r="Z280" s="4">
        <f t="shared" si="78"/>
        <v>4.0298508590443406E-2</v>
      </c>
      <c r="AA280">
        <v>69.599999999999994</v>
      </c>
      <c r="AB280">
        <f t="shared" si="79"/>
        <v>60.6</v>
      </c>
      <c r="AP280" s="3">
        <v>26696</v>
      </c>
      <c r="AQ280" s="2">
        <v>72.099999999999994</v>
      </c>
      <c r="AR280" s="2" t="str">
        <f t="shared" si="66"/>
        <v>+</v>
      </c>
      <c r="AS280" s="2">
        <v>73.8</v>
      </c>
      <c r="AT280" s="8" t="str">
        <f t="shared" si="67"/>
        <v>+</v>
      </c>
      <c r="AU280" s="2">
        <v>71.099999999999994</v>
      </c>
      <c r="AV280" s="8" t="str">
        <f t="shared" si="68"/>
        <v>-</v>
      </c>
      <c r="AW280" s="2">
        <v>67.8</v>
      </c>
      <c r="AX280" s="8" t="str">
        <f t="shared" si="69"/>
        <v>+</v>
      </c>
      <c r="AY280" s="2">
        <v>83.7</v>
      </c>
      <c r="AZ280" s="8" t="str">
        <f t="shared" si="70"/>
        <v>+</v>
      </c>
      <c r="BA280" s="2">
        <v>61</v>
      </c>
      <c r="BB280" s="8" t="str">
        <f t="shared" si="71"/>
        <v>-</v>
      </c>
      <c r="BC280" s="2"/>
      <c r="BD280" s="8" t="str">
        <f t="shared" si="72"/>
        <v>+</v>
      </c>
      <c r="BE280" s="2">
        <v>82.9</v>
      </c>
      <c r="BF280" s="8" t="str">
        <f t="shared" si="77"/>
        <v>+</v>
      </c>
      <c r="BG280" s="2"/>
      <c r="BH280" s="8" t="str">
        <f t="shared" si="73"/>
        <v>+</v>
      </c>
      <c r="BI280" s="2"/>
      <c r="BJ280" s="8" t="str">
        <f t="shared" si="74"/>
        <v>+</v>
      </c>
      <c r="BK280" s="2"/>
      <c r="BL280" s="8" t="str">
        <f t="shared" si="75"/>
        <v>+</v>
      </c>
    </row>
    <row r="281" spans="1:64">
      <c r="A281" s="1">
        <v>26755</v>
      </c>
      <c r="B281">
        <v>69.599999999999994</v>
      </c>
      <c r="C281">
        <v>68.8</v>
      </c>
      <c r="D281">
        <v>63.6</v>
      </c>
      <c r="E281">
        <v>67.7</v>
      </c>
      <c r="F281">
        <v>87.5</v>
      </c>
      <c r="G281">
        <v>61.9</v>
      </c>
      <c r="I281">
        <v>90</v>
      </c>
      <c r="W281" s="1">
        <v>26755</v>
      </c>
      <c r="X281">
        <v>106.970001</v>
      </c>
      <c r="Y281" s="4">
        <f t="shared" si="76"/>
        <v>-4.0799821757527548E-2</v>
      </c>
      <c r="Z281" s="4">
        <f t="shared" si="78"/>
        <v>-6.5013189653817059E-3</v>
      </c>
      <c r="AA281">
        <v>69.599999999999994</v>
      </c>
      <c r="AB281">
        <f t="shared" si="79"/>
        <v>59.8</v>
      </c>
      <c r="AP281" s="3">
        <v>26724</v>
      </c>
      <c r="AQ281" s="2">
        <v>69.599999999999994</v>
      </c>
      <c r="AR281" s="2" t="str">
        <f t="shared" si="66"/>
        <v>-</v>
      </c>
      <c r="AS281" s="2">
        <v>69</v>
      </c>
      <c r="AT281" s="8" t="str">
        <f t="shared" si="67"/>
        <v>-</v>
      </c>
      <c r="AU281" s="2">
        <v>68.5</v>
      </c>
      <c r="AV281" s="8" t="str">
        <f t="shared" si="68"/>
        <v>-</v>
      </c>
      <c r="AW281" s="2">
        <v>63.2</v>
      </c>
      <c r="AX281" s="8" t="str">
        <f t="shared" si="69"/>
        <v>-</v>
      </c>
      <c r="AY281" s="2">
        <v>85.2</v>
      </c>
      <c r="AZ281" s="8" t="str">
        <f t="shared" si="70"/>
        <v>+</v>
      </c>
      <c r="BA281" s="2">
        <v>63.6</v>
      </c>
      <c r="BB281" s="8" t="str">
        <f t="shared" si="71"/>
        <v>+</v>
      </c>
      <c r="BC281" s="2"/>
      <c r="BD281" s="8" t="str">
        <f t="shared" si="72"/>
        <v>+</v>
      </c>
      <c r="BE281" s="2">
        <v>87.8</v>
      </c>
      <c r="BF281" s="8" t="str">
        <f t="shared" si="77"/>
        <v>+</v>
      </c>
      <c r="BG281" s="2"/>
      <c r="BH281" s="8" t="str">
        <f t="shared" si="73"/>
        <v>+</v>
      </c>
      <c r="BI281" s="2"/>
      <c r="BJ281" s="8" t="str">
        <f t="shared" si="74"/>
        <v>+</v>
      </c>
      <c r="BK281" s="2"/>
      <c r="BL281" s="8" t="str">
        <f t="shared" si="75"/>
        <v>+</v>
      </c>
    </row>
    <row r="282" spans="1:64">
      <c r="A282" s="1">
        <v>26785</v>
      </c>
      <c r="B282">
        <v>67.7</v>
      </c>
      <c r="C282">
        <v>65.900000000000006</v>
      </c>
      <c r="D282">
        <v>62.6</v>
      </c>
      <c r="E282">
        <v>65.599999999999994</v>
      </c>
      <c r="F282">
        <v>86.7</v>
      </c>
      <c r="G282">
        <v>59.2</v>
      </c>
      <c r="I282">
        <v>88.3</v>
      </c>
      <c r="W282" s="1">
        <v>26785</v>
      </c>
      <c r="X282">
        <v>104.949997</v>
      </c>
      <c r="Y282" s="4">
        <f t="shared" si="76"/>
        <v>-1.8883836413164101E-2</v>
      </c>
      <c r="Z282" s="4">
        <f t="shared" si="78"/>
        <v>-4.18150464878577E-2</v>
      </c>
      <c r="AA282">
        <v>67.7</v>
      </c>
      <c r="AB282">
        <f t="shared" si="79"/>
        <v>59.3</v>
      </c>
      <c r="AP282" s="3">
        <v>26755</v>
      </c>
      <c r="AQ282" s="2">
        <v>69.599999999999994</v>
      </c>
      <c r="AR282" s="2" t="str">
        <f t="shared" si="66"/>
        <v>+</v>
      </c>
      <c r="AS282" s="2">
        <v>68.8</v>
      </c>
      <c r="AT282" s="8" t="str">
        <f t="shared" si="67"/>
        <v>-</v>
      </c>
      <c r="AU282" s="2">
        <v>67.7</v>
      </c>
      <c r="AV282" s="8" t="str">
        <f t="shared" si="68"/>
        <v>-</v>
      </c>
      <c r="AW282" s="2">
        <v>63.6</v>
      </c>
      <c r="AX282" s="8" t="str">
        <f t="shared" si="69"/>
        <v>+</v>
      </c>
      <c r="AY282" s="2">
        <v>87.5</v>
      </c>
      <c r="AZ282" s="8" t="str">
        <f t="shared" si="70"/>
        <v>+</v>
      </c>
      <c r="BA282" s="2">
        <v>61.9</v>
      </c>
      <c r="BB282" s="8" t="str">
        <f t="shared" si="71"/>
        <v>-</v>
      </c>
      <c r="BC282" s="2"/>
      <c r="BD282" s="8" t="str">
        <f t="shared" si="72"/>
        <v>+</v>
      </c>
      <c r="BE282" s="2">
        <v>90</v>
      </c>
      <c r="BF282" s="8" t="str">
        <f t="shared" si="77"/>
        <v>+</v>
      </c>
      <c r="BG282" s="2"/>
      <c r="BH282" s="8" t="str">
        <f t="shared" si="73"/>
        <v>+</v>
      </c>
      <c r="BI282" s="2"/>
      <c r="BJ282" s="8" t="str">
        <f t="shared" si="74"/>
        <v>+</v>
      </c>
      <c r="BK282" s="2"/>
      <c r="BL282" s="8" t="str">
        <f t="shared" si="75"/>
        <v>+</v>
      </c>
    </row>
    <row r="283" spans="1:64">
      <c r="A283" s="1">
        <v>26816</v>
      </c>
      <c r="B283">
        <v>64.8</v>
      </c>
      <c r="C283">
        <v>63.5</v>
      </c>
      <c r="D283">
        <v>60.2</v>
      </c>
      <c r="E283">
        <v>59.2</v>
      </c>
      <c r="F283">
        <v>86.6</v>
      </c>
      <c r="G283">
        <v>59.2</v>
      </c>
      <c r="I283">
        <v>89.3</v>
      </c>
      <c r="W283" s="1">
        <v>26816</v>
      </c>
      <c r="X283">
        <v>104.260002</v>
      </c>
      <c r="Y283" s="4">
        <f t="shared" si="76"/>
        <v>-6.5745118601575206E-3</v>
      </c>
      <c r="Z283" s="4">
        <f t="shared" si="78"/>
        <v>-2.6880689069261637E-2</v>
      </c>
      <c r="AA283">
        <v>64.8</v>
      </c>
      <c r="AB283">
        <f t="shared" si="79"/>
        <v>61.4</v>
      </c>
      <c r="AP283" s="3">
        <v>26785</v>
      </c>
      <c r="AQ283" s="2">
        <v>67.7</v>
      </c>
      <c r="AR283" s="2" t="str">
        <f t="shared" si="66"/>
        <v>-</v>
      </c>
      <c r="AS283" s="2">
        <v>65.900000000000006</v>
      </c>
      <c r="AT283" s="8" t="str">
        <f t="shared" si="67"/>
        <v>-</v>
      </c>
      <c r="AU283" s="2">
        <v>65.599999999999994</v>
      </c>
      <c r="AV283" s="8" t="str">
        <f t="shared" si="68"/>
        <v>-</v>
      </c>
      <c r="AW283" s="2">
        <v>62.6</v>
      </c>
      <c r="AX283" s="8" t="str">
        <f t="shared" si="69"/>
        <v>-</v>
      </c>
      <c r="AY283" s="2">
        <v>86.7</v>
      </c>
      <c r="AZ283" s="8" t="str">
        <f t="shared" si="70"/>
        <v>-</v>
      </c>
      <c r="BA283" s="2">
        <v>59.2</v>
      </c>
      <c r="BB283" s="8" t="str">
        <f t="shared" si="71"/>
        <v>-</v>
      </c>
      <c r="BC283" s="2"/>
      <c r="BD283" s="8" t="str">
        <f t="shared" si="72"/>
        <v>+</v>
      </c>
      <c r="BE283" s="2">
        <v>88.3</v>
      </c>
      <c r="BF283" s="8" t="str">
        <f t="shared" si="77"/>
        <v>-</v>
      </c>
      <c r="BG283" s="2"/>
      <c r="BH283" s="8" t="str">
        <f t="shared" si="73"/>
        <v>+</v>
      </c>
      <c r="BI283" s="2"/>
      <c r="BJ283" s="8" t="str">
        <f t="shared" si="74"/>
        <v>+</v>
      </c>
      <c r="BK283" s="2"/>
      <c r="BL283" s="8" t="str">
        <f t="shared" si="75"/>
        <v>+</v>
      </c>
    </row>
    <row r="284" spans="1:64">
      <c r="A284" s="1">
        <v>26846</v>
      </c>
      <c r="B284">
        <v>65</v>
      </c>
      <c r="C284">
        <v>61</v>
      </c>
      <c r="D284">
        <v>59.7</v>
      </c>
      <c r="E284">
        <v>62.7</v>
      </c>
      <c r="F284">
        <v>85.6</v>
      </c>
      <c r="G284">
        <v>62.5</v>
      </c>
      <c r="I284">
        <v>87.6</v>
      </c>
      <c r="W284" s="1">
        <v>26846</v>
      </c>
      <c r="X284">
        <v>108.220001</v>
      </c>
      <c r="Y284" s="4">
        <f t="shared" si="76"/>
        <v>3.7981957836524846E-2</v>
      </c>
      <c r="Z284" s="4">
        <f t="shared" si="78"/>
        <v>7.7288575074853406E-3</v>
      </c>
      <c r="AA284">
        <v>65</v>
      </c>
      <c r="AB284">
        <f t="shared" si="79"/>
        <v>58.6</v>
      </c>
      <c r="AP284" s="3">
        <v>26816</v>
      </c>
      <c r="AQ284" s="2">
        <v>64.8</v>
      </c>
      <c r="AR284" s="2" t="str">
        <f t="shared" si="66"/>
        <v>-</v>
      </c>
      <c r="AS284" s="2">
        <v>63.5</v>
      </c>
      <c r="AT284" s="8" t="str">
        <f t="shared" si="67"/>
        <v>-</v>
      </c>
      <c r="AU284" s="2">
        <v>59.2</v>
      </c>
      <c r="AV284" s="8" t="str">
        <f t="shared" si="68"/>
        <v>-</v>
      </c>
      <c r="AW284" s="2">
        <v>60.2</v>
      </c>
      <c r="AX284" s="8" t="str">
        <f t="shared" si="69"/>
        <v>-</v>
      </c>
      <c r="AY284" s="2">
        <v>86.6</v>
      </c>
      <c r="AZ284" s="8" t="str">
        <f t="shared" si="70"/>
        <v>-</v>
      </c>
      <c r="BA284" s="2">
        <v>59.2</v>
      </c>
      <c r="BB284" s="8" t="str">
        <f t="shared" si="71"/>
        <v>+</v>
      </c>
      <c r="BC284" s="2"/>
      <c r="BD284" s="8" t="str">
        <f t="shared" si="72"/>
        <v>+</v>
      </c>
      <c r="BE284" s="2">
        <v>89.3</v>
      </c>
      <c r="BF284" s="8" t="str">
        <f t="shared" si="77"/>
        <v>+</v>
      </c>
      <c r="BG284" s="2"/>
      <c r="BH284" s="8" t="str">
        <f t="shared" si="73"/>
        <v>+</v>
      </c>
      <c r="BI284" s="2"/>
      <c r="BJ284" s="8" t="str">
        <f t="shared" si="74"/>
        <v>+</v>
      </c>
      <c r="BK284" s="2"/>
      <c r="BL284" s="8" t="str">
        <f t="shared" si="75"/>
        <v>+</v>
      </c>
    </row>
    <row r="285" spans="1:64">
      <c r="A285" s="1">
        <v>26877</v>
      </c>
      <c r="B285">
        <v>57.8</v>
      </c>
      <c r="C285">
        <v>49.2</v>
      </c>
      <c r="D285">
        <v>56.4</v>
      </c>
      <c r="E285">
        <v>50.4</v>
      </c>
      <c r="F285">
        <v>85.2</v>
      </c>
      <c r="G285">
        <v>64</v>
      </c>
      <c r="I285">
        <v>69.599999999999994</v>
      </c>
      <c r="W285" s="1">
        <v>26877</v>
      </c>
      <c r="X285">
        <v>104.25</v>
      </c>
      <c r="Y285" s="4">
        <f t="shared" si="76"/>
        <v>-3.6684540411342233E-2</v>
      </c>
      <c r="Z285" s="4">
        <f t="shared" si="78"/>
        <v>-6.1571664832898179E-2</v>
      </c>
      <c r="AA285">
        <v>57.8</v>
      </c>
      <c r="AB285">
        <f t="shared" si="79"/>
        <v>60.1</v>
      </c>
      <c r="AP285" s="3">
        <v>26846</v>
      </c>
      <c r="AQ285" s="2">
        <v>65</v>
      </c>
      <c r="AR285" s="2" t="str">
        <f t="shared" si="66"/>
        <v>+</v>
      </c>
      <c r="AS285" s="2">
        <v>61</v>
      </c>
      <c r="AT285" s="8" t="str">
        <f t="shared" si="67"/>
        <v>-</v>
      </c>
      <c r="AU285" s="2">
        <v>62.7</v>
      </c>
      <c r="AV285" s="8" t="str">
        <f t="shared" si="68"/>
        <v>+</v>
      </c>
      <c r="AW285" s="2">
        <v>59.7</v>
      </c>
      <c r="AX285" s="8" t="str">
        <f t="shared" si="69"/>
        <v>-</v>
      </c>
      <c r="AY285" s="2">
        <v>85.6</v>
      </c>
      <c r="AZ285" s="8" t="str">
        <f t="shared" si="70"/>
        <v>-</v>
      </c>
      <c r="BA285" s="2">
        <v>62.5</v>
      </c>
      <c r="BB285" s="8" t="str">
        <f t="shared" si="71"/>
        <v>+</v>
      </c>
      <c r="BC285" s="2"/>
      <c r="BD285" s="8" t="str">
        <f t="shared" si="72"/>
        <v>+</v>
      </c>
      <c r="BE285" s="2">
        <v>87.6</v>
      </c>
      <c r="BF285" s="8" t="str">
        <f t="shared" si="77"/>
        <v>-</v>
      </c>
      <c r="BG285" s="2"/>
      <c r="BH285" s="8" t="str">
        <f t="shared" si="73"/>
        <v>+</v>
      </c>
      <c r="BI285" s="2"/>
      <c r="BJ285" s="8" t="str">
        <f t="shared" si="74"/>
        <v>+</v>
      </c>
      <c r="BK285" s="2"/>
      <c r="BL285" s="8" t="str">
        <f t="shared" si="75"/>
        <v>+</v>
      </c>
    </row>
    <row r="286" spans="1:64">
      <c r="A286" s="1">
        <v>26908</v>
      </c>
      <c r="B286">
        <v>62.7</v>
      </c>
      <c r="C286">
        <v>59.1</v>
      </c>
      <c r="D286">
        <v>54.9</v>
      </c>
      <c r="E286">
        <v>59</v>
      </c>
      <c r="F286">
        <v>86.7</v>
      </c>
      <c r="G286">
        <v>62.1</v>
      </c>
      <c r="I286">
        <v>86.1</v>
      </c>
      <c r="W286" s="1">
        <v>26908</v>
      </c>
      <c r="X286">
        <v>108.43</v>
      </c>
      <c r="Y286" s="4">
        <f t="shared" si="76"/>
        <v>4.0095923261390956E-2</v>
      </c>
      <c r="Z286" s="4">
        <f t="shared" si="78"/>
        <v>-1.9176869674078587E-2</v>
      </c>
      <c r="AA286">
        <v>62.7</v>
      </c>
      <c r="AB286">
        <f t="shared" si="79"/>
        <v>61.7</v>
      </c>
      <c r="AP286" s="3">
        <v>26877</v>
      </c>
      <c r="AQ286" s="2">
        <v>57.8</v>
      </c>
      <c r="AR286" s="2" t="str">
        <f t="shared" si="66"/>
        <v>-</v>
      </c>
      <c r="AS286" s="2">
        <v>49.2</v>
      </c>
      <c r="AT286" s="8" t="str">
        <f t="shared" si="67"/>
        <v>-</v>
      </c>
      <c r="AU286" s="2">
        <v>50.4</v>
      </c>
      <c r="AV286" s="8" t="str">
        <f t="shared" si="68"/>
        <v>-</v>
      </c>
      <c r="AW286" s="2">
        <v>56.4</v>
      </c>
      <c r="AX286" s="8" t="str">
        <f t="shared" si="69"/>
        <v>-</v>
      </c>
      <c r="AY286" s="2">
        <v>85.2</v>
      </c>
      <c r="AZ286" s="8" t="str">
        <f t="shared" si="70"/>
        <v>-</v>
      </c>
      <c r="BA286" s="2">
        <v>64</v>
      </c>
      <c r="BB286" s="8" t="str">
        <f t="shared" si="71"/>
        <v>+</v>
      </c>
      <c r="BC286" s="2"/>
      <c r="BD286" s="8" t="str">
        <f t="shared" si="72"/>
        <v>+</v>
      </c>
      <c r="BE286" s="2">
        <v>69.599999999999994</v>
      </c>
      <c r="BF286" s="8" t="str">
        <f t="shared" si="77"/>
        <v>-</v>
      </c>
      <c r="BG286" s="2"/>
      <c r="BH286" s="8" t="str">
        <f t="shared" si="73"/>
        <v>+</v>
      </c>
      <c r="BI286" s="2"/>
      <c r="BJ286" s="8" t="str">
        <f t="shared" si="74"/>
        <v>+</v>
      </c>
      <c r="BK286" s="2"/>
      <c r="BL286" s="8" t="str">
        <f t="shared" si="75"/>
        <v>+</v>
      </c>
    </row>
    <row r="287" spans="1:64">
      <c r="A287" s="1">
        <v>26938</v>
      </c>
      <c r="B287">
        <v>63.5</v>
      </c>
      <c r="C287">
        <v>60</v>
      </c>
      <c r="D287">
        <v>56.1</v>
      </c>
      <c r="E287">
        <v>58.2</v>
      </c>
      <c r="F287">
        <v>90.1</v>
      </c>
      <c r="G287">
        <v>62.3</v>
      </c>
      <c r="I287">
        <v>92.1</v>
      </c>
      <c r="W287" s="1">
        <v>26938</v>
      </c>
      <c r="X287">
        <v>108.290001</v>
      </c>
      <c r="Y287" s="4">
        <f t="shared" si="76"/>
        <v>-1.2911463617080428E-3</v>
      </c>
      <c r="Z287" s="4">
        <f t="shared" si="78"/>
        <v>-2.9485579324510049E-2</v>
      </c>
      <c r="AA287">
        <v>63.5</v>
      </c>
      <c r="AB287">
        <f t="shared" si="79"/>
        <v>65.099999999999994</v>
      </c>
      <c r="AP287" s="3">
        <v>26908</v>
      </c>
      <c r="AQ287" s="2">
        <v>62.7</v>
      </c>
      <c r="AR287" s="2" t="str">
        <f t="shared" si="66"/>
        <v>+</v>
      </c>
      <c r="AS287" s="2">
        <v>59.1</v>
      </c>
      <c r="AT287" s="8" t="str">
        <f t="shared" si="67"/>
        <v>+</v>
      </c>
      <c r="AU287" s="2">
        <v>59</v>
      </c>
      <c r="AV287" s="8" t="str">
        <f t="shared" si="68"/>
        <v>+</v>
      </c>
      <c r="AW287" s="2">
        <v>54.9</v>
      </c>
      <c r="AX287" s="8" t="str">
        <f t="shared" si="69"/>
        <v>-</v>
      </c>
      <c r="AY287" s="2">
        <v>86.7</v>
      </c>
      <c r="AZ287" s="8" t="str">
        <f t="shared" si="70"/>
        <v>+</v>
      </c>
      <c r="BA287" s="2">
        <v>62.1</v>
      </c>
      <c r="BB287" s="8" t="str">
        <f t="shared" si="71"/>
        <v>-</v>
      </c>
      <c r="BC287" s="2"/>
      <c r="BD287" s="8" t="str">
        <f t="shared" si="72"/>
        <v>+</v>
      </c>
      <c r="BE287" s="2">
        <v>86.1</v>
      </c>
      <c r="BF287" s="8" t="str">
        <f t="shared" si="77"/>
        <v>+</v>
      </c>
      <c r="BG287" s="2"/>
      <c r="BH287" s="8" t="str">
        <f t="shared" si="73"/>
        <v>+</v>
      </c>
      <c r="BI287" s="2"/>
      <c r="BJ287" s="8" t="str">
        <f t="shared" si="74"/>
        <v>+</v>
      </c>
      <c r="BK287" s="2"/>
      <c r="BL287" s="8" t="str">
        <f t="shared" si="75"/>
        <v>+</v>
      </c>
    </row>
    <row r="288" spans="1:64">
      <c r="A288" s="1">
        <v>26969</v>
      </c>
      <c r="B288">
        <v>66.2</v>
      </c>
      <c r="C288">
        <v>65.400000000000006</v>
      </c>
      <c r="D288">
        <v>60.4</v>
      </c>
      <c r="E288">
        <v>58.4</v>
      </c>
      <c r="F288">
        <v>88.7</v>
      </c>
      <c r="G288">
        <v>66.5</v>
      </c>
      <c r="I288">
        <v>92.9</v>
      </c>
      <c r="W288" s="1">
        <v>26969</v>
      </c>
      <c r="X288">
        <v>95.959998999999996</v>
      </c>
      <c r="Y288" s="4">
        <f t="shared" si="76"/>
        <v>-0.1138609464044608</v>
      </c>
      <c r="Z288" s="4">
        <f t="shared" si="78"/>
        <v>-0.17750920849420096</v>
      </c>
      <c r="AA288">
        <v>66.2</v>
      </c>
      <c r="AB288">
        <f t="shared" si="79"/>
        <v>67</v>
      </c>
      <c r="AP288" s="3">
        <v>26938</v>
      </c>
      <c r="AQ288" s="2">
        <v>63.5</v>
      </c>
      <c r="AR288" s="2" t="str">
        <f t="shared" si="66"/>
        <v>+</v>
      </c>
      <c r="AS288" s="2">
        <v>60</v>
      </c>
      <c r="AT288" s="8" t="str">
        <f t="shared" si="67"/>
        <v>+</v>
      </c>
      <c r="AU288" s="2">
        <v>58.2</v>
      </c>
      <c r="AV288" s="8" t="str">
        <f t="shared" si="68"/>
        <v>-</v>
      </c>
      <c r="AW288" s="2">
        <v>56.1</v>
      </c>
      <c r="AX288" s="8" t="str">
        <f t="shared" si="69"/>
        <v>+</v>
      </c>
      <c r="AY288" s="2">
        <v>90.1</v>
      </c>
      <c r="AZ288" s="8" t="str">
        <f t="shared" si="70"/>
        <v>+</v>
      </c>
      <c r="BA288" s="2">
        <v>62.3</v>
      </c>
      <c r="BB288" s="8" t="str">
        <f t="shared" si="71"/>
        <v>+</v>
      </c>
      <c r="BC288" s="2"/>
      <c r="BD288" s="8" t="str">
        <f t="shared" si="72"/>
        <v>+</v>
      </c>
      <c r="BE288" s="2">
        <v>92.1</v>
      </c>
      <c r="BF288" s="8" t="str">
        <f t="shared" si="77"/>
        <v>+</v>
      </c>
      <c r="BG288" s="2"/>
      <c r="BH288" s="8" t="str">
        <f t="shared" si="73"/>
        <v>+</v>
      </c>
      <c r="BI288" s="2"/>
      <c r="BJ288" s="8" t="str">
        <f t="shared" si="74"/>
        <v>+</v>
      </c>
      <c r="BK288" s="2"/>
      <c r="BL288" s="8" t="str">
        <f t="shared" si="75"/>
        <v>+</v>
      </c>
    </row>
    <row r="289" spans="1:64">
      <c r="A289" s="1">
        <v>26999</v>
      </c>
      <c r="B289">
        <v>68.099999999999994</v>
      </c>
      <c r="C289">
        <v>65.2</v>
      </c>
      <c r="D289">
        <v>60.8</v>
      </c>
      <c r="E289">
        <v>62</v>
      </c>
      <c r="F289">
        <v>96.8</v>
      </c>
      <c r="G289">
        <v>63.8</v>
      </c>
      <c r="I289">
        <v>97.6</v>
      </c>
      <c r="W289" s="1">
        <v>26999</v>
      </c>
      <c r="X289">
        <v>97.550003000000004</v>
      </c>
      <c r="Y289" s="4">
        <f t="shared" si="76"/>
        <v>1.6569445775004726E-2</v>
      </c>
      <c r="Z289" s="4">
        <f t="shared" si="78"/>
        <v>-0.17365522642129877</v>
      </c>
      <c r="AA289">
        <v>68.099999999999994</v>
      </c>
      <c r="AB289">
        <f t="shared" si="79"/>
        <v>69.900000000000006</v>
      </c>
      <c r="AP289" s="3">
        <v>26969</v>
      </c>
      <c r="AQ289" s="2">
        <v>66.2</v>
      </c>
      <c r="AR289" s="2" t="str">
        <f t="shared" si="66"/>
        <v>+</v>
      </c>
      <c r="AS289" s="2">
        <v>65.400000000000006</v>
      </c>
      <c r="AT289" s="8" t="str">
        <f t="shared" si="67"/>
        <v>+</v>
      </c>
      <c r="AU289" s="2">
        <v>58.4</v>
      </c>
      <c r="AV289" s="8" t="str">
        <f t="shared" si="68"/>
        <v>+</v>
      </c>
      <c r="AW289" s="2">
        <v>60.4</v>
      </c>
      <c r="AX289" s="8" t="str">
        <f t="shared" si="69"/>
        <v>+</v>
      </c>
      <c r="AY289" s="2">
        <v>88.7</v>
      </c>
      <c r="AZ289" s="8" t="str">
        <f t="shared" si="70"/>
        <v>-</v>
      </c>
      <c r="BA289" s="2">
        <v>66.5</v>
      </c>
      <c r="BB289" s="8" t="str">
        <f t="shared" si="71"/>
        <v>+</v>
      </c>
      <c r="BC289" s="2"/>
      <c r="BD289" s="8" t="str">
        <f t="shared" si="72"/>
        <v>+</v>
      </c>
      <c r="BE289" s="2">
        <v>92.9</v>
      </c>
      <c r="BF289" s="8" t="str">
        <f t="shared" si="77"/>
        <v>+</v>
      </c>
      <c r="BG289" s="2"/>
      <c r="BH289" s="8" t="str">
        <f t="shared" si="73"/>
        <v>+</v>
      </c>
      <c r="BI289" s="2"/>
      <c r="BJ289" s="8" t="str">
        <f t="shared" si="74"/>
        <v>+</v>
      </c>
      <c r="BK289" s="2"/>
      <c r="BL289" s="8" t="str">
        <f t="shared" si="75"/>
        <v>+</v>
      </c>
    </row>
    <row r="290" spans="1:64">
      <c r="A290" s="1">
        <v>27030</v>
      </c>
      <c r="B290">
        <v>63.6</v>
      </c>
      <c r="C290">
        <v>59</v>
      </c>
      <c r="D290">
        <v>58</v>
      </c>
      <c r="E290">
        <v>56</v>
      </c>
      <c r="F290">
        <v>92.8</v>
      </c>
      <c r="G290">
        <v>63.8</v>
      </c>
      <c r="I290">
        <v>94.2</v>
      </c>
      <c r="W290" s="1">
        <v>27030</v>
      </c>
      <c r="X290">
        <v>96.57</v>
      </c>
      <c r="Y290" s="4">
        <f t="shared" si="76"/>
        <v>-1.0046160634152011E-2</v>
      </c>
      <c r="Z290" s="4">
        <f t="shared" si="78"/>
        <v>-0.16771523888404075</v>
      </c>
      <c r="AA290">
        <v>63.6</v>
      </c>
      <c r="AB290">
        <f t="shared" si="79"/>
        <v>70.5</v>
      </c>
      <c r="AP290" s="3">
        <v>26999</v>
      </c>
      <c r="AQ290" s="2">
        <v>68.099999999999994</v>
      </c>
      <c r="AR290" s="2" t="str">
        <f t="shared" si="66"/>
        <v>+</v>
      </c>
      <c r="AS290" s="2">
        <v>65.2</v>
      </c>
      <c r="AT290" s="8" t="str">
        <f t="shared" si="67"/>
        <v>-</v>
      </c>
      <c r="AU290" s="2">
        <v>62</v>
      </c>
      <c r="AV290" s="8" t="str">
        <f t="shared" si="68"/>
        <v>+</v>
      </c>
      <c r="AW290" s="2">
        <v>60.8</v>
      </c>
      <c r="AX290" s="8" t="str">
        <f t="shared" si="69"/>
        <v>+</v>
      </c>
      <c r="AY290" s="2">
        <v>96.8</v>
      </c>
      <c r="AZ290" s="8" t="str">
        <f t="shared" si="70"/>
        <v>+</v>
      </c>
      <c r="BA290" s="2">
        <v>63.8</v>
      </c>
      <c r="BB290" s="8" t="str">
        <f t="shared" si="71"/>
        <v>-</v>
      </c>
      <c r="BC290" s="2"/>
      <c r="BD290" s="8" t="str">
        <f t="shared" si="72"/>
        <v>+</v>
      </c>
      <c r="BE290" s="2">
        <v>97.6</v>
      </c>
      <c r="BF290" s="8" t="str">
        <f t="shared" si="77"/>
        <v>+</v>
      </c>
      <c r="BG290" s="2"/>
      <c r="BH290" s="8" t="str">
        <f t="shared" si="73"/>
        <v>+</v>
      </c>
      <c r="BI290" s="2"/>
      <c r="BJ290" s="8" t="str">
        <f t="shared" si="74"/>
        <v>+</v>
      </c>
      <c r="BK290" s="2"/>
      <c r="BL290" s="8" t="str">
        <f t="shared" si="75"/>
        <v>+</v>
      </c>
    </row>
    <row r="291" spans="1:64">
      <c r="A291" s="1">
        <v>27061</v>
      </c>
      <c r="B291">
        <v>62.1</v>
      </c>
      <c r="C291">
        <v>55.7</v>
      </c>
      <c r="D291">
        <v>57.3</v>
      </c>
      <c r="E291">
        <v>55.9</v>
      </c>
      <c r="F291">
        <v>91.8</v>
      </c>
      <c r="G291">
        <v>62</v>
      </c>
      <c r="I291">
        <v>95.3</v>
      </c>
      <c r="W291" s="1">
        <v>27061</v>
      </c>
      <c r="X291">
        <v>96.220000999999996</v>
      </c>
      <c r="Y291" s="4">
        <f t="shared" si="76"/>
        <v>-3.6243036139587538E-3</v>
      </c>
      <c r="Z291" s="4">
        <f t="shared" si="78"/>
        <v>-0.13843122313753589</v>
      </c>
      <c r="AA291">
        <v>62.1</v>
      </c>
      <c r="AB291">
        <f t="shared" si="79"/>
        <v>72.099999999999994</v>
      </c>
      <c r="AP291" s="3">
        <v>27030</v>
      </c>
      <c r="AQ291" s="2">
        <v>63.6</v>
      </c>
      <c r="AR291" s="2" t="str">
        <f t="shared" si="66"/>
        <v>-</v>
      </c>
      <c r="AS291" s="2">
        <v>59</v>
      </c>
      <c r="AT291" s="8" t="str">
        <f t="shared" si="67"/>
        <v>-</v>
      </c>
      <c r="AU291" s="2">
        <v>56</v>
      </c>
      <c r="AV291" s="8" t="str">
        <f t="shared" si="68"/>
        <v>-</v>
      </c>
      <c r="AW291" s="2">
        <v>58</v>
      </c>
      <c r="AX291" s="8" t="str">
        <f t="shared" si="69"/>
        <v>-</v>
      </c>
      <c r="AY291" s="2">
        <v>92.8</v>
      </c>
      <c r="AZ291" s="8" t="str">
        <f t="shared" si="70"/>
        <v>-</v>
      </c>
      <c r="BA291" s="2">
        <v>63.8</v>
      </c>
      <c r="BB291" s="8" t="str">
        <f t="shared" si="71"/>
        <v>+</v>
      </c>
      <c r="BC291" s="2"/>
      <c r="BD291" s="8" t="str">
        <f t="shared" si="72"/>
        <v>+</v>
      </c>
      <c r="BE291" s="2">
        <v>94.2</v>
      </c>
      <c r="BF291" s="8" t="str">
        <f t="shared" si="77"/>
        <v>-</v>
      </c>
      <c r="BG291" s="2"/>
      <c r="BH291" s="8" t="str">
        <f t="shared" si="73"/>
        <v>+</v>
      </c>
      <c r="BI291" s="2"/>
      <c r="BJ291" s="8" t="str">
        <f t="shared" si="74"/>
        <v>+</v>
      </c>
      <c r="BK291" s="2"/>
      <c r="BL291" s="8" t="str">
        <f t="shared" si="75"/>
        <v>+</v>
      </c>
    </row>
    <row r="292" spans="1:64">
      <c r="A292" s="1">
        <v>27089</v>
      </c>
      <c r="B292">
        <v>58.6</v>
      </c>
      <c r="C292">
        <v>56</v>
      </c>
      <c r="D292">
        <v>51</v>
      </c>
      <c r="E292">
        <v>49.7</v>
      </c>
      <c r="F292">
        <v>88.8</v>
      </c>
      <c r="G292">
        <v>58.8</v>
      </c>
      <c r="I292">
        <v>93.6</v>
      </c>
      <c r="W292" s="1">
        <v>27089</v>
      </c>
      <c r="X292">
        <v>93.980002999999996</v>
      </c>
      <c r="Y292" s="4">
        <f t="shared" si="76"/>
        <v>-2.3279962343795861E-2</v>
      </c>
      <c r="Z292" s="4">
        <f t="shared" si="78"/>
        <v>-0.15728115559400532</v>
      </c>
      <c r="AA292">
        <v>58.6</v>
      </c>
      <c r="AB292">
        <f t="shared" si="79"/>
        <v>69.599999999999994</v>
      </c>
      <c r="AP292" s="3">
        <v>27061</v>
      </c>
      <c r="AQ292" s="2">
        <v>62.1</v>
      </c>
      <c r="AR292" s="2" t="str">
        <f t="shared" si="66"/>
        <v>-</v>
      </c>
      <c r="AS292" s="2">
        <v>55.7</v>
      </c>
      <c r="AT292" s="8" t="str">
        <f t="shared" si="67"/>
        <v>-</v>
      </c>
      <c r="AU292" s="2">
        <v>55.9</v>
      </c>
      <c r="AV292" s="8" t="str">
        <f t="shared" si="68"/>
        <v>-</v>
      </c>
      <c r="AW292" s="2">
        <v>57.3</v>
      </c>
      <c r="AX292" s="8" t="str">
        <f t="shared" si="69"/>
        <v>-</v>
      </c>
      <c r="AY292" s="2">
        <v>91.8</v>
      </c>
      <c r="AZ292" s="8" t="str">
        <f t="shared" si="70"/>
        <v>-</v>
      </c>
      <c r="BA292" s="2">
        <v>62</v>
      </c>
      <c r="BB292" s="8" t="str">
        <f t="shared" si="71"/>
        <v>-</v>
      </c>
      <c r="BC292" s="2"/>
      <c r="BD292" s="8" t="str">
        <f t="shared" si="72"/>
        <v>+</v>
      </c>
      <c r="BE292" s="2">
        <v>95.3</v>
      </c>
      <c r="BF292" s="8" t="str">
        <f t="shared" si="77"/>
        <v>+</v>
      </c>
      <c r="BG292" s="2"/>
      <c r="BH292" s="8" t="str">
        <f t="shared" si="73"/>
        <v>+</v>
      </c>
      <c r="BI292" s="2"/>
      <c r="BJ292" s="8" t="str">
        <f t="shared" si="74"/>
        <v>+</v>
      </c>
      <c r="BK292" s="2"/>
      <c r="BL292" s="8" t="str">
        <f t="shared" si="75"/>
        <v>+</v>
      </c>
    </row>
    <row r="293" spans="1:64">
      <c r="A293" s="1">
        <v>27120</v>
      </c>
      <c r="B293">
        <v>61.8</v>
      </c>
      <c r="C293">
        <v>58</v>
      </c>
      <c r="D293">
        <v>56.3</v>
      </c>
      <c r="E293">
        <v>55.8</v>
      </c>
      <c r="F293">
        <v>88.9</v>
      </c>
      <c r="G293">
        <v>59.1</v>
      </c>
      <c r="I293">
        <v>94</v>
      </c>
      <c r="W293" s="1">
        <v>27120</v>
      </c>
      <c r="X293">
        <v>90.309997999999993</v>
      </c>
      <c r="Y293" s="4">
        <f t="shared" si="76"/>
        <v>-3.9050913841745707E-2</v>
      </c>
      <c r="Z293" s="4">
        <f t="shared" si="78"/>
        <v>-0.15574462787936222</v>
      </c>
      <c r="AA293">
        <v>61.8</v>
      </c>
      <c r="AB293">
        <f t="shared" si="79"/>
        <v>69.599999999999994</v>
      </c>
      <c r="AP293" s="3">
        <v>27089</v>
      </c>
      <c r="AQ293" s="2">
        <v>58.6</v>
      </c>
      <c r="AR293" s="2" t="str">
        <f t="shared" si="66"/>
        <v>-</v>
      </c>
      <c r="AS293" s="2">
        <v>56</v>
      </c>
      <c r="AT293" s="8" t="str">
        <f t="shared" si="67"/>
        <v>+</v>
      </c>
      <c r="AU293" s="2">
        <v>49.7</v>
      </c>
      <c r="AV293" s="8" t="str">
        <f t="shared" si="68"/>
        <v>-</v>
      </c>
      <c r="AW293" s="2">
        <v>51</v>
      </c>
      <c r="AX293" s="8" t="str">
        <f t="shared" si="69"/>
        <v>-</v>
      </c>
      <c r="AY293" s="2">
        <v>88.8</v>
      </c>
      <c r="AZ293" s="8" t="str">
        <f t="shared" si="70"/>
        <v>-</v>
      </c>
      <c r="BA293" s="2">
        <v>58.8</v>
      </c>
      <c r="BB293" s="8" t="str">
        <f t="shared" si="71"/>
        <v>-</v>
      </c>
      <c r="BC293" s="2"/>
      <c r="BD293" s="8" t="str">
        <f t="shared" si="72"/>
        <v>+</v>
      </c>
      <c r="BE293" s="2">
        <v>93.6</v>
      </c>
      <c r="BF293" s="8" t="str">
        <f t="shared" si="77"/>
        <v>-</v>
      </c>
      <c r="BG293" s="2"/>
      <c r="BH293" s="8" t="str">
        <f t="shared" si="73"/>
        <v>+</v>
      </c>
      <c r="BI293" s="2"/>
      <c r="BJ293" s="8" t="str">
        <f t="shared" si="74"/>
        <v>+</v>
      </c>
      <c r="BK293" s="2"/>
      <c r="BL293" s="8" t="str">
        <f t="shared" si="75"/>
        <v>+</v>
      </c>
    </row>
    <row r="294" spans="1:64">
      <c r="A294" s="1">
        <v>27150</v>
      </c>
      <c r="B294">
        <v>59.9</v>
      </c>
      <c r="C294">
        <v>56.4</v>
      </c>
      <c r="D294">
        <v>53.9</v>
      </c>
      <c r="E294">
        <v>54.5</v>
      </c>
      <c r="F294">
        <v>82.1</v>
      </c>
      <c r="G294">
        <v>62.5</v>
      </c>
      <c r="I294">
        <v>93.5</v>
      </c>
      <c r="W294" s="1">
        <v>27150</v>
      </c>
      <c r="X294">
        <v>87.279999000000004</v>
      </c>
      <c r="Y294" s="4">
        <f t="shared" si="76"/>
        <v>-3.3551091430651894E-2</v>
      </c>
      <c r="Z294" s="4">
        <f t="shared" si="78"/>
        <v>-0.16836587427439367</v>
      </c>
      <c r="AA294">
        <v>59.9</v>
      </c>
      <c r="AB294">
        <f t="shared" si="79"/>
        <v>67.7</v>
      </c>
      <c r="AP294" s="3">
        <v>27120</v>
      </c>
      <c r="AQ294" s="2">
        <v>61.8</v>
      </c>
      <c r="AR294" s="2" t="str">
        <f t="shared" ref="AR294:AR357" si="80">IF(OR(AQ294&gt;AQ293,AQ294=AQ293),"+","-")</f>
        <v>+</v>
      </c>
      <c r="AS294" s="2">
        <v>58</v>
      </c>
      <c r="AT294" s="8" t="str">
        <f t="shared" si="67"/>
        <v>+</v>
      </c>
      <c r="AU294" s="2">
        <v>55.8</v>
      </c>
      <c r="AV294" s="8" t="str">
        <f t="shared" si="68"/>
        <v>+</v>
      </c>
      <c r="AW294" s="2">
        <v>56.3</v>
      </c>
      <c r="AX294" s="8" t="str">
        <f t="shared" si="69"/>
        <v>+</v>
      </c>
      <c r="AY294" s="2">
        <v>88.9</v>
      </c>
      <c r="AZ294" s="8" t="str">
        <f t="shared" si="70"/>
        <v>+</v>
      </c>
      <c r="BA294" s="2">
        <v>59.1</v>
      </c>
      <c r="BB294" s="8" t="str">
        <f t="shared" si="71"/>
        <v>+</v>
      </c>
      <c r="BC294" s="2"/>
      <c r="BD294" s="8" t="str">
        <f t="shared" si="72"/>
        <v>+</v>
      </c>
      <c r="BE294" s="2">
        <v>94</v>
      </c>
      <c r="BF294" s="8" t="str">
        <f t="shared" si="77"/>
        <v>+</v>
      </c>
      <c r="BG294" s="2"/>
      <c r="BH294" s="8" t="str">
        <f t="shared" si="73"/>
        <v>+</v>
      </c>
      <c r="BI294" s="2"/>
      <c r="BJ294" s="8" t="str">
        <f t="shared" si="74"/>
        <v>+</v>
      </c>
      <c r="BK294" s="2"/>
      <c r="BL294" s="8" t="str">
        <f t="shared" si="75"/>
        <v>+</v>
      </c>
    </row>
    <row r="295" spans="1:64">
      <c r="A295" s="1">
        <v>27181</v>
      </c>
      <c r="B295">
        <v>55.7</v>
      </c>
      <c r="C295">
        <v>51.6</v>
      </c>
      <c r="D295">
        <v>51.1</v>
      </c>
      <c r="E295">
        <v>51.6</v>
      </c>
      <c r="F295">
        <v>74.5</v>
      </c>
      <c r="G295">
        <v>59.3</v>
      </c>
      <c r="I295">
        <v>92.3</v>
      </c>
      <c r="W295" s="1">
        <v>27181</v>
      </c>
      <c r="X295">
        <v>86</v>
      </c>
      <c r="Y295" s="4">
        <f t="shared" si="76"/>
        <v>-1.4665433256936719E-2</v>
      </c>
      <c r="Z295" s="4">
        <f t="shared" si="78"/>
        <v>-0.17513909121160384</v>
      </c>
      <c r="AA295">
        <v>55.7</v>
      </c>
      <c r="AB295">
        <f t="shared" si="79"/>
        <v>64.8</v>
      </c>
      <c r="AP295" s="3">
        <v>27150</v>
      </c>
      <c r="AQ295" s="2">
        <v>59.9</v>
      </c>
      <c r="AR295" s="2" t="str">
        <f t="shared" si="80"/>
        <v>-</v>
      </c>
      <c r="AS295" s="2">
        <v>56.4</v>
      </c>
      <c r="AT295" s="8" t="str">
        <f t="shared" ref="AT295:AT358" si="81">IF(OR(AS295&gt;AS294,AS295=AS294),"+","-")</f>
        <v>-</v>
      </c>
      <c r="AU295" s="2">
        <v>54.5</v>
      </c>
      <c r="AV295" s="8" t="str">
        <f t="shared" ref="AV295:AV358" si="82">IF(OR(AU295&gt;AU294,AU295=AU294),"+","-")</f>
        <v>-</v>
      </c>
      <c r="AW295" s="2">
        <v>53.9</v>
      </c>
      <c r="AX295" s="8" t="str">
        <f t="shared" ref="AX295:AX358" si="83">IF(OR(AW295&gt;AW294,AW295=AW294),"+","-")</f>
        <v>-</v>
      </c>
      <c r="AY295" s="2">
        <v>82.1</v>
      </c>
      <c r="AZ295" s="8" t="str">
        <f t="shared" ref="AZ295:AZ358" si="84">IF(OR(AY295&gt;AY294,AY295=AY294),"+","-")</f>
        <v>-</v>
      </c>
      <c r="BA295" s="2">
        <v>62.5</v>
      </c>
      <c r="BB295" s="8" t="str">
        <f t="shared" ref="BB295:BB358" si="85">IF(OR(BA295&gt;BA294,BA295=BA294),"+","-")</f>
        <v>+</v>
      </c>
      <c r="BC295" s="2"/>
      <c r="BD295" s="8" t="str">
        <f t="shared" ref="BD295:BD358" si="86">IF(OR(BC295&gt;BC294,BC295=BC294),"+","-")</f>
        <v>+</v>
      </c>
      <c r="BE295" s="2">
        <v>93.5</v>
      </c>
      <c r="BF295" s="8" t="str">
        <f t="shared" si="77"/>
        <v>-</v>
      </c>
      <c r="BG295" s="2"/>
      <c r="BH295" s="8" t="str">
        <f t="shared" ref="BH295:BH358" si="87">IF(OR(BG295&gt;BG294,BG295=BG294),"+","-")</f>
        <v>+</v>
      </c>
      <c r="BI295" s="2"/>
      <c r="BJ295" s="8" t="str">
        <f t="shared" ref="BJ295:BJ358" si="88">IF(OR(BI295&gt;BI294,BI295=BI294),"+","-")</f>
        <v>+</v>
      </c>
      <c r="BK295" s="2"/>
      <c r="BL295" s="8" t="str">
        <f t="shared" ref="BL295:BL358" si="89">IF(OR(BK295&gt;BK294,BK295=BK294),"+","-")</f>
        <v>+</v>
      </c>
    </row>
    <row r="296" spans="1:64">
      <c r="A296" s="1">
        <v>27211</v>
      </c>
      <c r="B296">
        <v>54.7</v>
      </c>
      <c r="C296">
        <v>51.9</v>
      </c>
      <c r="D296">
        <v>49.9</v>
      </c>
      <c r="E296">
        <v>50.4</v>
      </c>
      <c r="F296">
        <v>73.099999999999994</v>
      </c>
      <c r="G296">
        <v>55.9</v>
      </c>
      <c r="I296">
        <v>88.6</v>
      </c>
      <c r="W296" s="1">
        <v>27211</v>
      </c>
      <c r="X296">
        <v>79.309997999999993</v>
      </c>
      <c r="Y296" s="4">
        <f t="shared" si="76"/>
        <v>-7.7790720930232635E-2</v>
      </c>
      <c r="Z296" s="4">
        <f t="shared" si="78"/>
        <v>-0.26714103430843622</v>
      </c>
      <c r="AA296">
        <v>54.7</v>
      </c>
      <c r="AB296">
        <f t="shared" si="79"/>
        <v>65</v>
      </c>
      <c r="AP296" s="3">
        <v>27181</v>
      </c>
      <c r="AQ296" s="2">
        <v>55.7</v>
      </c>
      <c r="AR296" s="2" t="str">
        <f t="shared" si="80"/>
        <v>-</v>
      </c>
      <c r="AS296" s="2">
        <v>51.6</v>
      </c>
      <c r="AT296" s="8" t="str">
        <f t="shared" si="81"/>
        <v>-</v>
      </c>
      <c r="AU296" s="2">
        <v>51.6</v>
      </c>
      <c r="AV296" s="8" t="str">
        <f t="shared" si="82"/>
        <v>-</v>
      </c>
      <c r="AW296" s="2">
        <v>51.1</v>
      </c>
      <c r="AX296" s="8" t="str">
        <f t="shared" si="83"/>
        <v>-</v>
      </c>
      <c r="AY296" s="2">
        <v>74.5</v>
      </c>
      <c r="AZ296" s="8" t="str">
        <f t="shared" si="84"/>
        <v>-</v>
      </c>
      <c r="BA296" s="2">
        <v>59.3</v>
      </c>
      <c r="BB296" s="8" t="str">
        <f t="shared" si="85"/>
        <v>-</v>
      </c>
      <c r="BC296" s="2"/>
      <c r="BD296" s="8" t="str">
        <f t="shared" si="86"/>
        <v>+</v>
      </c>
      <c r="BE296" s="2">
        <v>92.3</v>
      </c>
      <c r="BF296" s="8" t="str">
        <f t="shared" si="77"/>
        <v>-</v>
      </c>
      <c r="BG296" s="2"/>
      <c r="BH296" s="8" t="str">
        <f t="shared" si="87"/>
        <v>+</v>
      </c>
      <c r="BI296" s="2"/>
      <c r="BJ296" s="8" t="str">
        <f t="shared" si="88"/>
        <v>+</v>
      </c>
      <c r="BK296" s="2"/>
      <c r="BL296" s="8" t="str">
        <f t="shared" si="89"/>
        <v>+</v>
      </c>
    </row>
    <row r="297" spans="1:64">
      <c r="A297" s="1">
        <v>27242</v>
      </c>
      <c r="B297">
        <v>54.8</v>
      </c>
      <c r="C297">
        <v>52.6</v>
      </c>
      <c r="D297">
        <v>50.3</v>
      </c>
      <c r="E297">
        <v>52</v>
      </c>
      <c r="F297">
        <v>69.2</v>
      </c>
      <c r="G297">
        <v>54.8</v>
      </c>
      <c r="I297">
        <v>90.4</v>
      </c>
      <c r="W297" s="1">
        <v>27242</v>
      </c>
      <c r="X297">
        <v>72.150002000000001</v>
      </c>
      <c r="Y297" s="4">
        <f t="shared" si="76"/>
        <v>-9.0278605227048336E-2</v>
      </c>
      <c r="Z297" s="4">
        <f t="shared" si="78"/>
        <v>-0.3079136498800959</v>
      </c>
      <c r="AA297">
        <v>54.8</v>
      </c>
      <c r="AB297">
        <f t="shared" si="79"/>
        <v>57.8</v>
      </c>
      <c r="AP297" s="3">
        <v>27211</v>
      </c>
      <c r="AQ297" s="2">
        <v>54.7</v>
      </c>
      <c r="AR297" s="2" t="str">
        <f t="shared" si="80"/>
        <v>-</v>
      </c>
      <c r="AS297" s="2">
        <v>51.9</v>
      </c>
      <c r="AT297" s="8" t="str">
        <f t="shared" si="81"/>
        <v>+</v>
      </c>
      <c r="AU297" s="2">
        <v>50.4</v>
      </c>
      <c r="AV297" s="8" t="str">
        <f t="shared" si="82"/>
        <v>-</v>
      </c>
      <c r="AW297" s="2">
        <v>49.9</v>
      </c>
      <c r="AX297" s="8" t="str">
        <f t="shared" si="83"/>
        <v>-</v>
      </c>
      <c r="AY297" s="2">
        <v>73.099999999999994</v>
      </c>
      <c r="AZ297" s="8" t="str">
        <f t="shared" si="84"/>
        <v>-</v>
      </c>
      <c r="BA297" s="2">
        <v>55.9</v>
      </c>
      <c r="BB297" s="8" t="str">
        <f t="shared" si="85"/>
        <v>-</v>
      </c>
      <c r="BC297" s="2"/>
      <c r="BD297" s="8" t="str">
        <f t="shared" si="86"/>
        <v>+</v>
      </c>
      <c r="BE297" s="2">
        <v>88.6</v>
      </c>
      <c r="BF297" s="8" t="str">
        <f t="shared" si="77"/>
        <v>-</v>
      </c>
      <c r="BG297" s="2"/>
      <c r="BH297" s="8" t="str">
        <f t="shared" si="87"/>
        <v>+</v>
      </c>
      <c r="BI297" s="2"/>
      <c r="BJ297" s="8" t="str">
        <f t="shared" si="88"/>
        <v>+</v>
      </c>
      <c r="BK297" s="2"/>
      <c r="BL297" s="8" t="str">
        <f t="shared" si="89"/>
        <v>+</v>
      </c>
    </row>
    <row r="298" spans="1:64">
      <c r="A298" s="1">
        <v>27273</v>
      </c>
      <c r="B298">
        <v>52.9</v>
      </c>
      <c r="C298">
        <v>50.2</v>
      </c>
      <c r="D298">
        <v>49.2</v>
      </c>
      <c r="E298">
        <v>49.6</v>
      </c>
      <c r="F298">
        <v>66.3</v>
      </c>
      <c r="G298">
        <v>57</v>
      </c>
      <c r="I298">
        <v>86.1</v>
      </c>
      <c r="W298" s="1">
        <v>27273</v>
      </c>
      <c r="X298">
        <v>63.540000999999997</v>
      </c>
      <c r="Y298" s="4">
        <f t="shared" si="76"/>
        <v>-0.11933472988677123</v>
      </c>
      <c r="Z298" s="4">
        <f t="shared" si="78"/>
        <v>-0.41399980632666245</v>
      </c>
      <c r="AA298">
        <v>52.9</v>
      </c>
      <c r="AB298">
        <f t="shared" si="79"/>
        <v>62.7</v>
      </c>
      <c r="AP298" s="3">
        <v>27242</v>
      </c>
      <c r="AQ298" s="2">
        <v>54.8</v>
      </c>
      <c r="AR298" s="2" t="str">
        <f t="shared" si="80"/>
        <v>+</v>
      </c>
      <c r="AS298" s="2">
        <v>52.6</v>
      </c>
      <c r="AT298" s="8" t="str">
        <f t="shared" si="81"/>
        <v>+</v>
      </c>
      <c r="AU298" s="2">
        <v>52</v>
      </c>
      <c r="AV298" s="8" t="str">
        <f t="shared" si="82"/>
        <v>+</v>
      </c>
      <c r="AW298" s="2">
        <v>50.3</v>
      </c>
      <c r="AX298" s="8" t="str">
        <f t="shared" si="83"/>
        <v>+</v>
      </c>
      <c r="AY298" s="2">
        <v>69.2</v>
      </c>
      <c r="AZ298" s="8" t="str">
        <f t="shared" si="84"/>
        <v>-</v>
      </c>
      <c r="BA298" s="2">
        <v>54.8</v>
      </c>
      <c r="BB298" s="8" t="str">
        <f t="shared" si="85"/>
        <v>-</v>
      </c>
      <c r="BC298" s="2"/>
      <c r="BD298" s="8" t="str">
        <f t="shared" si="86"/>
        <v>+</v>
      </c>
      <c r="BE298" s="2">
        <v>90.4</v>
      </c>
      <c r="BF298" s="8" t="str">
        <f t="shared" si="77"/>
        <v>+</v>
      </c>
      <c r="BG298" s="2"/>
      <c r="BH298" s="8" t="str">
        <f t="shared" si="87"/>
        <v>+</v>
      </c>
      <c r="BI298" s="2"/>
      <c r="BJ298" s="8" t="str">
        <f t="shared" si="88"/>
        <v>+</v>
      </c>
      <c r="BK298" s="2"/>
      <c r="BL298" s="8" t="str">
        <f t="shared" si="89"/>
        <v>+</v>
      </c>
    </row>
    <row r="299" spans="1:64">
      <c r="A299" s="1">
        <v>27303</v>
      </c>
      <c r="B299">
        <v>46.2</v>
      </c>
      <c r="C299">
        <v>41.2</v>
      </c>
      <c r="D299">
        <v>44.9</v>
      </c>
      <c r="E299">
        <v>46.3</v>
      </c>
      <c r="F299">
        <v>51.8</v>
      </c>
      <c r="G299">
        <v>54.8</v>
      </c>
      <c r="I299">
        <v>81</v>
      </c>
      <c r="W299" s="1">
        <v>27303</v>
      </c>
      <c r="X299">
        <v>73.900002000000001</v>
      </c>
      <c r="Y299" s="4">
        <f t="shared" si="76"/>
        <v>0.16304691276287522</v>
      </c>
      <c r="Z299" s="4">
        <f t="shared" si="78"/>
        <v>-0.3175731709523209</v>
      </c>
      <c r="AA299">
        <v>46.2</v>
      </c>
      <c r="AB299">
        <f t="shared" si="79"/>
        <v>63.5</v>
      </c>
      <c r="AP299" s="3">
        <v>27273</v>
      </c>
      <c r="AQ299" s="2">
        <v>52.9</v>
      </c>
      <c r="AR299" s="2" t="str">
        <f t="shared" si="80"/>
        <v>-</v>
      </c>
      <c r="AS299" s="2">
        <v>50.2</v>
      </c>
      <c r="AT299" s="8" t="str">
        <f t="shared" si="81"/>
        <v>-</v>
      </c>
      <c r="AU299" s="2">
        <v>49.6</v>
      </c>
      <c r="AV299" s="8" t="str">
        <f t="shared" si="82"/>
        <v>-</v>
      </c>
      <c r="AW299" s="2">
        <v>49.2</v>
      </c>
      <c r="AX299" s="8" t="str">
        <f t="shared" si="83"/>
        <v>-</v>
      </c>
      <c r="AY299" s="2">
        <v>66.3</v>
      </c>
      <c r="AZ299" s="8" t="str">
        <f t="shared" si="84"/>
        <v>-</v>
      </c>
      <c r="BA299" s="2">
        <v>57</v>
      </c>
      <c r="BB299" s="8" t="str">
        <f t="shared" si="85"/>
        <v>+</v>
      </c>
      <c r="BC299" s="2"/>
      <c r="BD299" s="8" t="str">
        <f t="shared" si="86"/>
        <v>+</v>
      </c>
      <c r="BE299" s="2">
        <v>86.1</v>
      </c>
      <c r="BF299" s="8" t="str">
        <f t="shared" si="77"/>
        <v>-</v>
      </c>
      <c r="BG299" s="2"/>
      <c r="BH299" s="8" t="str">
        <f t="shared" si="87"/>
        <v>+</v>
      </c>
      <c r="BI299" s="2"/>
      <c r="BJ299" s="8" t="str">
        <f t="shared" si="88"/>
        <v>+</v>
      </c>
      <c r="BK299" s="2"/>
      <c r="BL299" s="8" t="str">
        <f t="shared" si="89"/>
        <v>+</v>
      </c>
    </row>
    <row r="300" spans="1:64">
      <c r="A300" s="1">
        <v>27334</v>
      </c>
      <c r="B300">
        <v>42.7</v>
      </c>
      <c r="C300">
        <v>36.5</v>
      </c>
      <c r="D300">
        <v>45.4</v>
      </c>
      <c r="E300">
        <v>44.3</v>
      </c>
      <c r="F300">
        <v>45.3</v>
      </c>
      <c r="G300">
        <v>47.9</v>
      </c>
      <c r="I300">
        <v>75.7</v>
      </c>
      <c r="W300" s="1">
        <v>27334</v>
      </c>
      <c r="X300">
        <v>69.970000999999996</v>
      </c>
      <c r="Y300" s="4">
        <f t="shared" si="76"/>
        <v>-5.3179985028958515E-2</v>
      </c>
      <c r="Z300" s="4">
        <f t="shared" si="78"/>
        <v>-0.27084199948772408</v>
      </c>
      <c r="AA300">
        <v>42.7</v>
      </c>
      <c r="AB300">
        <f t="shared" si="79"/>
        <v>66.2</v>
      </c>
      <c r="AP300" s="3">
        <v>27303</v>
      </c>
      <c r="AQ300" s="2">
        <v>46.2</v>
      </c>
      <c r="AR300" s="2" t="str">
        <f t="shared" si="80"/>
        <v>-</v>
      </c>
      <c r="AS300" s="2">
        <v>41.2</v>
      </c>
      <c r="AT300" s="8" t="str">
        <f t="shared" si="81"/>
        <v>-</v>
      </c>
      <c r="AU300" s="2">
        <v>46.3</v>
      </c>
      <c r="AV300" s="8" t="str">
        <f t="shared" si="82"/>
        <v>-</v>
      </c>
      <c r="AW300" s="2">
        <v>44.9</v>
      </c>
      <c r="AX300" s="8" t="str">
        <f t="shared" si="83"/>
        <v>-</v>
      </c>
      <c r="AY300" s="2">
        <v>51.8</v>
      </c>
      <c r="AZ300" s="8" t="str">
        <f t="shared" si="84"/>
        <v>-</v>
      </c>
      <c r="BA300" s="2">
        <v>54.8</v>
      </c>
      <c r="BB300" s="8" t="str">
        <f t="shared" si="85"/>
        <v>-</v>
      </c>
      <c r="BC300" s="2"/>
      <c r="BD300" s="8" t="str">
        <f t="shared" si="86"/>
        <v>+</v>
      </c>
      <c r="BE300" s="2">
        <v>81</v>
      </c>
      <c r="BF300" s="8" t="str">
        <f t="shared" si="77"/>
        <v>-</v>
      </c>
      <c r="BG300" s="2"/>
      <c r="BH300" s="8" t="str">
        <f t="shared" si="87"/>
        <v>+</v>
      </c>
      <c r="BI300" s="2"/>
      <c r="BJ300" s="8" t="str">
        <f t="shared" si="88"/>
        <v>+</v>
      </c>
      <c r="BK300" s="2"/>
      <c r="BL300" s="8" t="str">
        <f t="shared" si="89"/>
        <v>+</v>
      </c>
    </row>
    <row r="301" spans="1:64">
      <c r="A301" s="1">
        <v>27364</v>
      </c>
      <c r="B301">
        <v>37.9</v>
      </c>
      <c r="C301">
        <v>33.1</v>
      </c>
      <c r="D301">
        <v>39.6</v>
      </c>
      <c r="E301">
        <v>40.9</v>
      </c>
      <c r="F301">
        <v>34</v>
      </c>
      <c r="G301">
        <v>47.2</v>
      </c>
      <c r="I301">
        <v>71</v>
      </c>
      <c r="W301" s="1">
        <v>27364</v>
      </c>
      <c r="X301">
        <v>68.559997999999993</v>
      </c>
      <c r="Y301" s="4">
        <f t="shared" si="76"/>
        <v>-2.0151536084728701E-2</v>
      </c>
      <c r="Z301" s="4">
        <f t="shared" si="78"/>
        <v>-0.29718097497136942</v>
      </c>
      <c r="AA301">
        <v>37.9</v>
      </c>
      <c r="AB301">
        <f t="shared" si="79"/>
        <v>68.099999999999994</v>
      </c>
      <c r="AP301" s="3">
        <v>27334</v>
      </c>
      <c r="AQ301" s="2">
        <v>42.7</v>
      </c>
      <c r="AR301" s="2" t="str">
        <f t="shared" si="80"/>
        <v>-</v>
      </c>
      <c r="AS301" s="2">
        <v>36.5</v>
      </c>
      <c r="AT301" s="8" t="str">
        <f t="shared" si="81"/>
        <v>-</v>
      </c>
      <c r="AU301" s="2">
        <v>44.3</v>
      </c>
      <c r="AV301" s="8" t="str">
        <f t="shared" si="82"/>
        <v>-</v>
      </c>
      <c r="AW301" s="2">
        <v>45.4</v>
      </c>
      <c r="AX301" s="8" t="str">
        <f t="shared" si="83"/>
        <v>+</v>
      </c>
      <c r="AY301" s="2">
        <v>45.3</v>
      </c>
      <c r="AZ301" s="8" t="str">
        <f t="shared" si="84"/>
        <v>-</v>
      </c>
      <c r="BA301" s="2">
        <v>47.9</v>
      </c>
      <c r="BB301" s="8" t="str">
        <f t="shared" si="85"/>
        <v>-</v>
      </c>
      <c r="BC301" s="2"/>
      <c r="BD301" s="8" t="str">
        <f t="shared" si="86"/>
        <v>+</v>
      </c>
      <c r="BE301" s="2">
        <v>75.7</v>
      </c>
      <c r="BF301" s="8" t="str">
        <f t="shared" si="77"/>
        <v>-</v>
      </c>
      <c r="BG301" s="2"/>
      <c r="BH301" s="8" t="str">
        <f t="shared" si="87"/>
        <v>+</v>
      </c>
      <c r="BI301" s="2"/>
      <c r="BJ301" s="8" t="str">
        <f t="shared" si="88"/>
        <v>+</v>
      </c>
      <c r="BK301" s="2"/>
      <c r="BL301" s="8" t="str">
        <f t="shared" si="89"/>
        <v>+</v>
      </c>
    </row>
    <row r="302" spans="1:64">
      <c r="A302" s="1">
        <v>27395</v>
      </c>
      <c r="B302">
        <v>30.9</v>
      </c>
      <c r="C302">
        <v>27.9</v>
      </c>
      <c r="D302">
        <v>33.299999999999997</v>
      </c>
      <c r="E302">
        <v>33.4</v>
      </c>
      <c r="F302">
        <v>23.2</v>
      </c>
      <c r="G302">
        <v>40.6</v>
      </c>
      <c r="I302">
        <v>64.7</v>
      </c>
      <c r="W302" s="1">
        <v>27395</v>
      </c>
      <c r="X302">
        <v>76.980002999999996</v>
      </c>
      <c r="Y302" s="4">
        <f t="shared" si="76"/>
        <v>0.12281221186733413</v>
      </c>
      <c r="Z302" s="4">
        <f t="shared" si="78"/>
        <v>-0.20285799937868901</v>
      </c>
      <c r="AA302">
        <v>30.9</v>
      </c>
      <c r="AB302">
        <f t="shared" si="79"/>
        <v>63.6</v>
      </c>
      <c r="AP302" s="3">
        <v>27364</v>
      </c>
      <c r="AQ302" s="2">
        <v>37.9</v>
      </c>
      <c r="AR302" s="2" t="str">
        <f t="shared" si="80"/>
        <v>-</v>
      </c>
      <c r="AS302" s="2">
        <v>33.1</v>
      </c>
      <c r="AT302" s="8" t="str">
        <f t="shared" si="81"/>
        <v>-</v>
      </c>
      <c r="AU302" s="2">
        <v>40.9</v>
      </c>
      <c r="AV302" s="8" t="str">
        <f t="shared" si="82"/>
        <v>-</v>
      </c>
      <c r="AW302" s="2">
        <v>39.6</v>
      </c>
      <c r="AX302" s="8" t="str">
        <f t="shared" si="83"/>
        <v>-</v>
      </c>
      <c r="AY302" s="2">
        <v>34</v>
      </c>
      <c r="AZ302" s="8" t="str">
        <f t="shared" si="84"/>
        <v>-</v>
      </c>
      <c r="BA302" s="2">
        <v>47.2</v>
      </c>
      <c r="BB302" s="8" t="str">
        <f t="shared" si="85"/>
        <v>-</v>
      </c>
      <c r="BC302" s="2"/>
      <c r="BD302" s="8" t="str">
        <f t="shared" si="86"/>
        <v>+</v>
      </c>
      <c r="BE302" s="2">
        <v>71</v>
      </c>
      <c r="BF302" s="8" t="str">
        <f t="shared" si="77"/>
        <v>-</v>
      </c>
      <c r="BG302" s="2"/>
      <c r="BH302" s="8" t="str">
        <f t="shared" si="87"/>
        <v>+</v>
      </c>
      <c r="BI302" s="2"/>
      <c r="BJ302" s="8" t="str">
        <f t="shared" si="88"/>
        <v>+</v>
      </c>
      <c r="BK302" s="2"/>
      <c r="BL302" s="8" t="str">
        <f t="shared" si="89"/>
        <v>+</v>
      </c>
    </row>
    <row r="303" spans="1:64">
      <c r="A303" s="1">
        <v>27426</v>
      </c>
      <c r="B303">
        <v>30.7</v>
      </c>
      <c r="C303">
        <v>32.799999999999997</v>
      </c>
      <c r="D303">
        <v>29.7</v>
      </c>
      <c r="E303">
        <v>33.4</v>
      </c>
      <c r="F303">
        <v>19.5</v>
      </c>
      <c r="G303">
        <v>36.6</v>
      </c>
      <c r="I303">
        <v>54.1</v>
      </c>
      <c r="W303" s="1">
        <v>27426</v>
      </c>
      <c r="X303">
        <v>81.589995999999999</v>
      </c>
      <c r="Y303" s="4">
        <f t="shared" si="76"/>
        <v>5.9885591326880087E-2</v>
      </c>
      <c r="Z303" s="4">
        <f t="shared" si="78"/>
        <v>-0.15204744177876278</v>
      </c>
      <c r="AA303">
        <v>30.7</v>
      </c>
      <c r="AB303">
        <f t="shared" si="79"/>
        <v>62.1</v>
      </c>
      <c r="AP303" s="3">
        <v>27395</v>
      </c>
      <c r="AQ303" s="2">
        <v>30.9</v>
      </c>
      <c r="AR303" s="2" t="str">
        <f t="shared" si="80"/>
        <v>-</v>
      </c>
      <c r="AS303" s="2">
        <v>27.9</v>
      </c>
      <c r="AT303" s="8" t="str">
        <f t="shared" si="81"/>
        <v>-</v>
      </c>
      <c r="AU303" s="2">
        <v>33.4</v>
      </c>
      <c r="AV303" s="8" t="str">
        <f t="shared" si="82"/>
        <v>-</v>
      </c>
      <c r="AW303" s="2">
        <v>33.299999999999997</v>
      </c>
      <c r="AX303" s="8" t="str">
        <f t="shared" si="83"/>
        <v>-</v>
      </c>
      <c r="AY303" s="2">
        <v>23.2</v>
      </c>
      <c r="AZ303" s="8" t="str">
        <f t="shared" si="84"/>
        <v>-</v>
      </c>
      <c r="BA303" s="2">
        <v>40.6</v>
      </c>
      <c r="BB303" s="8" t="str">
        <f t="shared" si="85"/>
        <v>-</v>
      </c>
      <c r="BC303" s="2"/>
      <c r="BD303" s="8" t="str">
        <f t="shared" si="86"/>
        <v>+</v>
      </c>
      <c r="BE303" s="2">
        <v>64.7</v>
      </c>
      <c r="BF303" s="8" t="str">
        <f t="shared" si="77"/>
        <v>-</v>
      </c>
      <c r="BG303" s="2"/>
      <c r="BH303" s="8" t="str">
        <f t="shared" si="87"/>
        <v>+</v>
      </c>
      <c r="BI303" s="2"/>
      <c r="BJ303" s="8" t="str">
        <f t="shared" si="88"/>
        <v>+</v>
      </c>
      <c r="BK303" s="2"/>
      <c r="BL303" s="8" t="str">
        <f t="shared" si="89"/>
        <v>+</v>
      </c>
    </row>
    <row r="304" spans="1:64">
      <c r="A304" s="1">
        <v>27454</v>
      </c>
      <c r="B304">
        <v>34.4</v>
      </c>
      <c r="C304">
        <v>40</v>
      </c>
      <c r="D304">
        <v>33.1</v>
      </c>
      <c r="E304">
        <v>41.5</v>
      </c>
      <c r="F304">
        <v>15.9</v>
      </c>
      <c r="G304">
        <v>30.6</v>
      </c>
      <c r="I304">
        <v>48.8</v>
      </c>
      <c r="W304" s="1">
        <v>27454</v>
      </c>
      <c r="X304">
        <v>83.360000999999997</v>
      </c>
      <c r="Y304" s="4">
        <f t="shared" si="76"/>
        <v>2.1693897374379056E-2</v>
      </c>
      <c r="Z304" s="4">
        <f t="shared" si="78"/>
        <v>-0.11300278421995794</v>
      </c>
      <c r="AA304">
        <v>34.4</v>
      </c>
      <c r="AB304">
        <f t="shared" si="79"/>
        <v>58.6</v>
      </c>
      <c r="AP304" s="3">
        <v>27426</v>
      </c>
      <c r="AQ304" s="2">
        <v>30.7</v>
      </c>
      <c r="AR304" s="2" t="str">
        <f t="shared" si="80"/>
        <v>-</v>
      </c>
      <c r="AS304" s="2">
        <v>32.799999999999997</v>
      </c>
      <c r="AT304" s="8" t="str">
        <f t="shared" si="81"/>
        <v>+</v>
      </c>
      <c r="AU304" s="2">
        <v>33.4</v>
      </c>
      <c r="AV304" s="8" t="str">
        <f t="shared" si="82"/>
        <v>+</v>
      </c>
      <c r="AW304" s="2">
        <v>29.7</v>
      </c>
      <c r="AX304" s="8" t="str">
        <f t="shared" si="83"/>
        <v>-</v>
      </c>
      <c r="AY304" s="2">
        <v>19.5</v>
      </c>
      <c r="AZ304" s="8" t="str">
        <f t="shared" si="84"/>
        <v>-</v>
      </c>
      <c r="BA304" s="2">
        <v>36.6</v>
      </c>
      <c r="BB304" s="8" t="str">
        <f t="shared" si="85"/>
        <v>-</v>
      </c>
      <c r="BC304" s="2"/>
      <c r="BD304" s="8" t="str">
        <f t="shared" si="86"/>
        <v>+</v>
      </c>
      <c r="BE304" s="2">
        <v>54.1</v>
      </c>
      <c r="BF304" s="8" t="str">
        <f t="shared" si="77"/>
        <v>-</v>
      </c>
      <c r="BG304" s="2"/>
      <c r="BH304" s="8" t="str">
        <f t="shared" si="87"/>
        <v>+</v>
      </c>
      <c r="BI304" s="2"/>
      <c r="BJ304" s="8" t="str">
        <f t="shared" si="88"/>
        <v>+</v>
      </c>
      <c r="BK304" s="2"/>
      <c r="BL304" s="8" t="str">
        <f t="shared" si="89"/>
        <v>+</v>
      </c>
    </row>
    <row r="305" spans="1:64">
      <c r="A305" s="1">
        <v>27485</v>
      </c>
      <c r="B305">
        <v>31.6</v>
      </c>
      <c r="C305">
        <v>37</v>
      </c>
      <c r="D305">
        <v>32.799999999999997</v>
      </c>
      <c r="E305">
        <v>33.1</v>
      </c>
      <c r="F305">
        <v>17.3</v>
      </c>
      <c r="G305">
        <v>30.9</v>
      </c>
      <c r="I305">
        <v>42.7</v>
      </c>
      <c r="W305" s="1">
        <v>27485</v>
      </c>
      <c r="X305">
        <v>87.300003000000004</v>
      </c>
      <c r="Y305" s="4">
        <f t="shared" si="76"/>
        <v>4.7264898665248418E-2</v>
      </c>
      <c r="Z305" s="4">
        <f t="shared" si="78"/>
        <v>-3.3329587716301241E-2</v>
      </c>
      <c r="AA305">
        <v>31.6</v>
      </c>
      <c r="AB305">
        <f t="shared" si="79"/>
        <v>61.8</v>
      </c>
      <c r="AP305" s="3">
        <v>27454</v>
      </c>
      <c r="AQ305" s="2">
        <v>34.4</v>
      </c>
      <c r="AR305" s="2" t="str">
        <f t="shared" si="80"/>
        <v>+</v>
      </c>
      <c r="AS305" s="2">
        <v>40</v>
      </c>
      <c r="AT305" s="8" t="str">
        <f t="shared" si="81"/>
        <v>+</v>
      </c>
      <c r="AU305" s="2">
        <v>41.5</v>
      </c>
      <c r="AV305" s="8" t="str">
        <f t="shared" si="82"/>
        <v>+</v>
      </c>
      <c r="AW305" s="2">
        <v>33.1</v>
      </c>
      <c r="AX305" s="8" t="str">
        <f t="shared" si="83"/>
        <v>+</v>
      </c>
      <c r="AY305" s="2">
        <v>15.9</v>
      </c>
      <c r="AZ305" s="8" t="str">
        <f t="shared" si="84"/>
        <v>-</v>
      </c>
      <c r="BA305" s="2">
        <v>30.6</v>
      </c>
      <c r="BB305" s="8" t="str">
        <f t="shared" si="85"/>
        <v>-</v>
      </c>
      <c r="BC305" s="2"/>
      <c r="BD305" s="8" t="str">
        <f t="shared" si="86"/>
        <v>+</v>
      </c>
      <c r="BE305" s="2">
        <v>48.8</v>
      </c>
      <c r="BF305" s="8" t="str">
        <f t="shared" si="77"/>
        <v>-</v>
      </c>
      <c r="BG305" s="2"/>
      <c r="BH305" s="8" t="str">
        <f t="shared" si="87"/>
        <v>+</v>
      </c>
      <c r="BI305" s="2"/>
      <c r="BJ305" s="8" t="str">
        <f t="shared" si="88"/>
        <v>+</v>
      </c>
      <c r="BK305" s="2"/>
      <c r="BL305" s="8" t="str">
        <f t="shared" si="89"/>
        <v>+</v>
      </c>
    </row>
    <row r="306" spans="1:64">
      <c r="A306" s="1">
        <v>27515</v>
      </c>
      <c r="B306">
        <v>37.5</v>
      </c>
      <c r="C306">
        <v>42.6</v>
      </c>
      <c r="D306">
        <v>36.9</v>
      </c>
      <c r="E306">
        <v>45.5</v>
      </c>
      <c r="F306">
        <v>21.7</v>
      </c>
      <c r="G306">
        <v>26.9</v>
      </c>
      <c r="I306">
        <v>42.6</v>
      </c>
      <c r="W306" s="1">
        <v>27515</v>
      </c>
      <c r="X306">
        <v>91.150002000000001</v>
      </c>
      <c r="Y306" s="4">
        <f t="shared" si="76"/>
        <v>4.4100788862515811E-2</v>
      </c>
      <c r="Z306" s="4">
        <f t="shared" si="78"/>
        <v>4.4340089875573863E-2</v>
      </c>
      <c r="AA306">
        <v>37.5</v>
      </c>
      <c r="AB306">
        <f t="shared" si="79"/>
        <v>59.9</v>
      </c>
      <c r="AP306" s="3">
        <v>27485</v>
      </c>
      <c r="AQ306" s="2">
        <v>31.6</v>
      </c>
      <c r="AR306" s="2" t="str">
        <f t="shared" si="80"/>
        <v>-</v>
      </c>
      <c r="AS306" s="2">
        <v>37</v>
      </c>
      <c r="AT306" s="8" t="str">
        <f t="shared" si="81"/>
        <v>-</v>
      </c>
      <c r="AU306" s="2">
        <v>33.1</v>
      </c>
      <c r="AV306" s="8" t="str">
        <f t="shared" si="82"/>
        <v>-</v>
      </c>
      <c r="AW306" s="2">
        <v>32.799999999999997</v>
      </c>
      <c r="AX306" s="8" t="str">
        <f t="shared" si="83"/>
        <v>-</v>
      </c>
      <c r="AY306" s="2">
        <v>17.3</v>
      </c>
      <c r="AZ306" s="8" t="str">
        <f t="shared" si="84"/>
        <v>+</v>
      </c>
      <c r="BA306" s="2">
        <v>30.9</v>
      </c>
      <c r="BB306" s="8" t="str">
        <f t="shared" si="85"/>
        <v>+</v>
      </c>
      <c r="BC306" s="2"/>
      <c r="BD306" s="8" t="str">
        <f t="shared" si="86"/>
        <v>+</v>
      </c>
      <c r="BE306" s="2">
        <v>42.7</v>
      </c>
      <c r="BF306" s="8" t="str">
        <f t="shared" si="77"/>
        <v>-</v>
      </c>
      <c r="BG306" s="2"/>
      <c r="BH306" s="8" t="str">
        <f t="shared" si="87"/>
        <v>+</v>
      </c>
      <c r="BI306" s="2"/>
      <c r="BJ306" s="8" t="str">
        <f t="shared" si="88"/>
        <v>+</v>
      </c>
      <c r="BK306" s="2"/>
      <c r="BL306" s="8" t="str">
        <f t="shared" si="89"/>
        <v>+</v>
      </c>
    </row>
    <row r="307" spans="1:64">
      <c r="A307" s="1">
        <v>27546</v>
      </c>
      <c r="B307">
        <v>41.2</v>
      </c>
      <c r="C307">
        <v>47.2</v>
      </c>
      <c r="D307">
        <v>39.6</v>
      </c>
      <c r="E307">
        <v>50.5</v>
      </c>
      <c r="F307">
        <v>22.7</v>
      </c>
      <c r="G307">
        <v>31</v>
      </c>
      <c r="I307">
        <v>45.4</v>
      </c>
      <c r="W307" s="1">
        <v>27546</v>
      </c>
      <c r="X307">
        <v>95.190002000000007</v>
      </c>
      <c r="Y307" s="4">
        <f t="shared" si="76"/>
        <v>4.4322544282555325E-2</v>
      </c>
      <c r="Z307" s="4">
        <f t="shared" si="78"/>
        <v>0.10686048837209311</v>
      </c>
      <c r="AA307">
        <v>41.2</v>
      </c>
      <c r="AB307">
        <f t="shared" si="79"/>
        <v>55.7</v>
      </c>
      <c r="AP307" s="3">
        <v>27515</v>
      </c>
      <c r="AQ307" s="2">
        <v>37.5</v>
      </c>
      <c r="AR307" s="2" t="str">
        <f t="shared" si="80"/>
        <v>+</v>
      </c>
      <c r="AS307" s="2">
        <v>42.6</v>
      </c>
      <c r="AT307" s="8" t="str">
        <f t="shared" si="81"/>
        <v>+</v>
      </c>
      <c r="AU307" s="2">
        <v>45.5</v>
      </c>
      <c r="AV307" s="8" t="str">
        <f t="shared" si="82"/>
        <v>+</v>
      </c>
      <c r="AW307" s="2">
        <v>36.9</v>
      </c>
      <c r="AX307" s="8" t="str">
        <f t="shared" si="83"/>
        <v>+</v>
      </c>
      <c r="AY307" s="2">
        <v>21.7</v>
      </c>
      <c r="AZ307" s="8" t="str">
        <f t="shared" si="84"/>
        <v>+</v>
      </c>
      <c r="BA307" s="2">
        <v>26.9</v>
      </c>
      <c r="BB307" s="8" t="str">
        <f t="shared" si="85"/>
        <v>-</v>
      </c>
      <c r="BC307" s="2"/>
      <c r="BD307" s="8" t="str">
        <f t="shared" si="86"/>
        <v>+</v>
      </c>
      <c r="BE307" s="2">
        <v>42.6</v>
      </c>
      <c r="BF307" s="8" t="str">
        <f t="shared" si="77"/>
        <v>-</v>
      </c>
      <c r="BG307" s="2"/>
      <c r="BH307" s="8" t="str">
        <f t="shared" si="87"/>
        <v>+</v>
      </c>
      <c r="BI307" s="2"/>
      <c r="BJ307" s="8" t="str">
        <f t="shared" si="88"/>
        <v>+</v>
      </c>
      <c r="BK307" s="2"/>
      <c r="BL307" s="8" t="str">
        <f t="shared" si="89"/>
        <v>+</v>
      </c>
    </row>
    <row r="308" spans="1:64">
      <c r="A308" s="1">
        <v>27576</v>
      </c>
      <c r="B308">
        <v>45.1</v>
      </c>
      <c r="C308">
        <v>54.9</v>
      </c>
      <c r="D308">
        <v>43.9</v>
      </c>
      <c r="E308">
        <v>53.1</v>
      </c>
      <c r="F308">
        <v>24.9</v>
      </c>
      <c r="G308">
        <v>28.7</v>
      </c>
      <c r="I308">
        <v>44</v>
      </c>
      <c r="W308" s="1">
        <v>27576</v>
      </c>
      <c r="X308">
        <v>88.75</v>
      </c>
      <c r="Y308" s="4">
        <f t="shared" si="76"/>
        <v>-6.7654184942658221E-2</v>
      </c>
      <c r="Z308" s="4">
        <f t="shared" si="78"/>
        <v>0.11902663268255294</v>
      </c>
      <c r="AA308">
        <v>45.1</v>
      </c>
      <c r="AB308">
        <f t="shared" si="79"/>
        <v>54.7</v>
      </c>
      <c r="AP308" s="3">
        <v>27546</v>
      </c>
      <c r="AQ308" s="2">
        <v>41.2</v>
      </c>
      <c r="AR308" s="2" t="str">
        <f t="shared" si="80"/>
        <v>+</v>
      </c>
      <c r="AS308" s="2">
        <v>47.2</v>
      </c>
      <c r="AT308" s="8" t="str">
        <f t="shared" si="81"/>
        <v>+</v>
      </c>
      <c r="AU308" s="2">
        <v>50.5</v>
      </c>
      <c r="AV308" s="8" t="str">
        <f t="shared" si="82"/>
        <v>+</v>
      </c>
      <c r="AW308" s="2">
        <v>39.6</v>
      </c>
      <c r="AX308" s="8" t="str">
        <f t="shared" si="83"/>
        <v>+</v>
      </c>
      <c r="AY308" s="2">
        <v>22.7</v>
      </c>
      <c r="AZ308" s="8" t="str">
        <f t="shared" si="84"/>
        <v>+</v>
      </c>
      <c r="BA308" s="2">
        <v>31</v>
      </c>
      <c r="BB308" s="8" t="str">
        <f t="shared" si="85"/>
        <v>+</v>
      </c>
      <c r="BC308" s="2"/>
      <c r="BD308" s="8" t="str">
        <f t="shared" si="86"/>
        <v>+</v>
      </c>
      <c r="BE308" s="2">
        <v>45.4</v>
      </c>
      <c r="BF308" s="8" t="str">
        <f t="shared" si="77"/>
        <v>+</v>
      </c>
      <c r="BG308" s="2"/>
      <c r="BH308" s="8" t="str">
        <f t="shared" si="87"/>
        <v>+</v>
      </c>
      <c r="BI308" s="2"/>
      <c r="BJ308" s="8" t="str">
        <f t="shared" si="88"/>
        <v>+</v>
      </c>
      <c r="BK308" s="2"/>
      <c r="BL308" s="8" t="str">
        <f t="shared" si="89"/>
        <v>+</v>
      </c>
    </row>
    <row r="309" spans="1:64">
      <c r="A309" s="1">
        <v>27607</v>
      </c>
      <c r="B309">
        <v>47.2</v>
      </c>
      <c r="C309">
        <v>58.4</v>
      </c>
      <c r="D309">
        <v>44.3</v>
      </c>
      <c r="E309">
        <v>55.8</v>
      </c>
      <c r="F309">
        <v>28.7</v>
      </c>
      <c r="G309">
        <v>24.6</v>
      </c>
      <c r="I309">
        <v>53</v>
      </c>
      <c r="W309" s="1">
        <v>27607</v>
      </c>
      <c r="X309">
        <v>86.879997000000003</v>
      </c>
      <c r="Y309" s="4">
        <f t="shared" si="76"/>
        <v>-2.1070456338028135E-2</v>
      </c>
      <c r="Z309" s="4">
        <f t="shared" si="78"/>
        <v>0.20415792919867143</v>
      </c>
      <c r="AA309">
        <v>47.2</v>
      </c>
      <c r="AB309">
        <f t="shared" si="79"/>
        <v>54.8</v>
      </c>
      <c r="AP309" s="3">
        <v>27576</v>
      </c>
      <c r="AQ309" s="2">
        <v>45.1</v>
      </c>
      <c r="AR309" s="2" t="str">
        <f t="shared" si="80"/>
        <v>+</v>
      </c>
      <c r="AS309" s="2">
        <v>54.9</v>
      </c>
      <c r="AT309" s="8" t="str">
        <f t="shared" si="81"/>
        <v>+</v>
      </c>
      <c r="AU309" s="2">
        <v>53.1</v>
      </c>
      <c r="AV309" s="8" t="str">
        <f t="shared" si="82"/>
        <v>+</v>
      </c>
      <c r="AW309" s="2">
        <v>43.9</v>
      </c>
      <c r="AX309" s="8" t="str">
        <f t="shared" si="83"/>
        <v>+</v>
      </c>
      <c r="AY309" s="2">
        <v>24.9</v>
      </c>
      <c r="AZ309" s="8" t="str">
        <f t="shared" si="84"/>
        <v>+</v>
      </c>
      <c r="BA309" s="2">
        <v>28.7</v>
      </c>
      <c r="BB309" s="8" t="str">
        <f t="shared" si="85"/>
        <v>-</v>
      </c>
      <c r="BC309" s="2"/>
      <c r="BD309" s="8" t="str">
        <f t="shared" si="86"/>
        <v>+</v>
      </c>
      <c r="BE309" s="2">
        <v>44</v>
      </c>
      <c r="BF309" s="8" t="str">
        <f t="shared" si="77"/>
        <v>-</v>
      </c>
      <c r="BG309" s="2"/>
      <c r="BH309" s="8" t="str">
        <f t="shared" si="87"/>
        <v>+</v>
      </c>
      <c r="BI309" s="2"/>
      <c r="BJ309" s="8" t="str">
        <f t="shared" si="88"/>
        <v>+</v>
      </c>
      <c r="BK309" s="2"/>
      <c r="BL309" s="8" t="str">
        <f t="shared" si="89"/>
        <v>+</v>
      </c>
    </row>
    <row r="310" spans="1:64">
      <c r="A310" s="1">
        <v>27638</v>
      </c>
      <c r="B310">
        <v>51.4</v>
      </c>
      <c r="C310">
        <v>60.3</v>
      </c>
      <c r="D310">
        <v>49.7</v>
      </c>
      <c r="E310">
        <v>61.1</v>
      </c>
      <c r="F310">
        <v>35.1</v>
      </c>
      <c r="G310">
        <v>28.1</v>
      </c>
      <c r="I310">
        <v>68.8</v>
      </c>
      <c r="W310" s="1">
        <v>27638</v>
      </c>
      <c r="X310">
        <v>83.870002999999997</v>
      </c>
      <c r="Y310" s="4">
        <f t="shared" si="76"/>
        <v>-3.4645420165012278E-2</v>
      </c>
      <c r="Z310" s="4">
        <f t="shared" si="78"/>
        <v>0.31995595971111179</v>
      </c>
      <c r="AA310">
        <v>51.4</v>
      </c>
      <c r="AB310">
        <f t="shared" si="79"/>
        <v>52.9</v>
      </c>
      <c r="AP310" s="3">
        <v>27607</v>
      </c>
      <c r="AQ310" s="2">
        <v>47.2</v>
      </c>
      <c r="AR310" s="2" t="str">
        <f t="shared" si="80"/>
        <v>+</v>
      </c>
      <c r="AS310" s="2">
        <v>58.4</v>
      </c>
      <c r="AT310" s="8" t="str">
        <f t="shared" si="81"/>
        <v>+</v>
      </c>
      <c r="AU310" s="2">
        <v>55.8</v>
      </c>
      <c r="AV310" s="8" t="str">
        <f t="shared" si="82"/>
        <v>+</v>
      </c>
      <c r="AW310" s="2">
        <v>44.3</v>
      </c>
      <c r="AX310" s="8" t="str">
        <f t="shared" si="83"/>
        <v>+</v>
      </c>
      <c r="AY310" s="2">
        <v>28.7</v>
      </c>
      <c r="AZ310" s="8" t="str">
        <f t="shared" si="84"/>
        <v>+</v>
      </c>
      <c r="BA310" s="2">
        <v>24.6</v>
      </c>
      <c r="BB310" s="8" t="str">
        <f t="shared" si="85"/>
        <v>-</v>
      </c>
      <c r="BC310" s="2"/>
      <c r="BD310" s="8" t="str">
        <f t="shared" si="86"/>
        <v>+</v>
      </c>
      <c r="BE310" s="2">
        <v>53</v>
      </c>
      <c r="BF310" s="8" t="str">
        <f t="shared" si="77"/>
        <v>+</v>
      </c>
      <c r="BG310" s="2"/>
      <c r="BH310" s="8" t="str">
        <f t="shared" si="87"/>
        <v>+</v>
      </c>
      <c r="BI310" s="2"/>
      <c r="BJ310" s="8" t="str">
        <f t="shared" si="88"/>
        <v>+</v>
      </c>
      <c r="BK310" s="2"/>
      <c r="BL310" s="8" t="str">
        <f t="shared" si="89"/>
        <v>+</v>
      </c>
    </row>
    <row r="311" spans="1:64">
      <c r="A311" s="1">
        <v>27668</v>
      </c>
      <c r="B311">
        <v>54.4</v>
      </c>
      <c r="C311">
        <v>60.4</v>
      </c>
      <c r="D311">
        <v>53.5</v>
      </c>
      <c r="E311">
        <v>62.3</v>
      </c>
      <c r="F311">
        <v>43.8</v>
      </c>
      <c r="G311">
        <v>34.200000000000003</v>
      </c>
      <c r="I311">
        <v>73.599999999999994</v>
      </c>
      <c r="W311" s="1">
        <v>27668</v>
      </c>
      <c r="X311">
        <v>89.040001000000004</v>
      </c>
      <c r="Y311" s="4">
        <f t="shared" si="76"/>
        <v>6.1642992906534258E-2</v>
      </c>
      <c r="Z311" s="4">
        <f t="shared" si="78"/>
        <v>0.20487142882621306</v>
      </c>
      <c r="AA311">
        <v>54.4</v>
      </c>
      <c r="AB311">
        <f t="shared" si="79"/>
        <v>46.2</v>
      </c>
      <c r="AP311" s="3">
        <v>27638</v>
      </c>
      <c r="AQ311" s="2">
        <v>51.4</v>
      </c>
      <c r="AR311" s="2" t="str">
        <f t="shared" si="80"/>
        <v>+</v>
      </c>
      <c r="AS311" s="2">
        <v>60.3</v>
      </c>
      <c r="AT311" s="8" t="str">
        <f t="shared" si="81"/>
        <v>+</v>
      </c>
      <c r="AU311" s="2">
        <v>61.1</v>
      </c>
      <c r="AV311" s="8" t="str">
        <f t="shared" si="82"/>
        <v>+</v>
      </c>
      <c r="AW311" s="2">
        <v>49.7</v>
      </c>
      <c r="AX311" s="8" t="str">
        <f t="shared" si="83"/>
        <v>+</v>
      </c>
      <c r="AY311" s="2">
        <v>35.1</v>
      </c>
      <c r="AZ311" s="8" t="str">
        <f t="shared" si="84"/>
        <v>+</v>
      </c>
      <c r="BA311" s="2">
        <v>28.1</v>
      </c>
      <c r="BB311" s="8" t="str">
        <f t="shared" si="85"/>
        <v>+</v>
      </c>
      <c r="BC311" s="2"/>
      <c r="BD311" s="8" t="str">
        <f t="shared" si="86"/>
        <v>+</v>
      </c>
      <c r="BE311" s="2">
        <v>68.8</v>
      </c>
      <c r="BF311" s="8" t="str">
        <f t="shared" si="77"/>
        <v>+</v>
      </c>
      <c r="BG311" s="2"/>
      <c r="BH311" s="8" t="str">
        <f t="shared" si="87"/>
        <v>+</v>
      </c>
      <c r="BI311" s="2"/>
      <c r="BJ311" s="8" t="str">
        <f t="shared" si="88"/>
        <v>+</v>
      </c>
      <c r="BK311" s="2"/>
      <c r="BL311" s="8" t="str">
        <f t="shared" si="89"/>
        <v>+</v>
      </c>
    </row>
    <row r="312" spans="1:64">
      <c r="A312" s="1">
        <v>27699</v>
      </c>
      <c r="B312">
        <v>55.5</v>
      </c>
      <c r="C312">
        <v>64.2</v>
      </c>
      <c r="D312">
        <v>48.9</v>
      </c>
      <c r="E312">
        <v>62.3</v>
      </c>
      <c r="F312">
        <v>44.8</v>
      </c>
      <c r="G312">
        <v>41.9</v>
      </c>
      <c r="I312">
        <v>75.3</v>
      </c>
      <c r="W312" s="1">
        <v>27699</v>
      </c>
      <c r="X312">
        <v>91.239998</v>
      </c>
      <c r="Y312" s="4">
        <f t="shared" si="76"/>
        <v>2.4707962435894359E-2</v>
      </c>
      <c r="Z312" s="4">
        <f t="shared" si="78"/>
        <v>0.30398737596130671</v>
      </c>
      <c r="AA312">
        <v>55.5</v>
      </c>
      <c r="AB312">
        <f t="shared" si="79"/>
        <v>42.7</v>
      </c>
      <c r="AP312" s="3">
        <v>27668</v>
      </c>
      <c r="AQ312" s="2">
        <v>54.4</v>
      </c>
      <c r="AR312" s="2" t="str">
        <f t="shared" si="80"/>
        <v>+</v>
      </c>
      <c r="AS312" s="2">
        <v>60.4</v>
      </c>
      <c r="AT312" s="8" t="str">
        <f t="shared" si="81"/>
        <v>+</v>
      </c>
      <c r="AU312" s="2">
        <v>62.3</v>
      </c>
      <c r="AV312" s="8" t="str">
        <f t="shared" si="82"/>
        <v>+</v>
      </c>
      <c r="AW312" s="2">
        <v>53.5</v>
      </c>
      <c r="AX312" s="8" t="str">
        <f t="shared" si="83"/>
        <v>+</v>
      </c>
      <c r="AY312" s="2">
        <v>43.8</v>
      </c>
      <c r="AZ312" s="8" t="str">
        <f t="shared" si="84"/>
        <v>+</v>
      </c>
      <c r="BA312" s="2">
        <v>34.200000000000003</v>
      </c>
      <c r="BB312" s="8" t="str">
        <f t="shared" si="85"/>
        <v>+</v>
      </c>
      <c r="BC312" s="2"/>
      <c r="BD312" s="8" t="str">
        <f t="shared" si="86"/>
        <v>+</v>
      </c>
      <c r="BE312" s="2">
        <v>73.599999999999994</v>
      </c>
      <c r="BF312" s="8" t="str">
        <f t="shared" si="77"/>
        <v>+</v>
      </c>
      <c r="BG312" s="2"/>
      <c r="BH312" s="8" t="str">
        <f t="shared" si="87"/>
        <v>+</v>
      </c>
      <c r="BI312" s="2"/>
      <c r="BJ312" s="8" t="str">
        <f t="shared" si="88"/>
        <v>+</v>
      </c>
      <c r="BK312" s="2"/>
      <c r="BL312" s="8" t="str">
        <f t="shared" si="89"/>
        <v>+</v>
      </c>
    </row>
    <row r="313" spans="1:64">
      <c r="A313" s="1">
        <v>27729</v>
      </c>
      <c r="B313">
        <v>54.5</v>
      </c>
      <c r="C313">
        <v>62.2</v>
      </c>
      <c r="D313">
        <v>49.8</v>
      </c>
      <c r="E313">
        <v>60</v>
      </c>
      <c r="F313">
        <v>46.8</v>
      </c>
      <c r="G313">
        <v>38.799999999999997</v>
      </c>
      <c r="I313">
        <v>70.8</v>
      </c>
      <c r="W313" s="1">
        <v>27729</v>
      </c>
      <c r="X313">
        <v>90.190002000000007</v>
      </c>
      <c r="Y313" s="4">
        <f t="shared" si="76"/>
        <v>-1.1508066889698892E-2</v>
      </c>
      <c r="Z313" s="4">
        <f t="shared" si="78"/>
        <v>0.31549014922666735</v>
      </c>
      <c r="AA313">
        <v>54.5</v>
      </c>
      <c r="AB313">
        <f t="shared" si="79"/>
        <v>37.9</v>
      </c>
      <c r="AP313" s="3">
        <v>27699</v>
      </c>
      <c r="AQ313" s="2">
        <v>55.5</v>
      </c>
      <c r="AR313" s="2" t="str">
        <f t="shared" si="80"/>
        <v>+</v>
      </c>
      <c r="AS313" s="2">
        <v>64.2</v>
      </c>
      <c r="AT313" s="8" t="str">
        <f t="shared" si="81"/>
        <v>+</v>
      </c>
      <c r="AU313" s="2">
        <v>62.3</v>
      </c>
      <c r="AV313" s="8" t="str">
        <f t="shared" si="82"/>
        <v>+</v>
      </c>
      <c r="AW313" s="2">
        <v>48.9</v>
      </c>
      <c r="AX313" s="8" t="str">
        <f t="shared" si="83"/>
        <v>-</v>
      </c>
      <c r="AY313" s="2">
        <v>44.8</v>
      </c>
      <c r="AZ313" s="8" t="str">
        <f t="shared" si="84"/>
        <v>+</v>
      </c>
      <c r="BA313" s="2">
        <v>41.9</v>
      </c>
      <c r="BB313" s="8" t="str">
        <f t="shared" si="85"/>
        <v>+</v>
      </c>
      <c r="BC313" s="2"/>
      <c r="BD313" s="8" t="str">
        <f t="shared" si="86"/>
        <v>+</v>
      </c>
      <c r="BE313" s="2">
        <v>75.3</v>
      </c>
      <c r="BF313" s="8" t="str">
        <f t="shared" si="77"/>
        <v>+</v>
      </c>
      <c r="BG313" s="2"/>
      <c r="BH313" s="8" t="str">
        <f t="shared" si="87"/>
        <v>+</v>
      </c>
      <c r="BI313" s="2"/>
      <c r="BJ313" s="8" t="str">
        <f t="shared" si="88"/>
        <v>+</v>
      </c>
      <c r="BK313" s="2"/>
      <c r="BL313" s="8" t="str">
        <f t="shared" si="89"/>
        <v>+</v>
      </c>
    </row>
    <row r="314" spans="1:64">
      <c r="A314" s="1">
        <v>27760</v>
      </c>
      <c r="B314">
        <v>54.9</v>
      </c>
      <c r="C314">
        <v>63.1</v>
      </c>
      <c r="D314">
        <v>50.8</v>
      </c>
      <c r="E314">
        <v>62.4</v>
      </c>
      <c r="F314">
        <v>41.2</v>
      </c>
      <c r="G314">
        <v>40.200000000000003</v>
      </c>
      <c r="I314">
        <v>64.400000000000006</v>
      </c>
      <c r="W314" s="1">
        <v>27760</v>
      </c>
      <c r="X314">
        <v>100.860001</v>
      </c>
      <c r="Y314" s="4">
        <f t="shared" si="76"/>
        <v>0.11830578515787137</v>
      </c>
      <c r="Z314" s="4">
        <f t="shared" si="78"/>
        <v>0.31021040620120527</v>
      </c>
      <c r="AA314">
        <v>54.9</v>
      </c>
      <c r="AB314">
        <f t="shared" si="79"/>
        <v>30.9</v>
      </c>
      <c r="AP314" s="3">
        <v>27729</v>
      </c>
      <c r="AQ314" s="2">
        <v>54.5</v>
      </c>
      <c r="AR314" s="2" t="str">
        <f t="shared" si="80"/>
        <v>-</v>
      </c>
      <c r="AS314" s="2">
        <v>62.2</v>
      </c>
      <c r="AT314" s="8" t="str">
        <f t="shared" si="81"/>
        <v>-</v>
      </c>
      <c r="AU314" s="2">
        <v>60</v>
      </c>
      <c r="AV314" s="8" t="str">
        <f t="shared" si="82"/>
        <v>-</v>
      </c>
      <c r="AW314" s="2">
        <v>49.8</v>
      </c>
      <c r="AX314" s="8" t="str">
        <f t="shared" si="83"/>
        <v>+</v>
      </c>
      <c r="AY314" s="2">
        <v>46.8</v>
      </c>
      <c r="AZ314" s="8" t="str">
        <f t="shared" si="84"/>
        <v>+</v>
      </c>
      <c r="BA314" s="2">
        <v>38.799999999999997</v>
      </c>
      <c r="BB314" s="8" t="str">
        <f t="shared" si="85"/>
        <v>-</v>
      </c>
      <c r="BC314" s="2"/>
      <c r="BD314" s="8" t="str">
        <f t="shared" si="86"/>
        <v>+</v>
      </c>
      <c r="BE314" s="2">
        <v>70.8</v>
      </c>
      <c r="BF314" s="8" t="str">
        <f t="shared" si="77"/>
        <v>-</v>
      </c>
      <c r="BG314" s="2"/>
      <c r="BH314" s="8" t="str">
        <f t="shared" si="87"/>
        <v>+</v>
      </c>
      <c r="BI314" s="2"/>
      <c r="BJ314" s="8" t="str">
        <f t="shared" si="88"/>
        <v>+</v>
      </c>
      <c r="BK314" s="2"/>
      <c r="BL314" s="8" t="str">
        <f t="shared" si="89"/>
        <v>+</v>
      </c>
    </row>
    <row r="315" spans="1:64">
      <c r="A315" s="1">
        <v>27791</v>
      </c>
      <c r="B315">
        <v>58.8</v>
      </c>
      <c r="C315">
        <v>63.8</v>
      </c>
      <c r="D315">
        <v>53.1</v>
      </c>
      <c r="E315">
        <v>65.599999999999994</v>
      </c>
      <c r="F315">
        <v>54</v>
      </c>
      <c r="G315">
        <v>45.3</v>
      </c>
      <c r="I315">
        <v>70.2</v>
      </c>
      <c r="W315" s="1">
        <v>27791</v>
      </c>
      <c r="X315">
        <v>99.709998999999996</v>
      </c>
      <c r="Y315" s="4">
        <f t="shared" si="76"/>
        <v>-1.1401963004144733E-2</v>
      </c>
      <c r="Z315" s="4">
        <f t="shared" si="78"/>
        <v>0.22208608761299606</v>
      </c>
      <c r="AA315">
        <v>58.8</v>
      </c>
      <c r="AB315">
        <f t="shared" si="79"/>
        <v>30.7</v>
      </c>
      <c r="AP315" s="3">
        <v>27760</v>
      </c>
      <c r="AQ315" s="2">
        <v>54.9</v>
      </c>
      <c r="AR315" s="2" t="str">
        <f t="shared" si="80"/>
        <v>+</v>
      </c>
      <c r="AS315" s="2">
        <v>63.1</v>
      </c>
      <c r="AT315" s="8" t="str">
        <f t="shared" si="81"/>
        <v>+</v>
      </c>
      <c r="AU315" s="2">
        <v>62.4</v>
      </c>
      <c r="AV315" s="8" t="str">
        <f t="shared" si="82"/>
        <v>+</v>
      </c>
      <c r="AW315" s="2">
        <v>50.8</v>
      </c>
      <c r="AX315" s="8" t="str">
        <f t="shared" si="83"/>
        <v>+</v>
      </c>
      <c r="AY315" s="2">
        <v>41.2</v>
      </c>
      <c r="AZ315" s="8" t="str">
        <f t="shared" si="84"/>
        <v>-</v>
      </c>
      <c r="BA315" s="2">
        <v>40.200000000000003</v>
      </c>
      <c r="BB315" s="8" t="str">
        <f t="shared" si="85"/>
        <v>+</v>
      </c>
      <c r="BC315" s="2"/>
      <c r="BD315" s="8" t="str">
        <f t="shared" si="86"/>
        <v>+</v>
      </c>
      <c r="BE315" s="2">
        <v>64.400000000000006</v>
      </c>
      <c r="BF315" s="8" t="str">
        <f t="shared" si="77"/>
        <v>-</v>
      </c>
      <c r="BG315" s="2"/>
      <c r="BH315" s="8" t="str">
        <f t="shared" si="87"/>
        <v>+</v>
      </c>
      <c r="BI315" s="2"/>
      <c r="BJ315" s="8" t="str">
        <f t="shared" si="88"/>
        <v>+</v>
      </c>
      <c r="BK315" s="2"/>
      <c r="BL315" s="8" t="str">
        <f t="shared" si="89"/>
        <v>+</v>
      </c>
    </row>
    <row r="316" spans="1:64">
      <c r="A316" s="1">
        <v>27820</v>
      </c>
      <c r="B316">
        <v>61.5</v>
      </c>
      <c r="C316">
        <v>68.7</v>
      </c>
      <c r="D316">
        <v>57.3</v>
      </c>
      <c r="E316">
        <v>64.8</v>
      </c>
      <c r="F316">
        <v>56.1</v>
      </c>
      <c r="G316">
        <v>48.2</v>
      </c>
      <c r="I316">
        <v>73.2</v>
      </c>
      <c r="W316" s="1">
        <v>27820</v>
      </c>
      <c r="X316">
        <v>102.769997</v>
      </c>
      <c r="Y316" s="4">
        <f t="shared" si="76"/>
        <v>3.0688978344087712E-2</v>
      </c>
      <c r="Z316" s="4">
        <f t="shared" si="78"/>
        <v>0.23284543866548188</v>
      </c>
      <c r="AA316">
        <v>61.5</v>
      </c>
      <c r="AB316">
        <f t="shared" si="79"/>
        <v>34.4</v>
      </c>
      <c r="AP316" s="3">
        <v>27791</v>
      </c>
      <c r="AQ316" s="2">
        <v>58.8</v>
      </c>
      <c r="AR316" s="2" t="str">
        <f t="shared" si="80"/>
        <v>+</v>
      </c>
      <c r="AS316" s="2">
        <v>63.8</v>
      </c>
      <c r="AT316" s="8" t="str">
        <f t="shared" si="81"/>
        <v>+</v>
      </c>
      <c r="AU316" s="2">
        <v>65.599999999999994</v>
      </c>
      <c r="AV316" s="8" t="str">
        <f t="shared" si="82"/>
        <v>+</v>
      </c>
      <c r="AW316" s="2">
        <v>53.1</v>
      </c>
      <c r="AX316" s="8" t="str">
        <f t="shared" si="83"/>
        <v>+</v>
      </c>
      <c r="AY316" s="2">
        <v>54</v>
      </c>
      <c r="AZ316" s="8" t="str">
        <f t="shared" si="84"/>
        <v>+</v>
      </c>
      <c r="BA316" s="2">
        <v>45.3</v>
      </c>
      <c r="BB316" s="8" t="str">
        <f t="shared" si="85"/>
        <v>+</v>
      </c>
      <c r="BC316" s="2"/>
      <c r="BD316" s="8" t="str">
        <f t="shared" si="86"/>
        <v>+</v>
      </c>
      <c r="BE316" s="2">
        <v>70.2</v>
      </c>
      <c r="BF316" s="8" t="str">
        <f t="shared" si="77"/>
        <v>+</v>
      </c>
      <c r="BG316" s="2"/>
      <c r="BH316" s="8" t="str">
        <f t="shared" si="87"/>
        <v>+</v>
      </c>
      <c r="BI316" s="2"/>
      <c r="BJ316" s="8" t="str">
        <f t="shared" si="88"/>
        <v>+</v>
      </c>
      <c r="BK316" s="2"/>
      <c r="BL316" s="8" t="str">
        <f t="shared" si="89"/>
        <v>+</v>
      </c>
    </row>
    <row r="317" spans="1:64">
      <c r="A317" s="1">
        <v>27851</v>
      </c>
      <c r="B317">
        <v>58.4</v>
      </c>
      <c r="C317">
        <v>61.6</v>
      </c>
      <c r="D317">
        <v>54.9</v>
      </c>
      <c r="E317">
        <v>63.3</v>
      </c>
      <c r="F317">
        <v>56.7</v>
      </c>
      <c r="G317">
        <v>46.7</v>
      </c>
      <c r="I317">
        <v>74.3</v>
      </c>
      <c r="W317" s="1">
        <v>27851</v>
      </c>
      <c r="X317">
        <v>101.639999</v>
      </c>
      <c r="Y317" s="4">
        <f t="shared" si="76"/>
        <v>-1.0995407540977163E-2</v>
      </c>
      <c r="Z317" s="4">
        <f t="shared" si="78"/>
        <v>0.16426111692115289</v>
      </c>
      <c r="AA317">
        <v>58.4</v>
      </c>
      <c r="AB317">
        <f t="shared" si="79"/>
        <v>31.6</v>
      </c>
      <c r="AP317" s="3">
        <v>27820</v>
      </c>
      <c r="AQ317" s="2">
        <v>61.5</v>
      </c>
      <c r="AR317" s="2" t="str">
        <f t="shared" si="80"/>
        <v>+</v>
      </c>
      <c r="AS317" s="2">
        <v>68.7</v>
      </c>
      <c r="AT317" s="8" t="str">
        <f t="shared" si="81"/>
        <v>+</v>
      </c>
      <c r="AU317" s="2">
        <v>64.8</v>
      </c>
      <c r="AV317" s="8" t="str">
        <f t="shared" si="82"/>
        <v>-</v>
      </c>
      <c r="AW317" s="2">
        <v>57.3</v>
      </c>
      <c r="AX317" s="8" t="str">
        <f t="shared" si="83"/>
        <v>+</v>
      </c>
      <c r="AY317" s="2">
        <v>56.1</v>
      </c>
      <c r="AZ317" s="8" t="str">
        <f t="shared" si="84"/>
        <v>+</v>
      </c>
      <c r="BA317" s="2">
        <v>48.2</v>
      </c>
      <c r="BB317" s="8" t="str">
        <f t="shared" si="85"/>
        <v>+</v>
      </c>
      <c r="BC317" s="2"/>
      <c r="BD317" s="8" t="str">
        <f t="shared" si="86"/>
        <v>+</v>
      </c>
      <c r="BE317" s="2">
        <v>73.2</v>
      </c>
      <c r="BF317" s="8" t="str">
        <f t="shared" si="77"/>
        <v>+</v>
      </c>
      <c r="BG317" s="2"/>
      <c r="BH317" s="8" t="str">
        <f t="shared" si="87"/>
        <v>+</v>
      </c>
      <c r="BI317" s="2"/>
      <c r="BJ317" s="8" t="str">
        <f t="shared" si="88"/>
        <v>+</v>
      </c>
      <c r="BK317" s="2"/>
      <c r="BL317" s="8" t="str">
        <f t="shared" si="89"/>
        <v>+</v>
      </c>
    </row>
    <row r="318" spans="1:64">
      <c r="A318" s="1">
        <v>27881</v>
      </c>
      <c r="B318">
        <v>60.6</v>
      </c>
      <c r="C318">
        <v>65.2</v>
      </c>
      <c r="D318">
        <v>56.4</v>
      </c>
      <c r="E318">
        <v>64.099999999999994</v>
      </c>
      <c r="F318">
        <v>57.3</v>
      </c>
      <c r="G318">
        <v>51.4</v>
      </c>
      <c r="I318">
        <v>75.900000000000006</v>
      </c>
      <c r="W318" s="1">
        <v>27881</v>
      </c>
      <c r="X318">
        <v>100.18</v>
      </c>
      <c r="Y318" s="4">
        <f t="shared" si="76"/>
        <v>-1.4364413758012692E-2</v>
      </c>
      <c r="Z318" s="4">
        <f t="shared" si="78"/>
        <v>9.906744708573903E-2</v>
      </c>
      <c r="AA318">
        <v>60.6</v>
      </c>
      <c r="AB318">
        <f t="shared" si="79"/>
        <v>37.5</v>
      </c>
      <c r="AP318" s="3">
        <v>27851</v>
      </c>
      <c r="AQ318" s="2">
        <v>58.4</v>
      </c>
      <c r="AR318" s="2" t="str">
        <f t="shared" si="80"/>
        <v>-</v>
      </c>
      <c r="AS318" s="2">
        <v>61.6</v>
      </c>
      <c r="AT318" s="8" t="str">
        <f t="shared" si="81"/>
        <v>-</v>
      </c>
      <c r="AU318" s="2">
        <v>63.3</v>
      </c>
      <c r="AV318" s="8" t="str">
        <f t="shared" si="82"/>
        <v>-</v>
      </c>
      <c r="AW318" s="2">
        <v>54.9</v>
      </c>
      <c r="AX318" s="8" t="str">
        <f t="shared" si="83"/>
        <v>-</v>
      </c>
      <c r="AY318" s="2">
        <v>56.7</v>
      </c>
      <c r="AZ318" s="8" t="str">
        <f t="shared" si="84"/>
        <v>+</v>
      </c>
      <c r="BA318" s="2">
        <v>46.7</v>
      </c>
      <c r="BB318" s="8" t="str">
        <f t="shared" si="85"/>
        <v>-</v>
      </c>
      <c r="BC318" s="2"/>
      <c r="BD318" s="8" t="str">
        <f t="shared" si="86"/>
        <v>+</v>
      </c>
      <c r="BE318" s="2">
        <v>74.3</v>
      </c>
      <c r="BF318" s="8" t="str">
        <f t="shared" si="77"/>
        <v>+</v>
      </c>
      <c r="BG318" s="2"/>
      <c r="BH318" s="8" t="str">
        <f t="shared" si="87"/>
        <v>+</v>
      </c>
      <c r="BI318" s="2"/>
      <c r="BJ318" s="8" t="str">
        <f t="shared" si="88"/>
        <v>+</v>
      </c>
      <c r="BK318" s="2"/>
      <c r="BL318" s="8" t="str">
        <f t="shared" si="89"/>
        <v>+</v>
      </c>
    </row>
    <row r="319" spans="1:64">
      <c r="A319" s="1">
        <v>27912</v>
      </c>
      <c r="B319">
        <v>58.8</v>
      </c>
      <c r="C319">
        <v>62.3</v>
      </c>
      <c r="D319">
        <v>55.4</v>
      </c>
      <c r="E319">
        <v>60.5</v>
      </c>
      <c r="F319">
        <v>58.3</v>
      </c>
      <c r="G319">
        <v>51.6</v>
      </c>
      <c r="I319">
        <v>78</v>
      </c>
      <c r="W319" s="1">
        <v>27912</v>
      </c>
      <c r="X319">
        <v>104.279999</v>
      </c>
      <c r="Y319" s="4">
        <f t="shared" si="76"/>
        <v>4.0926322619285249E-2</v>
      </c>
      <c r="Z319" s="4">
        <f t="shared" si="78"/>
        <v>9.5493190555873672E-2</v>
      </c>
      <c r="AA319">
        <v>58.8</v>
      </c>
      <c r="AB319">
        <f t="shared" si="79"/>
        <v>41.2</v>
      </c>
      <c r="AP319" s="3">
        <v>27881</v>
      </c>
      <c r="AQ319" s="2">
        <v>60.6</v>
      </c>
      <c r="AR319" s="2" t="str">
        <f t="shared" si="80"/>
        <v>+</v>
      </c>
      <c r="AS319" s="2">
        <v>65.2</v>
      </c>
      <c r="AT319" s="8" t="str">
        <f t="shared" si="81"/>
        <v>+</v>
      </c>
      <c r="AU319" s="2">
        <v>64.099999999999994</v>
      </c>
      <c r="AV319" s="8" t="str">
        <f t="shared" si="82"/>
        <v>+</v>
      </c>
      <c r="AW319" s="2">
        <v>56.4</v>
      </c>
      <c r="AX319" s="8" t="str">
        <f t="shared" si="83"/>
        <v>+</v>
      </c>
      <c r="AY319" s="2">
        <v>57.3</v>
      </c>
      <c r="AZ319" s="8" t="str">
        <f t="shared" si="84"/>
        <v>+</v>
      </c>
      <c r="BA319" s="2">
        <v>51.4</v>
      </c>
      <c r="BB319" s="8" t="str">
        <f t="shared" si="85"/>
        <v>+</v>
      </c>
      <c r="BC319" s="2"/>
      <c r="BD319" s="8" t="str">
        <f t="shared" si="86"/>
        <v>+</v>
      </c>
      <c r="BE319" s="2">
        <v>75.900000000000006</v>
      </c>
      <c r="BF319" s="8" t="str">
        <f t="shared" si="77"/>
        <v>+</v>
      </c>
      <c r="BG319" s="2"/>
      <c r="BH319" s="8" t="str">
        <f t="shared" si="87"/>
        <v>+</v>
      </c>
      <c r="BI319" s="2"/>
      <c r="BJ319" s="8" t="str">
        <f t="shared" si="88"/>
        <v>+</v>
      </c>
      <c r="BK319" s="2"/>
      <c r="BL319" s="8" t="str">
        <f t="shared" si="89"/>
        <v>+</v>
      </c>
    </row>
    <row r="320" spans="1:64">
      <c r="A320" s="1">
        <v>27942</v>
      </c>
      <c r="B320">
        <v>58.2</v>
      </c>
      <c r="C320">
        <v>60.6</v>
      </c>
      <c r="D320">
        <v>54.3</v>
      </c>
      <c r="E320">
        <v>60.5</v>
      </c>
      <c r="F320">
        <v>58.6</v>
      </c>
      <c r="G320">
        <v>52.6</v>
      </c>
      <c r="I320">
        <v>80.099999999999994</v>
      </c>
      <c r="W320" s="1">
        <v>27942</v>
      </c>
      <c r="X320">
        <v>103.44000200000001</v>
      </c>
      <c r="Y320" s="4">
        <f t="shared" si="76"/>
        <v>-8.0552072118834292E-3</v>
      </c>
      <c r="Z320" s="4">
        <f t="shared" si="78"/>
        <v>0.16552114929577472</v>
      </c>
      <c r="AA320">
        <v>58.2</v>
      </c>
      <c r="AB320">
        <f t="shared" si="79"/>
        <v>45.1</v>
      </c>
      <c r="AP320" s="3">
        <v>27912</v>
      </c>
      <c r="AQ320" s="2">
        <v>58.8</v>
      </c>
      <c r="AR320" s="2" t="str">
        <f t="shared" si="80"/>
        <v>-</v>
      </c>
      <c r="AS320" s="2">
        <v>62.3</v>
      </c>
      <c r="AT320" s="8" t="str">
        <f t="shared" si="81"/>
        <v>-</v>
      </c>
      <c r="AU320" s="2">
        <v>60.5</v>
      </c>
      <c r="AV320" s="8" t="str">
        <f t="shared" si="82"/>
        <v>-</v>
      </c>
      <c r="AW320" s="2">
        <v>55.4</v>
      </c>
      <c r="AX320" s="8" t="str">
        <f t="shared" si="83"/>
        <v>-</v>
      </c>
      <c r="AY320" s="2">
        <v>58.3</v>
      </c>
      <c r="AZ320" s="8" t="str">
        <f t="shared" si="84"/>
        <v>+</v>
      </c>
      <c r="BA320" s="2">
        <v>51.6</v>
      </c>
      <c r="BB320" s="8" t="str">
        <f t="shared" si="85"/>
        <v>+</v>
      </c>
      <c r="BC320" s="2"/>
      <c r="BD320" s="8" t="str">
        <f t="shared" si="86"/>
        <v>+</v>
      </c>
      <c r="BE320" s="2">
        <v>78</v>
      </c>
      <c r="BF320" s="8" t="str">
        <f t="shared" si="77"/>
        <v>+</v>
      </c>
      <c r="BG320" s="2"/>
      <c r="BH320" s="8" t="str">
        <f t="shared" si="87"/>
        <v>+</v>
      </c>
      <c r="BI320" s="2"/>
      <c r="BJ320" s="8" t="str">
        <f t="shared" si="88"/>
        <v>+</v>
      </c>
      <c r="BK320" s="2"/>
      <c r="BL320" s="8" t="str">
        <f t="shared" si="89"/>
        <v>+</v>
      </c>
    </row>
    <row r="321" spans="1:64">
      <c r="A321" s="1">
        <v>27973</v>
      </c>
      <c r="B321">
        <v>55.9</v>
      </c>
      <c r="C321">
        <v>58</v>
      </c>
      <c r="D321">
        <v>55.1</v>
      </c>
      <c r="E321">
        <v>56.7</v>
      </c>
      <c r="F321">
        <v>54</v>
      </c>
      <c r="G321">
        <v>50.5</v>
      </c>
      <c r="I321">
        <v>84.2</v>
      </c>
      <c r="W321" s="1">
        <v>27973</v>
      </c>
      <c r="X321">
        <v>102.910004</v>
      </c>
      <c r="Y321" s="4">
        <f t="shared" si="76"/>
        <v>-5.1237237988453069E-3</v>
      </c>
      <c r="Z321" s="4">
        <f t="shared" si="78"/>
        <v>0.18450745342452068</v>
      </c>
      <c r="AA321">
        <v>55.9</v>
      </c>
      <c r="AB321">
        <f t="shared" si="79"/>
        <v>47.2</v>
      </c>
      <c r="AP321" s="3">
        <v>27942</v>
      </c>
      <c r="AQ321" s="2">
        <v>58.2</v>
      </c>
      <c r="AR321" s="2" t="str">
        <f t="shared" si="80"/>
        <v>-</v>
      </c>
      <c r="AS321" s="2">
        <v>60.6</v>
      </c>
      <c r="AT321" s="8" t="str">
        <f t="shared" si="81"/>
        <v>-</v>
      </c>
      <c r="AU321" s="2">
        <v>60.5</v>
      </c>
      <c r="AV321" s="8" t="str">
        <f t="shared" si="82"/>
        <v>+</v>
      </c>
      <c r="AW321" s="2">
        <v>54.3</v>
      </c>
      <c r="AX321" s="8" t="str">
        <f t="shared" si="83"/>
        <v>-</v>
      </c>
      <c r="AY321" s="2">
        <v>58.6</v>
      </c>
      <c r="AZ321" s="8" t="str">
        <f t="shared" si="84"/>
        <v>+</v>
      </c>
      <c r="BA321" s="2">
        <v>52.6</v>
      </c>
      <c r="BB321" s="8" t="str">
        <f t="shared" si="85"/>
        <v>+</v>
      </c>
      <c r="BC321" s="2"/>
      <c r="BD321" s="8" t="str">
        <f t="shared" si="86"/>
        <v>+</v>
      </c>
      <c r="BE321" s="2">
        <v>80.099999999999994</v>
      </c>
      <c r="BF321" s="8" t="str">
        <f t="shared" si="77"/>
        <v>+</v>
      </c>
      <c r="BG321" s="2"/>
      <c r="BH321" s="8" t="str">
        <f t="shared" si="87"/>
        <v>+</v>
      </c>
      <c r="BI321" s="2"/>
      <c r="BJ321" s="8" t="str">
        <f t="shared" si="88"/>
        <v>+</v>
      </c>
      <c r="BK321" s="2"/>
      <c r="BL321" s="8" t="str">
        <f t="shared" si="89"/>
        <v>+</v>
      </c>
    </row>
    <row r="322" spans="1:64">
      <c r="A322" s="1">
        <v>28004</v>
      </c>
      <c r="B322">
        <v>54.5</v>
      </c>
      <c r="C322">
        <v>57.7</v>
      </c>
      <c r="D322">
        <v>52.1</v>
      </c>
      <c r="E322">
        <v>52.9</v>
      </c>
      <c r="F322">
        <v>55.2</v>
      </c>
      <c r="G322">
        <v>52.4</v>
      </c>
      <c r="I322">
        <v>73.3</v>
      </c>
      <c r="W322" s="1">
        <v>28004</v>
      </c>
      <c r="X322">
        <v>105.239998</v>
      </c>
      <c r="Y322" s="4">
        <f t="shared" si="76"/>
        <v>2.2641083562682587E-2</v>
      </c>
      <c r="Z322" s="4">
        <f t="shared" si="78"/>
        <v>0.25479902510555535</v>
      </c>
      <c r="AA322">
        <v>54.5</v>
      </c>
      <c r="AB322">
        <f t="shared" si="79"/>
        <v>51.4</v>
      </c>
      <c r="AP322" s="3">
        <v>27973</v>
      </c>
      <c r="AQ322" s="2">
        <v>55.9</v>
      </c>
      <c r="AR322" s="2" t="str">
        <f t="shared" si="80"/>
        <v>-</v>
      </c>
      <c r="AS322" s="2">
        <v>58</v>
      </c>
      <c r="AT322" s="8" t="str">
        <f t="shared" si="81"/>
        <v>-</v>
      </c>
      <c r="AU322" s="2">
        <v>56.7</v>
      </c>
      <c r="AV322" s="8" t="str">
        <f t="shared" si="82"/>
        <v>-</v>
      </c>
      <c r="AW322" s="2">
        <v>55.1</v>
      </c>
      <c r="AX322" s="8" t="str">
        <f t="shared" si="83"/>
        <v>+</v>
      </c>
      <c r="AY322" s="2">
        <v>54</v>
      </c>
      <c r="AZ322" s="8" t="str">
        <f t="shared" si="84"/>
        <v>-</v>
      </c>
      <c r="BA322" s="2">
        <v>50.5</v>
      </c>
      <c r="BB322" s="8" t="str">
        <f t="shared" si="85"/>
        <v>-</v>
      </c>
      <c r="BC322" s="2"/>
      <c r="BD322" s="8" t="str">
        <f t="shared" si="86"/>
        <v>+</v>
      </c>
      <c r="BE322" s="2">
        <v>84.2</v>
      </c>
      <c r="BF322" s="8" t="str">
        <f t="shared" si="77"/>
        <v>+</v>
      </c>
      <c r="BG322" s="2"/>
      <c r="BH322" s="8" t="str">
        <f t="shared" si="87"/>
        <v>+</v>
      </c>
      <c r="BI322" s="2"/>
      <c r="BJ322" s="8" t="str">
        <f t="shared" si="88"/>
        <v>+</v>
      </c>
      <c r="BK322" s="2"/>
      <c r="BL322" s="8" t="str">
        <f t="shared" si="89"/>
        <v>+</v>
      </c>
    </row>
    <row r="323" spans="1:64">
      <c r="A323" s="1">
        <v>28034</v>
      </c>
      <c r="B323">
        <v>53.6</v>
      </c>
      <c r="C323">
        <v>55.3</v>
      </c>
      <c r="D323">
        <v>54.2</v>
      </c>
      <c r="E323">
        <v>53.2</v>
      </c>
      <c r="F323">
        <v>52.6</v>
      </c>
      <c r="G323">
        <v>49.5</v>
      </c>
      <c r="I323">
        <v>70.599999999999994</v>
      </c>
      <c r="W323" s="1">
        <v>28034</v>
      </c>
      <c r="X323">
        <v>102.900002</v>
      </c>
      <c r="Y323" s="4">
        <f t="shared" si="76"/>
        <v>-2.2234854090362102E-2</v>
      </c>
      <c r="Z323" s="4">
        <f t="shared" si="78"/>
        <v>0.15566038684119057</v>
      </c>
      <c r="AA323">
        <v>53.6</v>
      </c>
      <c r="AB323">
        <f t="shared" si="79"/>
        <v>54.4</v>
      </c>
      <c r="AP323" s="3">
        <v>28004</v>
      </c>
      <c r="AQ323" s="2">
        <v>54.5</v>
      </c>
      <c r="AR323" s="2" t="str">
        <f t="shared" si="80"/>
        <v>-</v>
      </c>
      <c r="AS323" s="2">
        <v>57.7</v>
      </c>
      <c r="AT323" s="8" t="str">
        <f t="shared" si="81"/>
        <v>-</v>
      </c>
      <c r="AU323" s="2">
        <v>52.9</v>
      </c>
      <c r="AV323" s="8" t="str">
        <f t="shared" si="82"/>
        <v>-</v>
      </c>
      <c r="AW323" s="2">
        <v>52.1</v>
      </c>
      <c r="AX323" s="8" t="str">
        <f t="shared" si="83"/>
        <v>-</v>
      </c>
      <c r="AY323" s="2">
        <v>55.2</v>
      </c>
      <c r="AZ323" s="8" t="str">
        <f t="shared" si="84"/>
        <v>+</v>
      </c>
      <c r="BA323" s="2">
        <v>52.4</v>
      </c>
      <c r="BB323" s="8" t="str">
        <f t="shared" si="85"/>
        <v>+</v>
      </c>
      <c r="BC323" s="2"/>
      <c r="BD323" s="8" t="str">
        <f t="shared" si="86"/>
        <v>+</v>
      </c>
      <c r="BE323" s="2">
        <v>73.3</v>
      </c>
      <c r="BF323" s="8" t="str">
        <f t="shared" si="77"/>
        <v>-</v>
      </c>
      <c r="BG323" s="2"/>
      <c r="BH323" s="8" t="str">
        <f t="shared" si="87"/>
        <v>+</v>
      </c>
      <c r="BI323" s="2"/>
      <c r="BJ323" s="8" t="str">
        <f t="shared" si="88"/>
        <v>+</v>
      </c>
      <c r="BK323" s="2"/>
      <c r="BL323" s="8" t="str">
        <f t="shared" si="89"/>
        <v>+</v>
      </c>
    </row>
    <row r="324" spans="1:64">
      <c r="A324" s="1">
        <v>28065</v>
      </c>
      <c r="B324">
        <v>53.5</v>
      </c>
      <c r="C324">
        <v>57</v>
      </c>
      <c r="D324">
        <v>50.2</v>
      </c>
      <c r="E324">
        <v>56.1</v>
      </c>
      <c r="F324">
        <v>49</v>
      </c>
      <c r="G324">
        <v>50</v>
      </c>
      <c r="I324">
        <v>67.099999999999994</v>
      </c>
      <c r="W324" s="1">
        <v>28065</v>
      </c>
      <c r="X324">
        <v>102.099998</v>
      </c>
      <c r="Y324" s="4">
        <f t="shared" ref="Y324:Y387" si="90">(X324-X323)/X323</f>
        <v>-7.774577108365861E-3</v>
      </c>
      <c r="Z324" s="4">
        <f t="shared" si="78"/>
        <v>0.1190267452658208</v>
      </c>
      <c r="AA324">
        <v>53.5</v>
      </c>
      <c r="AB324">
        <f t="shared" si="79"/>
        <v>55.5</v>
      </c>
      <c r="AP324" s="3">
        <v>28034</v>
      </c>
      <c r="AQ324" s="2">
        <v>53.6</v>
      </c>
      <c r="AR324" s="2" t="str">
        <f t="shared" si="80"/>
        <v>-</v>
      </c>
      <c r="AS324" s="2">
        <v>55.3</v>
      </c>
      <c r="AT324" s="8" t="str">
        <f t="shared" si="81"/>
        <v>-</v>
      </c>
      <c r="AU324" s="2">
        <v>53.2</v>
      </c>
      <c r="AV324" s="8" t="str">
        <f t="shared" si="82"/>
        <v>+</v>
      </c>
      <c r="AW324" s="2">
        <v>54.2</v>
      </c>
      <c r="AX324" s="8" t="str">
        <f t="shared" si="83"/>
        <v>+</v>
      </c>
      <c r="AY324" s="2">
        <v>52.6</v>
      </c>
      <c r="AZ324" s="8" t="str">
        <f t="shared" si="84"/>
        <v>-</v>
      </c>
      <c r="BA324" s="2">
        <v>49.5</v>
      </c>
      <c r="BB324" s="8" t="str">
        <f t="shared" si="85"/>
        <v>-</v>
      </c>
      <c r="BC324" s="2"/>
      <c r="BD324" s="8" t="str">
        <f t="shared" si="86"/>
        <v>+</v>
      </c>
      <c r="BE324" s="2">
        <v>70.599999999999994</v>
      </c>
      <c r="BF324" s="8" t="str">
        <f t="shared" si="77"/>
        <v>-</v>
      </c>
      <c r="BG324" s="2"/>
      <c r="BH324" s="8" t="str">
        <f t="shared" si="87"/>
        <v>+</v>
      </c>
      <c r="BI324" s="2"/>
      <c r="BJ324" s="8" t="str">
        <f t="shared" si="88"/>
        <v>+</v>
      </c>
      <c r="BK324" s="2"/>
      <c r="BL324" s="8" t="str">
        <f t="shared" si="89"/>
        <v>+</v>
      </c>
    </row>
    <row r="325" spans="1:64">
      <c r="A325" s="1">
        <v>28095</v>
      </c>
      <c r="B325">
        <v>51.7</v>
      </c>
      <c r="C325">
        <v>55.7</v>
      </c>
      <c r="D325">
        <v>50.5</v>
      </c>
      <c r="E325">
        <v>54.4</v>
      </c>
      <c r="F325">
        <v>47.2</v>
      </c>
      <c r="G325">
        <v>42.4</v>
      </c>
      <c r="I325">
        <v>69.7</v>
      </c>
      <c r="W325" s="1">
        <v>28095</v>
      </c>
      <c r="X325">
        <v>107.459999</v>
      </c>
      <c r="Y325" s="4">
        <f t="shared" si="90"/>
        <v>5.2497562242851334E-2</v>
      </c>
      <c r="Z325" s="4">
        <f t="shared" si="78"/>
        <v>0.19148460602096437</v>
      </c>
      <c r="AA325">
        <v>51.7</v>
      </c>
      <c r="AB325">
        <f t="shared" si="79"/>
        <v>54.5</v>
      </c>
      <c r="AP325" s="3">
        <v>28065</v>
      </c>
      <c r="AQ325" s="2">
        <v>53.5</v>
      </c>
      <c r="AR325" s="2" t="str">
        <f t="shared" si="80"/>
        <v>-</v>
      </c>
      <c r="AS325" s="2">
        <v>57</v>
      </c>
      <c r="AT325" s="8" t="str">
        <f t="shared" si="81"/>
        <v>+</v>
      </c>
      <c r="AU325" s="2">
        <v>56.1</v>
      </c>
      <c r="AV325" s="8" t="str">
        <f t="shared" si="82"/>
        <v>+</v>
      </c>
      <c r="AW325" s="2">
        <v>50.2</v>
      </c>
      <c r="AX325" s="8" t="str">
        <f t="shared" si="83"/>
        <v>-</v>
      </c>
      <c r="AY325" s="2">
        <v>49</v>
      </c>
      <c r="AZ325" s="8" t="str">
        <f t="shared" si="84"/>
        <v>-</v>
      </c>
      <c r="BA325" s="2">
        <v>50</v>
      </c>
      <c r="BB325" s="8" t="str">
        <f t="shared" si="85"/>
        <v>+</v>
      </c>
      <c r="BC325" s="2"/>
      <c r="BD325" s="8" t="str">
        <f t="shared" si="86"/>
        <v>+</v>
      </c>
      <c r="BE325" s="2">
        <v>67.099999999999994</v>
      </c>
      <c r="BF325" s="8" t="str">
        <f t="shared" si="77"/>
        <v>-</v>
      </c>
      <c r="BG325" s="2"/>
      <c r="BH325" s="8" t="str">
        <f t="shared" si="87"/>
        <v>+</v>
      </c>
      <c r="BI325" s="2"/>
      <c r="BJ325" s="8" t="str">
        <f t="shared" si="88"/>
        <v>+</v>
      </c>
      <c r="BK325" s="2"/>
      <c r="BL325" s="8" t="str">
        <f t="shared" si="89"/>
        <v>+</v>
      </c>
    </row>
    <row r="326" spans="1:64">
      <c r="A326" s="1">
        <v>28126</v>
      </c>
      <c r="B326">
        <v>56.6</v>
      </c>
      <c r="C326">
        <v>58.9</v>
      </c>
      <c r="D326">
        <v>53.8</v>
      </c>
      <c r="E326">
        <v>59.6</v>
      </c>
      <c r="F326">
        <v>53.3</v>
      </c>
      <c r="G326">
        <v>52.8</v>
      </c>
      <c r="I326">
        <v>75.8</v>
      </c>
      <c r="W326" s="1">
        <v>28126</v>
      </c>
      <c r="X326">
        <v>102.029999</v>
      </c>
      <c r="Y326" s="4">
        <f t="shared" si="90"/>
        <v>-5.0530430397640269E-2</v>
      </c>
      <c r="Z326" s="4">
        <f t="shared" si="78"/>
        <v>1.1600218009119461E-2</v>
      </c>
      <c r="AA326">
        <v>56.6</v>
      </c>
      <c r="AB326">
        <f t="shared" si="79"/>
        <v>54.9</v>
      </c>
      <c r="AP326" s="3">
        <v>28095</v>
      </c>
      <c r="AQ326" s="2">
        <v>51.7</v>
      </c>
      <c r="AR326" s="2" t="str">
        <f t="shared" si="80"/>
        <v>-</v>
      </c>
      <c r="AS326" s="2">
        <v>55.7</v>
      </c>
      <c r="AT326" s="8" t="str">
        <f t="shared" si="81"/>
        <v>-</v>
      </c>
      <c r="AU326" s="2">
        <v>54.4</v>
      </c>
      <c r="AV326" s="8" t="str">
        <f t="shared" si="82"/>
        <v>-</v>
      </c>
      <c r="AW326" s="2">
        <v>50.5</v>
      </c>
      <c r="AX326" s="8" t="str">
        <f t="shared" si="83"/>
        <v>+</v>
      </c>
      <c r="AY326" s="2">
        <v>47.2</v>
      </c>
      <c r="AZ326" s="8" t="str">
        <f t="shared" si="84"/>
        <v>-</v>
      </c>
      <c r="BA326" s="2">
        <v>42.4</v>
      </c>
      <c r="BB326" s="8" t="str">
        <f t="shared" si="85"/>
        <v>-</v>
      </c>
      <c r="BC326" s="2"/>
      <c r="BD326" s="8" t="str">
        <f t="shared" si="86"/>
        <v>+</v>
      </c>
      <c r="BE326" s="2">
        <v>69.7</v>
      </c>
      <c r="BF326" s="8" t="str">
        <f t="shared" ref="BF326:BF389" si="91">IF(OR(BE326&gt;BE325,BE326=BE325),"+","-")</f>
        <v>+</v>
      </c>
      <c r="BG326" s="2"/>
      <c r="BH326" s="8" t="str">
        <f t="shared" si="87"/>
        <v>+</v>
      </c>
      <c r="BI326" s="2"/>
      <c r="BJ326" s="8" t="str">
        <f t="shared" si="88"/>
        <v>+</v>
      </c>
      <c r="BK326" s="2"/>
      <c r="BL326" s="8" t="str">
        <f t="shared" si="89"/>
        <v>+</v>
      </c>
    </row>
    <row r="327" spans="1:64">
      <c r="A327" s="1">
        <v>28157</v>
      </c>
      <c r="B327">
        <v>54.8</v>
      </c>
      <c r="C327">
        <v>57.2</v>
      </c>
      <c r="D327">
        <v>49.9</v>
      </c>
      <c r="E327">
        <v>56.9</v>
      </c>
      <c r="F327">
        <v>55.3</v>
      </c>
      <c r="G327">
        <v>51.4</v>
      </c>
      <c r="I327">
        <v>78.400000000000006</v>
      </c>
      <c r="W327" s="1">
        <v>28157</v>
      </c>
      <c r="X327">
        <v>99.82</v>
      </c>
      <c r="Y327" s="4">
        <f t="shared" si="90"/>
        <v>-2.1660286402629587E-2</v>
      </c>
      <c r="Z327" s="4">
        <f t="shared" si="78"/>
        <v>1.10320931805442E-3</v>
      </c>
      <c r="AA327">
        <v>54.8</v>
      </c>
      <c r="AB327">
        <f t="shared" si="79"/>
        <v>58.8</v>
      </c>
      <c r="AP327" s="3">
        <v>28126</v>
      </c>
      <c r="AQ327" s="2">
        <v>56.6</v>
      </c>
      <c r="AR327" s="2" t="str">
        <f t="shared" si="80"/>
        <v>+</v>
      </c>
      <c r="AS327" s="2">
        <v>58.9</v>
      </c>
      <c r="AT327" s="8" t="str">
        <f t="shared" si="81"/>
        <v>+</v>
      </c>
      <c r="AU327" s="2">
        <v>59.6</v>
      </c>
      <c r="AV327" s="8" t="str">
        <f t="shared" si="82"/>
        <v>+</v>
      </c>
      <c r="AW327" s="2">
        <v>53.8</v>
      </c>
      <c r="AX327" s="8" t="str">
        <f t="shared" si="83"/>
        <v>+</v>
      </c>
      <c r="AY327" s="2">
        <v>53.3</v>
      </c>
      <c r="AZ327" s="8" t="str">
        <f t="shared" si="84"/>
        <v>+</v>
      </c>
      <c r="BA327" s="2">
        <v>52.8</v>
      </c>
      <c r="BB327" s="8" t="str">
        <f t="shared" si="85"/>
        <v>+</v>
      </c>
      <c r="BC327" s="2"/>
      <c r="BD327" s="8" t="str">
        <f t="shared" si="86"/>
        <v>+</v>
      </c>
      <c r="BE327" s="2">
        <v>75.8</v>
      </c>
      <c r="BF327" s="8" t="str">
        <f t="shared" si="91"/>
        <v>+</v>
      </c>
      <c r="BG327" s="2"/>
      <c r="BH327" s="8" t="str">
        <f t="shared" si="87"/>
        <v>+</v>
      </c>
      <c r="BI327" s="2"/>
      <c r="BJ327" s="8" t="str">
        <f t="shared" si="88"/>
        <v>+</v>
      </c>
      <c r="BK327" s="2"/>
      <c r="BL327" s="8" t="str">
        <f t="shared" si="89"/>
        <v>+</v>
      </c>
    </row>
    <row r="328" spans="1:64">
      <c r="A328" s="1">
        <v>28185</v>
      </c>
      <c r="B328">
        <v>55</v>
      </c>
      <c r="C328">
        <v>56.8</v>
      </c>
      <c r="D328">
        <v>51.5</v>
      </c>
      <c r="E328">
        <v>50.8</v>
      </c>
      <c r="F328">
        <v>65.099999999999994</v>
      </c>
      <c r="G328">
        <v>51.9</v>
      </c>
      <c r="I328">
        <v>76.8</v>
      </c>
      <c r="W328" s="1">
        <v>28185</v>
      </c>
      <c r="X328">
        <v>98.419998000000007</v>
      </c>
      <c r="Y328" s="4">
        <f t="shared" si="90"/>
        <v>-1.4025265477860014E-2</v>
      </c>
      <c r="Z328" s="4">
        <f t="shared" si="78"/>
        <v>-4.2327518993700047E-2</v>
      </c>
      <c r="AA328">
        <v>55</v>
      </c>
      <c r="AB328">
        <f t="shared" si="79"/>
        <v>61.5</v>
      </c>
      <c r="AP328" s="3">
        <v>28157</v>
      </c>
      <c r="AQ328" s="2">
        <v>54.8</v>
      </c>
      <c r="AR328" s="2" t="str">
        <f t="shared" si="80"/>
        <v>-</v>
      </c>
      <c r="AS328" s="2">
        <v>57.2</v>
      </c>
      <c r="AT328" s="8" t="str">
        <f t="shared" si="81"/>
        <v>-</v>
      </c>
      <c r="AU328" s="2">
        <v>56.9</v>
      </c>
      <c r="AV328" s="8" t="str">
        <f t="shared" si="82"/>
        <v>-</v>
      </c>
      <c r="AW328" s="2">
        <v>49.9</v>
      </c>
      <c r="AX328" s="8" t="str">
        <f t="shared" si="83"/>
        <v>-</v>
      </c>
      <c r="AY328" s="2">
        <v>55.3</v>
      </c>
      <c r="AZ328" s="8" t="str">
        <f t="shared" si="84"/>
        <v>+</v>
      </c>
      <c r="BA328" s="2">
        <v>51.4</v>
      </c>
      <c r="BB328" s="8" t="str">
        <f t="shared" si="85"/>
        <v>-</v>
      </c>
      <c r="BC328" s="2"/>
      <c r="BD328" s="8" t="str">
        <f t="shared" si="86"/>
        <v>+</v>
      </c>
      <c r="BE328" s="2">
        <v>78.400000000000006</v>
      </c>
      <c r="BF328" s="8" t="str">
        <f t="shared" si="91"/>
        <v>+</v>
      </c>
      <c r="BG328" s="2"/>
      <c r="BH328" s="8" t="str">
        <f t="shared" si="87"/>
        <v>+</v>
      </c>
      <c r="BI328" s="2"/>
      <c r="BJ328" s="8" t="str">
        <f t="shared" si="88"/>
        <v>+</v>
      </c>
      <c r="BK328" s="2"/>
      <c r="BL328" s="8" t="str">
        <f t="shared" si="89"/>
        <v>+</v>
      </c>
    </row>
    <row r="329" spans="1:64">
      <c r="A329" s="1">
        <v>28216</v>
      </c>
      <c r="B329">
        <v>58.4</v>
      </c>
      <c r="C329">
        <v>63.5</v>
      </c>
      <c r="D329">
        <v>54.3</v>
      </c>
      <c r="E329">
        <v>62.5</v>
      </c>
      <c r="F329">
        <v>49.6</v>
      </c>
      <c r="G329">
        <v>54.7</v>
      </c>
      <c r="I329">
        <v>80.900000000000006</v>
      </c>
      <c r="W329" s="1">
        <v>28216</v>
      </c>
      <c r="X329">
        <v>98.440002000000007</v>
      </c>
      <c r="Y329" s="4">
        <f t="shared" si="90"/>
        <v>2.0325137580271167E-4</v>
      </c>
      <c r="Z329" s="4">
        <f t="shared" si="78"/>
        <v>-3.1483638641121948E-2</v>
      </c>
      <c r="AA329">
        <v>58.4</v>
      </c>
      <c r="AB329">
        <f t="shared" si="79"/>
        <v>58.4</v>
      </c>
      <c r="AP329" s="3">
        <v>28185</v>
      </c>
      <c r="AQ329" s="2">
        <v>55</v>
      </c>
      <c r="AR329" s="2" t="str">
        <f t="shared" si="80"/>
        <v>+</v>
      </c>
      <c r="AS329" s="2">
        <v>56.8</v>
      </c>
      <c r="AT329" s="8" t="str">
        <f t="shared" si="81"/>
        <v>-</v>
      </c>
      <c r="AU329" s="2">
        <v>50.8</v>
      </c>
      <c r="AV329" s="8" t="str">
        <f t="shared" si="82"/>
        <v>-</v>
      </c>
      <c r="AW329" s="2">
        <v>51.5</v>
      </c>
      <c r="AX329" s="8" t="str">
        <f t="shared" si="83"/>
        <v>+</v>
      </c>
      <c r="AY329" s="2">
        <v>65.099999999999994</v>
      </c>
      <c r="AZ329" s="8" t="str">
        <f t="shared" si="84"/>
        <v>+</v>
      </c>
      <c r="BA329" s="2">
        <v>51.9</v>
      </c>
      <c r="BB329" s="8" t="str">
        <f t="shared" si="85"/>
        <v>+</v>
      </c>
      <c r="BC329" s="2"/>
      <c r="BD329" s="8" t="str">
        <f t="shared" si="86"/>
        <v>+</v>
      </c>
      <c r="BE329" s="2">
        <v>76.8</v>
      </c>
      <c r="BF329" s="8" t="str">
        <f t="shared" si="91"/>
        <v>-</v>
      </c>
      <c r="BG329" s="2"/>
      <c r="BH329" s="8" t="str">
        <f t="shared" si="87"/>
        <v>+</v>
      </c>
      <c r="BI329" s="2"/>
      <c r="BJ329" s="8" t="str">
        <f t="shared" si="88"/>
        <v>+</v>
      </c>
      <c r="BK329" s="2"/>
      <c r="BL329" s="8" t="str">
        <f t="shared" si="89"/>
        <v>+</v>
      </c>
    </row>
    <row r="330" spans="1:64">
      <c r="A330" s="1">
        <v>28246</v>
      </c>
      <c r="B330">
        <v>56.9</v>
      </c>
      <c r="C330">
        <v>60.3</v>
      </c>
      <c r="D330">
        <v>51.9</v>
      </c>
      <c r="E330">
        <v>59.2</v>
      </c>
      <c r="F330">
        <v>54.6</v>
      </c>
      <c r="G330">
        <v>54.4</v>
      </c>
      <c r="I330">
        <v>78.8</v>
      </c>
      <c r="W330" s="1">
        <v>28246</v>
      </c>
      <c r="X330">
        <v>96.120002999999997</v>
      </c>
      <c r="Y330" s="4">
        <f t="shared" si="90"/>
        <v>-2.3567644787329544E-2</v>
      </c>
      <c r="Z330" s="4">
        <f t="shared" si="78"/>
        <v>-4.0527021361549308E-2</v>
      </c>
      <c r="AA330">
        <v>56.9</v>
      </c>
      <c r="AB330">
        <f t="shared" si="79"/>
        <v>60.6</v>
      </c>
      <c r="AP330" s="3">
        <v>28216</v>
      </c>
      <c r="AQ330" s="2">
        <v>58.4</v>
      </c>
      <c r="AR330" s="2" t="str">
        <f t="shared" si="80"/>
        <v>+</v>
      </c>
      <c r="AS330" s="2">
        <v>63.5</v>
      </c>
      <c r="AT330" s="8" t="str">
        <f t="shared" si="81"/>
        <v>+</v>
      </c>
      <c r="AU330" s="2">
        <v>62.5</v>
      </c>
      <c r="AV330" s="8" t="str">
        <f t="shared" si="82"/>
        <v>+</v>
      </c>
      <c r="AW330" s="2">
        <v>54.3</v>
      </c>
      <c r="AX330" s="8" t="str">
        <f t="shared" si="83"/>
        <v>+</v>
      </c>
      <c r="AY330" s="2">
        <v>49.6</v>
      </c>
      <c r="AZ330" s="8" t="str">
        <f t="shared" si="84"/>
        <v>-</v>
      </c>
      <c r="BA330" s="2">
        <v>54.7</v>
      </c>
      <c r="BB330" s="8" t="str">
        <f t="shared" si="85"/>
        <v>+</v>
      </c>
      <c r="BC330" s="2"/>
      <c r="BD330" s="8" t="str">
        <f t="shared" si="86"/>
        <v>+</v>
      </c>
      <c r="BE330" s="2">
        <v>80.900000000000006</v>
      </c>
      <c r="BF330" s="8" t="str">
        <f t="shared" si="91"/>
        <v>+</v>
      </c>
      <c r="BG330" s="2"/>
      <c r="BH330" s="8" t="str">
        <f t="shared" si="87"/>
        <v>+</v>
      </c>
      <c r="BI330" s="2"/>
      <c r="BJ330" s="8" t="str">
        <f t="shared" si="88"/>
        <v>+</v>
      </c>
      <c r="BK330" s="2"/>
      <c r="BL330" s="8" t="str">
        <f t="shared" si="89"/>
        <v>+</v>
      </c>
    </row>
    <row r="331" spans="1:64">
      <c r="A331" s="1">
        <v>28277</v>
      </c>
      <c r="B331">
        <v>59.7</v>
      </c>
      <c r="C331">
        <v>64.5</v>
      </c>
      <c r="D331">
        <v>54.8</v>
      </c>
      <c r="E331">
        <v>63</v>
      </c>
      <c r="F331">
        <v>55.4</v>
      </c>
      <c r="G331">
        <v>53.2</v>
      </c>
      <c r="I331">
        <v>75.7</v>
      </c>
      <c r="W331" s="1">
        <v>28277</v>
      </c>
      <c r="X331">
        <v>100.480003</v>
      </c>
      <c r="Y331" s="4">
        <f t="shared" si="90"/>
        <v>4.5359965292552054E-2</v>
      </c>
      <c r="Z331" s="4">
        <f t="shared" si="78"/>
        <v>-3.6440314887229784E-2</v>
      </c>
      <c r="AA331">
        <v>59.7</v>
      </c>
      <c r="AB331">
        <f t="shared" si="79"/>
        <v>58.8</v>
      </c>
      <c r="AP331" s="3">
        <v>28246</v>
      </c>
      <c r="AQ331" s="2">
        <v>56.9</v>
      </c>
      <c r="AR331" s="2" t="str">
        <f t="shared" si="80"/>
        <v>-</v>
      </c>
      <c r="AS331" s="2">
        <v>60.3</v>
      </c>
      <c r="AT331" s="8" t="str">
        <f t="shared" si="81"/>
        <v>-</v>
      </c>
      <c r="AU331" s="2">
        <v>59.2</v>
      </c>
      <c r="AV331" s="8" t="str">
        <f t="shared" si="82"/>
        <v>-</v>
      </c>
      <c r="AW331" s="2">
        <v>51.9</v>
      </c>
      <c r="AX331" s="8" t="str">
        <f t="shared" si="83"/>
        <v>-</v>
      </c>
      <c r="AY331" s="2">
        <v>54.6</v>
      </c>
      <c r="AZ331" s="8" t="str">
        <f t="shared" si="84"/>
        <v>+</v>
      </c>
      <c r="BA331" s="2">
        <v>54.4</v>
      </c>
      <c r="BB331" s="8" t="str">
        <f t="shared" si="85"/>
        <v>-</v>
      </c>
      <c r="BC331" s="2"/>
      <c r="BD331" s="8" t="str">
        <f t="shared" si="86"/>
        <v>+</v>
      </c>
      <c r="BE331" s="2">
        <v>78.8</v>
      </c>
      <c r="BF331" s="8" t="str">
        <f t="shared" si="91"/>
        <v>-</v>
      </c>
      <c r="BG331" s="2"/>
      <c r="BH331" s="8" t="str">
        <f t="shared" si="87"/>
        <v>+</v>
      </c>
      <c r="BI331" s="2"/>
      <c r="BJ331" s="8" t="str">
        <f t="shared" si="88"/>
        <v>+</v>
      </c>
      <c r="BK331" s="2"/>
      <c r="BL331" s="8" t="str">
        <f t="shared" si="89"/>
        <v>+</v>
      </c>
    </row>
    <row r="332" spans="1:64">
      <c r="A332" s="1">
        <v>28307</v>
      </c>
      <c r="B332">
        <v>56.8</v>
      </c>
      <c r="C332">
        <v>58.1</v>
      </c>
      <c r="D332">
        <v>52.5</v>
      </c>
      <c r="E332">
        <v>62.5</v>
      </c>
      <c r="F332">
        <v>53.3</v>
      </c>
      <c r="G332">
        <v>52.6</v>
      </c>
      <c r="I332">
        <v>71.900000000000006</v>
      </c>
      <c r="W332" s="1">
        <v>28307</v>
      </c>
      <c r="X332">
        <v>98.849997999999999</v>
      </c>
      <c r="Y332" s="4">
        <f t="shared" si="90"/>
        <v>-1.6222183034767596E-2</v>
      </c>
      <c r="Z332" s="4">
        <f t="shared" si="78"/>
        <v>-4.437358769579304E-2</v>
      </c>
      <c r="AA332">
        <v>56.8</v>
      </c>
      <c r="AB332">
        <f t="shared" si="79"/>
        <v>58.2</v>
      </c>
      <c r="AP332" s="3">
        <v>28277</v>
      </c>
      <c r="AQ332" s="2">
        <v>59.7</v>
      </c>
      <c r="AR332" s="2" t="str">
        <f t="shared" si="80"/>
        <v>+</v>
      </c>
      <c r="AS332" s="2">
        <v>64.5</v>
      </c>
      <c r="AT332" s="8" t="str">
        <f t="shared" si="81"/>
        <v>+</v>
      </c>
      <c r="AU332" s="2">
        <v>63</v>
      </c>
      <c r="AV332" s="8" t="str">
        <f t="shared" si="82"/>
        <v>+</v>
      </c>
      <c r="AW332" s="2">
        <v>54.8</v>
      </c>
      <c r="AX332" s="8" t="str">
        <f t="shared" si="83"/>
        <v>+</v>
      </c>
      <c r="AY332" s="2">
        <v>55.4</v>
      </c>
      <c r="AZ332" s="8" t="str">
        <f t="shared" si="84"/>
        <v>+</v>
      </c>
      <c r="BA332" s="2">
        <v>53.2</v>
      </c>
      <c r="BB332" s="8" t="str">
        <f t="shared" si="85"/>
        <v>-</v>
      </c>
      <c r="BC332" s="2"/>
      <c r="BD332" s="8" t="str">
        <f t="shared" si="86"/>
        <v>+</v>
      </c>
      <c r="BE332" s="2">
        <v>75.7</v>
      </c>
      <c r="BF332" s="8" t="str">
        <f t="shared" si="91"/>
        <v>-</v>
      </c>
      <c r="BG332" s="2"/>
      <c r="BH332" s="8" t="str">
        <f t="shared" si="87"/>
        <v>+</v>
      </c>
      <c r="BI332" s="2"/>
      <c r="BJ332" s="8" t="str">
        <f t="shared" si="88"/>
        <v>+</v>
      </c>
      <c r="BK332" s="2"/>
      <c r="BL332" s="8" t="str">
        <f t="shared" si="89"/>
        <v>+</v>
      </c>
    </row>
    <row r="333" spans="1:64">
      <c r="A333" s="1">
        <v>28338</v>
      </c>
      <c r="B333">
        <v>57.7</v>
      </c>
      <c r="C333">
        <v>58.9</v>
      </c>
      <c r="D333">
        <v>54.5</v>
      </c>
      <c r="E333">
        <v>60.6</v>
      </c>
      <c r="F333">
        <v>58.3</v>
      </c>
      <c r="G333">
        <v>52</v>
      </c>
      <c r="I333">
        <v>69</v>
      </c>
      <c r="W333" s="1">
        <v>28338</v>
      </c>
      <c r="X333">
        <v>96.769997000000004</v>
      </c>
      <c r="Y333" s="4">
        <f t="shared" si="90"/>
        <v>-2.1041993344299265E-2</v>
      </c>
      <c r="Z333" s="4">
        <f t="shared" si="78"/>
        <v>-5.966384959036633E-2</v>
      </c>
      <c r="AA333">
        <v>57.7</v>
      </c>
      <c r="AB333">
        <f t="shared" si="79"/>
        <v>55.9</v>
      </c>
      <c r="AP333" s="3">
        <v>28307</v>
      </c>
      <c r="AQ333" s="2">
        <v>56.8</v>
      </c>
      <c r="AR333" s="2" t="str">
        <f t="shared" si="80"/>
        <v>-</v>
      </c>
      <c r="AS333" s="2">
        <v>58.1</v>
      </c>
      <c r="AT333" s="8" t="str">
        <f t="shared" si="81"/>
        <v>-</v>
      </c>
      <c r="AU333" s="2">
        <v>62.5</v>
      </c>
      <c r="AV333" s="8" t="str">
        <f t="shared" si="82"/>
        <v>-</v>
      </c>
      <c r="AW333" s="2">
        <v>52.5</v>
      </c>
      <c r="AX333" s="8" t="str">
        <f t="shared" si="83"/>
        <v>-</v>
      </c>
      <c r="AY333" s="2">
        <v>53.3</v>
      </c>
      <c r="AZ333" s="8" t="str">
        <f t="shared" si="84"/>
        <v>-</v>
      </c>
      <c r="BA333" s="2">
        <v>52.6</v>
      </c>
      <c r="BB333" s="8" t="str">
        <f t="shared" si="85"/>
        <v>-</v>
      </c>
      <c r="BC333" s="2"/>
      <c r="BD333" s="8" t="str">
        <f t="shared" si="86"/>
        <v>+</v>
      </c>
      <c r="BE333" s="2">
        <v>71.900000000000006</v>
      </c>
      <c r="BF333" s="8" t="str">
        <f t="shared" si="91"/>
        <v>-</v>
      </c>
      <c r="BG333" s="2"/>
      <c r="BH333" s="8" t="str">
        <f t="shared" si="87"/>
        <v>+</v>
      </c>
      <c r="BI333" s="2"/>
      <c r="BJ333" s="8" t="str">
        <f t="shared" si="88"/>
        <v>+</v>
      </c>
      <c r="BK333" s="2"/>
      <c r="BL333" s="8" t="str">
        <f t="shared" si="89"/>
        <v>+</v>
      </c>
    </row>
    <row r="334" spans="1:64">
      <c r="A334" s="1">
        <v>28369</v>
      </c>
      <c r="B334">
        <v>54.9</v>
      </c>
      <c r="C334">
        <v>58.8</v>
      </c>
      <c r="D334">
        <v>53.6</v>
      </c>
      <c r="E334">
        <v>53.9</v>
      </c>
      <c r="F334">
        <v>53.5</v>
      </c>
      <c r="G334">
        <v>50</v>
      </c>
      <c r="I334">
        <v>70.400000000000006</v>
      </c>
      <c r="W334" s="1">
        <v>28369</v>
      </c>
      <c r="X334">
        <v>96.529999000000004</v>
      </c>
      <c r="Y334" s="4">
        <f t="shared" si="90"/>
        <v>-2.4800868806475205E-3</v>
      </c>
      <c r="Z334" s="4">
        <f t="shared" si="78"/>
        <v>-8.2763199976495588E-2</v>
      </c>
      <c r="AA334">
        <v>54.9</v>
      </c>
      <c r="AB334">
        <f t="shared" si="79"/>
        <v>54.5</v>
      </c>
      <c r="AP334" s="3">
        <v>28338</v>
      </c>
      <c r="AQ334" s="2">
        <v>57.7</v>
      </c>
      <c r="AR334" s="2" t="str">
        <f t="shared" si="80"/>
        <v>+</v>
      </c>
      <c r="AS334" s="2">
        <v>58.9</v>
      </c>
      <c r="AT334" s="8" t="str">
        <f t="shared" si="81"/>
        <v>+</v>
      </c>
      <c r="AU334" s="2">
        <v>60.6</v>
      </c>
      <c r="AV334" s="8" t="str">
        <f t="shared" si="82"/>
        <v>-</v>
      </c>
      <c r="AW334" s="2">
        <v>54.5</v>
      </c>
      <c r="AX334" s="8" t="str">
        <f t="shared" si="83"/>
        <v>+</v>
      </c>
      <c r="AY334" s="2">
        <v>58.3</v>
      </c>
      <c r="AZ334" s="8" t="str">
        <f t="shared" si="84"/>
        <v>+</v>
      </c>
      <c r="BA334" s="2">
        <v>52</v>
      </c>
      <c r="BB334" s="8" t="str">
        <f t="shared" si="85"/>
        <v>-</v>
      </c>
      <c r="BC334" s="2"/>
      <c r="BD334" s="8" t="str">
        <f t="shared" si="86"/>
        <v>+</v>
      </c>
      <c r="BE334" s="2">
        <v>69</v>
      </c>
      <c r="BF334" s="8" t="str">
        <f t="shared" si="91"/>
        <v>-</v>
      </c>
      <c r="BG334" s="2"/>
      <c r="BH334" s="8" t="str">
        <f t="shared" si="87"/>
        <v>+</v>
      </c>
      <c r="BI334" s="2"/>
      <c r="BJ334" s="8" t="str">
        <f t="shared" si="88"/>
        <v>+</v>
      </c>
      <c r="BK334" s="2"/>
      <c r="BL334" s="8" t="str">
        <f t="shared" si="89"/>
        <v>+</v>
      </c>
    </row>
    <row r="335" spans="1:64">
      <c r="A335" s="1">
        <v>28399</v>
      </c>
      <c r="B335">
        <v>53.9</v>
      </c>
      <c r="C335">
        <v>57</v>
      </c>
      <c r="D335">
        <v>50.4</v>
      </c>
      <c r="E335">
        <v>54.9</v>
      </c>
      <c r="F335">
        <v>56.7</v>
      </c>
      <c r="G335">
        <v>44.8</v>
      </c>
      <c r="I335">
        <v>65.400000000000006</v>
      </c>
      <c r="W335" s="1">
        <v>28399</v>
      </c>
      <c r="X335">
        <v>92.339995999999999</v>
      </c>
      <c r="Y335" s="4">
        <f t="shared" si="90"/>
        <v>-4.3406226493382688E-2</v>
      </c>
      <c r="Z335" s="4">
        <f t="shared" ref="Z335:Z398" si="92">(X335-X323)/X323</f>
        <v>-0.10262396301994242</v>
      </c>
      <c r="AA335">
        <v>53.9</v>
      </c>
      <c r="AB335">
        <f t="shared" ref="AB335:AB398" si="93">AA323</f>
        <v>53.6</v>
      </c>
      <c r="AP335" s="3">
        <v>28369</v>
      </c>
      <c r="AQ335" s="2">
        <v>54.9</v>
      </c>
      <c r="AR335" s="2" t="str">
        <f t="shared" si="80"/>
        <v>-</v>
      </c>
      <c r="AS335" s="2">
        <v>58.8</v>
      </c>
      <c r="AT335" s="8" t="str">
        <f t="shared" si="81"/>
        <v>-</v>
      </c>
      <c r="AU335" s="2">
        <v>53.9</v>
      </c>
      <c r="AV335" s="8" t="str">
        <f t="shared" si="82"/>
        <v>-</v>
      </c>
      <c r="AW335" s="2">
        <v>53.6</v>
      </c>
      <c r="AX335" s="8" t="str">
        <f t="shared" si="83"/>
        <v>-</v>
      </c>
      <c r="AY335" s="2">
        <v>53.5</v>
      </c>
      <c r="AZ335" s="8" t="str">
        <f t="shared" si="84"/>
        <v>-</v>
      </c>
      <c r="BA335" s="2">
        <v>50</v>
      </c>
      <c r="BB335" s="8" t="str">
        <f t="shared" si="85"/>
        <v>-</v>
      </c>
      <c r="BC335" s="2"/>
      <c r="BD335" s="8" t="str">
        <f t="shared" si="86"/>
        <v>+</v>
      </c>
      <c r="BE335" s="2">
        <v>70.400000000000006</v>
      </c>
      <c r="BF335" s="8" t="str">
        <f t="shared" si="91"/>
        <v>+</v>
      </c>
      <c r="BG335" s="2"/>
      <c r="BH335" s="8" t="str">
        <f t="shared" si="87"/>
        <v>+</v>
      </c>
      <c r="BI335" s="2"/>
      <c r="BJ335" s="8" t="str">
        <f t="shared" si="88"/>
        <v>+</v>
      </c>
      <c r="BK335" s="2"/>
      <c r="BL335" s="8" t="str">
        <f t="shared" si="89"/>
        <v>+</v>
      </c>
    </row>
    <row r="336" spans="1:64">
      <c r="A336" s="1">
        <v>28430</v>
      </c>
      <c r="B336">
        <v>55.4</v>
      </c>
      <c r="C336">
        <v>57.1</v>
      </c>
      <c r="D336">
        <v>56</v>
      </c>
      <c r="E336">
        <v>57</v>
      </c>
      <c r="F336">
        <v>53.6</v>
      </c>
      <c r="G336">
        <v>47.9</v>
      </c>
      <c r="I336">
        <v>64.5</v>
      </c>
      <c r="W336" s="1">
        <v>28430</v>
      </c>
      <c r="X336">
        <v>94.830001999999993</v>
      </c>
      <c r="Y336" s="4">
        <f t="shared" si="90"/>
        <v>2.6965628198640967E-2</v>
      </c>
      <c r="Z336" s="4">
        <f t="shared" si="92"/>
        <v>-7.1204663490786815E-2</v>
      </c>
      <c r="AA336">
        <v>55.4</v>
      </c>
      <c r="AB336">
        <f t="shared" si="93"/>
        <v>53.5</v>
      </c>
      <c r="AP336" s="3">
        <v>28399</v>
      </c>
      <c r="AQ336" s="2">
        <v>53.9</v>
      </c>
      <c r="AR336" s="2" t="str">
        <f t="shared" si="80"/>
        <v>-</v>
      </c>
      <c r="AS336" s="2">
        <v>57</v>
      </c>
      <c r="AT336" s="8" t="str">
        <f t="shared" si="81"/>
        <v>-</v>
      </c>
      <c r="AU336" s="2">
        <v>54.9</v>
      </c>
      <c r="AV336" s="8" t="str">
        <f t="shared" si="82"/>
        <v>+</v>
      </c>
      <c r="AW336" s="2">
        <v>50.4</v>
      </c>
      <c r="AX336" s="8" t="str">
        <f t="shared" si="83"/>
        <v>-</v>
      </c>
      <c r="AY336" s="2">
        <v>56.7</v>
      </c>
      <c r="AZ336" s="8" t="str">
        <f t="shared" si="84"/>
        <v>+</v>
      </c>
      <c r="BA336" s="2">
        <v>44.8</v>
      </c>
      <c r="BB336" s="8" t="str">
        <f t="shared" si="85"/>
        <v>-</v>
      </c>
      <c r="BC336" s="2"/>
      <c r="BD336" s="8" t="str">
        <f t="shared" si="86"/>
        <v>+</v>
      </c>
      <c r="BE336" s="2">
        <v>65.400000000000006</v>
      </c>
      <c r="BF336" s="8" t="str">
        <f t="shared" si="91"/>
        <v>-</v>
      </c>
      <c r="BG336" s="2"/>
      <c r="BH336" s="8" t="str">
        <f t="shared" si="87"/>
        <v>+</v>
      </c>
      <c r="BI336" s="2"/>
      <c r="BJ336" s="8" t="str">
        <f t="shared" si="88"/>
        <v>+</v>
      </c>
      <c r="BK336" s="2"/>
      <c r="BL336" s="8" t="str">
        <f t="shared" si="89"/>
        <v>+</v>
      </c>
    </row>
    <row r="337" spans="1:64">
      <c r="A337" s="1">
        <v>28460</v>
      </c>
      <c r="B337">
        <v>56.1</v>
      </c>
      <c r="C337">
        <v>59.2</v>
      </c>
      <c r="D337">
        <v>51.8</v>
      </c>
      <c r="E337">
        <v>58.7</v>
      </c>
      <c r="F337">
        <v>56.3</v>
      </c>
      <c r="G337">
        <v>48</v>
      </c>
      <c r="I337">
        <v>62</v>
      </c>
      <c r="W337" s="1">
        <v>28460</v>
      </c>
      <c r="X337">
        <v>95.099997999999999</v>
      </c>
      <c r="Y337" s="4">
        <f t="shared" si="90"/>
        <v>2.8471580122924191E-3</v>
      </c>
      <c r="Z337" s="4">
        <f t="shared" si="92"/>
        <v>-0.11501955253135632</v>
      </c>
      <c r="AA337">
        <v>56.1</v>
      </c>
      <c r="AB337">
        <f t="shared" si="93"/>
        <v>51.7</v>
      </c>
      <c r="AP337" s="3">
        <v>28430</v>
      </c>
      <c r="AQ337" s="2">
        <v>55.4</v>
      </c>
      <c r="AR337" s="2" t="str">
        <f t="shared" si="80"/>
        <v>+</v>
      </c>
      <c r="AS337" s="2">
        <v>57.1</v>
      </c>
      <c r="AT337" s="8" t="str">
        <f t="shared" si="81"/>
        <v>+</v>
      </c>
      <c r="AU337" s="2">
        <v>57</v>
      </c>
      <c r="AV337" s="8" t="str">
        <f t="shared" si="82"/>
        <v>+</v>
      </c>
      <c r="AW337" s="2">
        <v>56</v>
      </c>
      <c r="AX337" s="8" t="str">
        <f t="shared" si="83"/>
        <v>+</v>
      </c>
      <c r="AY337" s="2">
        <v>53.6</v>
      </c>
      <c r="AZ337" s="8" t="str">
        <f t="shared" si="84"/>
        <v>-</v>
      </c>
      <c r="BA337" s="2">
        <v>47.9</v>
      </c>
      <c r="BB337" s="8" t="str">
        <f t="shared" si="85"/>
        <v>+</v>
      </c>
      <c r="BC337" s="2"/>
      <c r="BD337" s="8" t="str">
        <f t="shared" si="86"/>
        <v>+</v>
      </c>
      <c r="BE337" s="2">
        <v>64.5</v>
      </c>
      <c r="BF337" s="8" t="str">
        <f t="shared" si="91"/>
        <v>-</v>
      </c>
      <c r="BG337" s="2"/>
      <c r="BH337" s="8" t="str">
        <f t="shared" si="87"/>
        <v>+</v>
      </c>
      <c r="BI337" s="2"/>
      <c r="BJ337" s="8" t="str">
        <f t="shared" si="88"/>
        <v>+</v>
      </c>
      <c r="BK337" s="2"/>
      <c r="BL337" s="8" t="str">
        <f t="shared" si="89"/>
        <v>+</v>
      </c>
    </row>
    <row r="338" spans="1:64">
      <c r="A338" s="1">
        <v>28491</v>
      </c>
      <c r="B338">
        <v>59.8</v>
      </c>
      <c r="C338">
        <v>60.7</v>
      </c>
      <c r="D338">
        <v>59.8</v>
      </c>
      <c r="E338">
        <v>64.7</v>
      </c>
      <c r="F338">
        <v>57.1</v>
      </c>
      <c r="G338">
        <v>48.9</v>
      </c>
      <c r="I338">
        <v>67.2</v>
      </c>
      <c r="W338" s="1">
        <v>28491</v>
      </c>
      <c r="X338">
        <v>89.25</v>
      </c>
      <c r="Y338" s="4">
        <f t="shared" si="90"/>
        <v>-6.1514175846775508E-2</v>
      </c>
      <c r="Z338" s="4">
        <f t="shared" si="92"/>
        <v>-0.12525726869800324</v>
      </c>
      <c r="AA338">
        <v>59.8</v>
      </c>
      <c r="AB338">
        <f t="shared" si="93"/>
        <v>56.6</v>
      </c>
      <c r="AP338" s="3">
        <v>28460</v>
      </c>
      <c r="AQ338" s="2">
        <v>56.1</v>
      </c>
      <c r="AR338" s="2" t="str">
        <f t="shared" si="80"/>
        <v>+</v>
      </c>
      <c r="AS338" s="2">
        <v>59.2</v>
      </c>
      <c r="AT338" s="8" t="str">
        <f t="shared" si="81"/>
        <v>+</v>
      </c>
      <c r="AU338" s="2">
        <v>58.7</v>
      </c>
      <c r="AV338" s="8" t="str">
        <f t="shared" si="82"/>
        <v>+</v>
      </c>
      <c r="AW338" s="2">
        <v>51.8</v>
      </c>
      <c r="AX338" s="8" t="str">
        <f t="shared" si="83"/>
        <v>-</v>
      </c>
      <c r="AY338" s="2">
        <v>56.3</v>
      </c>
      <c r="AZ338" s="8" t="str">
        <f t="shared" si="84"/>
        <v>+</v>
      </c>
      <c r="BA338" s="2">
        <v>48</v>
      </c>
      <c r="BB338" s="8" t="str">
        <f t="shared" si="85"/>
        <v>+</v>
      </c>
      <c r="BC338" s="2"/>
      <c r="BD338" s="8" t="str">
        <f t="shared" si="86"/>
        <v>+</v>
      </c>
      <c r="BE338" s="2">
        <v>62</v>
      </c>
      <c r="BF338" s="8" t="str">
        <f t="shared" si="91"/>
        <v>-</v>
      </c>
      <c r="BG338" s="2"/>
      <c r="BH338" s="8" t="str">
        <f t="shared" si="87"/>
        <v>+</v>
      </c>
      <c r="BI338" s="2"/>
      <c r="BJ338" s="8" t="str">
        <f t="shared" si="88"/>
        <v>+</v>
      </c>
      <c r="BK338" s="2"/>
      <c r="BL338" s="8" t="str">
        <f t="shared" si="89"/>
        <v>+</v>
      </c>
    </row>
    <row r="339" spans="1:64">
      <c r="A339" s="1">
        <v>28522</v>
      </c>
      <c r="B339">
        <v>57.4</v>
      </c>
      <c r="C339">
        <v>60.6</v>
      </c>
      <c r="D339">
        <v>55.1</v>
      </c>
      <c r="E339">
        <v>57.7</v>
      </c>
      <c r="F339">
        <v>55.6</v>
      </c>
      <c r="G339">
        <v>54</v>
      </c>
      <c r="I339">
        <v>71.099999999999994</v>
      </c>
      <c r="W339" s="1">
        <v>28522</v>
      </c>
      <c r="X339">
        <v>87.040001000000004</v>
      </c>
      <c r="Y339" s="4">
        <f t="shared" si="90"/>
        <v>-2.4761893557422927E-2</v>
      </c>
      <c r="Z339" s="4">
        <f t="shared" si="92"/>
        <v>-0.12803044480064105</v>
      </c>
      <c r="AA339">
        <v>57.4</v>
      </c>
      <c r="AB339">
        <f t="shared" si="93"/>
        <v>54.8</v>
      </c>
      <c r="AP339" s="3">
        <v>28491</v>
      </c>
      <c r="AQ339" s="2">
        <v>59.8</v>
      </c>
      <c r="AR339" s="2" t="str">
        <f t="shared" si="80"/>
        <v>+</v>
      </c>
      <c r="AS339" s="2">
        <v>60.7</v>
      </c>
      <c r="AT339" s="8" t="str">
        <f t="shared" si="81"/>
        <v>+</v>
      </c>
      <c r="AU339" s="2">
        <v>64.7</v>
      </c>
      <c r="AV339" s="8" t="str">
        <f t="shared" si="82"/>
        <v>+</v>
      </c>
      <c r="AW339" s="2">
        <v>59.8</v>
      </c>
      <c r="AX339" s="8" t="str">
        <f t="shared" si="83"/>
        <v>+</v>
      </c>
      <c r="AY339" s="2">
        <v>57.1</v>
      </c>
      <c r="AZ339" s="8" t="str">
        <f t="shared" si="84"/>
        <v>+</v>
      </c>
      <c r="BA339" s="2">
        <v>48.9</v>
      </c>
      <c r="BB339" s="8" t="str">
        <f t="shared" si="85"/>
        <v>+</v>
      </c>
      <c r="BC339" s="2"/>
      <c r="BD339" s="8" t="str">
        <f t="shared" si="86"/>
        <v>+</v>
      </c>
      <c r="BE339" s="2">
        <v>67.2</v>
      </c>
      <c r="BF339" s="8" t="str">
        <f t="shared" si="91"/>
        <v>+</v>
      </c>
      <c r="BG339" s="2"/>
      <c r="BH339" s="8" t="str">
        <f t="shared" si="87"/>
        <v>+</v>
      </c>
      <c r="BI339" s="2"/>
      <c r="BJ339" s="8" t="str">
        <f t="shared" si="88"/>
        <v>+</v>
      </c>
      <c r="BK339" s="2"/>
      <c r="BL339" s="8" t="str">
        <f t="shared" si="89"/>
        <v>+</v>
      </c>
    </row>
    <row r="340" spans="1:64">
      <c r="A340" s="1">
        <v>28550</v>
      </c>
      <c r="B340">
        <v>55.9</v>
      </c>
      <c r="C340">
        <v>56.2</v>
      </c>
      <c r="D340">
        <v>52.8</v>
      </c>
      <c r="E340">
        <v>54.6</v>
      </c>
      <c r="F340">
        <v>63.4</v>
      </c>
      <c r="G340">
        <v>54</v>
      </c>
      <c r="I340">
        <v>74.400000000000006</v>
      </c>
      <c r="W340" s="1">
        <v>28550</v>
      </c>
      <c r="X340">
        <v>89.209998999999996</v>
      </c>
      <c r="Y340" s="4">
        <f t="shared" si="90"/>
        <v>2.4931042912097308E-2</v>
      </c>
      <c r="Z340" s="4">
        <f t="shared" si="92"/>
        <v>-9.357853268804181E-2</v>
      </c>
      <c r="AA340">
        <v>55.9</v>
      </c>
      <c r="AB340">
        <f t="shared" si="93"/>
        <v>55</v>
      </c>
      <c r="AP340" s="3">
        <v>28522</v>
      </c>
      <c r="AQ340" s="2">
        <v>57.4</v>
      </c>
      <c r="AR340" s="2" t="str">
        <f t="shared" si="80"/>
        <v>-</v>
      </c>
      <c r="AS340" s="2">
        <v>60.6</v>
      </c>
      <c r="AT340" s="8" t="str">
        <f t="shared" si="81"/>
        <v>-</v>
      </c>
      <c r="AU340" s="2">
        <v>57.7</v>
      </c>
      <c r="AV340" s="8" t="str">
        <f t="shared" si="82"/>
        <v>-</v>
      </c>
      <c r="AW340" s="2">
        <v>55.1</v>
      </c>
      <c r="AX340" s="8" t="str">
        <f t="shared" si="83"/>
        <v>-</v>
      </c>
      <c r="AY340" s="2">
        <v>55.6</v>
      </c>
      <c r="AZ340" s="8" t="str">
        <f t="shared" si="84"/>
        <v>-</v>
      </c>
      <c r="BA340" s="2">
        <v>54</v>
      </c>
      <c r="BB340" s="8" t="str">
        <f t="shared" si="85"/>
        <v>+</v>
      </c>
      <c r="BC340" s="2"/>
      <c r="BD340" s="8" t="str">
        <f t="shared" si="86"/>
        <v>+</v>
      </c>
      <c r="BE340" s="2">
        <v>71.099999999999994</v>
      </c>
      <c r="BF340" s="8" t="str">
        <f t="shared" si="91"/>
        <v>+</v>
      </c>
      <c r="BG340" s="2"/>
      <c r="BH340" s="8" t="str">
        <f t="shared" si="87"/>
        <v>+</v>
      </c>
      <c r="BI340" s="2"/>
      <c r="BJ340" s="8" t="str">
        <f t="shared" si="88"/>
        <v>+</v>
      </c>
      <c r="BK340" s="2"/>
      <c r="BL340" s="8" t="str">
        <f t="shared" si="89"/>
        <v>+</v>
      </c>
    </row>
    <row r="341" spans="1:64">
      <c r="A341" s="1">
        <v>28581</v>
      </c>
      <c r="B341">
        <v>55</v>
      </c>
      <c r="C341">
        <v>56.6</v>
      </c>
      <c r="D341">
        <v>52.9</v>
      </c>
      <c r="E341">
        <v>57</v>
      </c>
      <c r="F341">
        <v>58.9</v>
      </c>
      <c r="G341">
        <v>44</v>
      </c>
      <c r="I341">
        <v>72.3</v>
      </c>
      <c r="W341" s="1">
        <v>28581</v>
      </c>
      <c r="X341">
        <v>96.830001999999993</v>
      </c>
      <c r="Y341" s="4">
        <f t="shared" si="90"/>
        <v>8.5416467721292064E-2</v>
      </c>
      <c r="Z341" s="4">
        <f t="shared" si="92"/>
        <v>-1.6355139854629559E-2</v>
      </c>
      <c r="AA341">
        <v>55</v>
      </c>
      <c r="AB341">
        <f t="shared" si="93"/>
        <v>58.4</v>
      </c>
      <c r="AP341" s="3">
        <v>28550</v>
      </c>
      <c r="AQ341" s="2">
        <v>55.9</v>
      </c>
      <c r="AR341" s="2" t="str">
        <f t="shared" si="80"/>
        <v>-</v>
      </c>
      <c r="AS341" s="2">
        <v>56.2</v>
      </c>
      <c r="AT341" s="8" t="str">
        <f t="shared" si="81"/>
        <v>-</v>
      </c>
      <c r="AU341" s="2">
        <v>54.6</v>
      </c>
      <c r="AV341" s="8" t="str">
        <f t="shared" si="82"/>
        <v>-</v>
      </c>
      <c r="AW341" s="2">
        <v>52.8</v>
      </c>
      <c r="AX341" s="8" t="str">
        <f t="shared" si="83"/>
        <v>-</v>
      </c>
      <c r="AY341" s="2">
        <v>63.4</v>
      </c>
      <c r="AZ341" s="8" t="str">
        <f t="shared" si="84"/>
        <v>+</v>
      </c>
      <c r="BA341" s="2">
        <v>54</v>
      </c>
      <c r="BB341" s="8" t="str">
        <f t="shared" si="85"/>
        <v>+</v>
      </c>
      <c r="BC341" s="2"/>
      <c r="BD341" s="8" t="str">
        <f t="shared" si="86"/>
        <v>+</v>
      </c>
      <c r="BE341" s="2">
        <v>74.400000000000006</v>
      </c>
      <c r="BF341" s="8" t="str">
        <f t="shared" si="91"/>
        <v>+</v>
      </c>
      <c r="BG341" s="2"/>
      <c r="BH341" s="8" t="str">
        <f t="shared" si="87"/>
        <v>+</v>
      </c>
      <c r="BI341" s="2"/>
      <c r="BJ341" s="8" t="str">
        <f t="shared" si="88"/>
        <v>+</v>
      </c>
      <c r="BK341" s="2"/>
      <c r="BL341" s="8" t="str">
        <f t="shared" si="89"/>
        <v>+</v>
      </c>
    </row>
    <row r="342" spans="1:64">
      <c r="A342" s="1">
        <v>28611</v>
      </c>
      <c r="B342">
        <v>57.7</v>
      </c>
      <c r="C342">
        <v>60.2</v>
      </c>
      <c r="D342">
        <v>53.8</v>
      </c>
      <c r="E342">
        <v>60.3</v>
      </c>
      <c r="F342">
        <v>57.1</v>
      </c>
      <c r="G342">
        <v>52.4</v>
      </c>
      <c r="I342">
        <v>78.7</v>
      </c>
      <c r="W342" s="1">
        <v>28611</v>
      </c>
      <c r="X342">
        <v>97.239998</v>
      </c>
      <c r="Y342" s="4">
        <f t="shared" si="90"/>
        <v>4.234183533322727E-3</v>
      </c>
      <c r="Z342" s="4">
        <f t="shared" si="92"/>
        <v>1.1652049157759629E-2</v>
      </c>
      <c r="AA342">
        <v>57.7</v>
      </c>
      <c r="AB342">
        <f t="shared" si="93"/>
        <v>56.9</v>
      </c>
      <c r="AP342" s="3">
        <v>28581</v>
      </c>
      <c r="AQ342" s="2">
        <v>55</v>
      </c>
      <c r="AR342" s="2" t="str">
        <f t="shared" si="80"/>
        <v>-</v>
      </c>
      <c r="AS342" s="2">
        <v>56.6</v>
      </c>
      <c r="AT342" s="8" t="str">
        <f t="shared" si="81"/>
        <v>+</v>
      </c>
      <c r="AU342" s="2">
        <v>57</v>
      </c>
      <c r="AV342" s="8" t="str">
        <f t="shared" si="82"/>
        <v>+</v>
      </c>
      <c r="AW342" s="2">
        <v>52.9</v>
      </c>
      <c r="AX342" s="8" t="str">
        <f t="shared" si="83"/>
        <v>+</v>
      </c>
      <c r="AY342" s="2">
        <v>58.9</v>
      </c>
      <c r="AZ342" s="8" t="str">
        <f t="shared" si="84"/>
        <v>-</v>
      </c>
      <c r="BA342" s="2">
        <v>44</v>
      </c>
      <c r="BB342" s="8" t="str">
        <f t="shared" si="85"/>
        <v>-</v>
      </c>
      <c r="BC342" s="2"/>
      <c r="BD342" s="8" t="str">
        <f t="shared" si="86"/>
        <v>+</v>
      </c>
      <c r="BE342" s="2">
        <v>72.3</v>
      </c>
      <c r="BF342" s="8" t="str">
        <f t="shared" si="91"/>
        <v>-</v>
      </c>
      <c r="BG342" s="2"/>
      <c r="BH342" s="8" t="str">
        <f t="shared" si="87"/>
        <v>+</v>
      </c>
      <c r="BI342" s="2"/>
      <c r="BJ342" s="8" t="str">
        <f t="shared" si="88"/>
        <v>+</v>
      </c>
      <c r="BK342" s="2"/>
      <c r="BL342" s="8" t="str">
        <f t="shared" si="89"/>
        <v>+</v>
      </c>
    </row>
    <row r="343" spans="1:64">
      <c r="A343" s="1">
        <v>28642</v>
      </c>
      <c r="B343">
        <v>60.2</v>
      </c>
      <c r="C343">
        <v>63.9</v>
      </c>
      <c r="D343">
        <v>57</v>
      </c>
      <c r="E343">
        <v>62.3</v>
      </c>
      <c r="F343">
        <v>57.4</v>
      </c>
      <c r="G343">
        <v>54.5</v>
      </c>
      <c r="I343">
        <v>81.8</v>
      </c>
      <c r="W343" s="1">
        <v>28642</v>
      </c>
      <c r="X343">
        <v>95.529999000000004</v>
      </c>
      <c r="Y343" s="4">
        <f t="shared" si="90"/>
        <v>-1.7585345898505637E-2</v>
      </c>
      <c r="Z343" s="4">
        <f t="shared" si="92"/>
        <v>-4.9263573369917123E-2</v>
      </c>
      <c r="AA343">
        <v>60.2</v>
      </c>
      <c r="AB343">
        <f t="shared" si="93"/>
        <v>59.7</v>
      </c>
      <c r="AP343" s="3">
        <v>28611</v>
      </c>
      <c r="AQ343" s="2">
        <v>57.7</v>
      </c>
      <c r="AR343" s="2" t="str">
        <f t="shared" si="80"/>
        <v>+</v>
      </c>
      <c r="AS343" s="2">
        <v>60.2</v>
      </c>
      <c r="AT343" s="8" t="str">
        <f t="shared" si="81"/>
        <v>+</v>
      </c>
      <c r="AU343" s="2">
        <v>60.3</v>
      </c>
      <c r="AV343" s="8" t="str">
        <f t="shared" si="82"/>
        <v>+</v>
      </c>
      <c r="AW343" s="2">
        <v>53.8</v>
      </c>
      <c r="AX343" s="8" t="str">
        <f t="shared" si="83"/>
        <v>+</v>
      </c>
      <c r="AY343" s="2">
        <v>57.1</v>
      </c>
      <c r="AZ343" s="8" t="str">
        <f t="shared" si="84"/>
        <v>-</v>
      </c>
      <c r="BA343" s="2">
        <v>52.4</v>
      </c>
      <c r="BB343" s="8" t="str">
        <f t="shared" si="85"/>
        <v>+</v>
      </c>
      <c r="BC343" s="2"/>
      <c r="BD343" s="8" t="str">
        <f t="shared" si="86"/>
        <v>+</v>
      </c>
      <c r="BE343" s="2">
        <v>78.7</v>
      </c>
      <c r="BF343" s="8" t="str">
        <f t="shared" si="91"/>
        <v>+</v>
      </c>
      <c r="BG343" s="2"/>
      <c r="BH343" s="8" t="str">
        <f t="shared" si="87"/>
        <v>+</v>
      </c>
      <c r="BI343" s="2"/>
      <c r="BJ343" s="8" t="str">
        <f t="shared" si="88"/>
        <v>+</v>
      </c>
      <c r="BK343" s="2"/>
      <c r="BL343" s="8" t="str">
        <f t="shared" si="89"/>
        <v>+</v>
      </c>
    </row>
    <row r="344" spans="1:64">
      <c r="A344" s="1">
        <v>28672</v>
      </c>
      <c r="B344">
        <v>60.5</v>
      </c>
      <c r="C344">
        <v>63.6</v>
      </c>
      <c r="D344">
        <v>57.2</v>
      </c>
      <c r="E344">
        <v>61.7</v>
      </c>
      <c r="F344">
        <v>61.1</v>
      </c>
      <c r="G344">
        <v>54.2</v>
      </c>
      <c r="I344">
        <v>82.3</v>
      </c>
      <c r="W344" s="1">
        <v>28672</v>
      </c>
      <c r="X344">
        <v>100.68</v>
      </c>
      <c r="Y344" s="4">
        <f t="shared" si="90"/>
        <v>5.3909777597715695E-2</v>
      </c>
      <c r="Z344" s="4">
        <f t="shared" si="92"/>
        <v>1.8512918938045981E-2</v>
      </c>
      <c r="AA344">
        <v>60.5</v>
      </c>
      <c r="AB344">
        <f t="shared" si="93"/>
        <v>56.8</v>
      </c>
      <c r="AP344" s="3">
        <v>28642</v>
      </c>
      <c r="AQ344" s="2">
        <v>60.2</v>
      </c>
      <c r="AR344" s="2" t="str">
        <f t="shared" si="80"/>
        <v>+</v>
      </c>
      <c r="AS344" s="2">
        <v>63.9</v>
      </c>
      <c r="AT344" s="8" t="str">
        <f t="shared" si="81"/>
        <v>+</v>
      </c>
      <c r="AU344" s="2">
        <v>62.3</v>
      </c>
      <c r="AV344" s="8" t="str">
        <f t="shared" si="82"/>
        <v>+</v>
      </c>
      <c r="AW344" s="2">
        <v>57</v>
      </c>
      <c r="AX344" s="8" t="str">
        <f t="shared" si="83"/>
        <v>+</v>
      </c>
      <c r="AY344" s="2">
        <v>57.4</v>
      </c>
      <c r="AZ344" s="8" t="str">
        <f t="shared" si="84"/>
        <v>+</v>
      </c>
      <c r="BA344" s="2">
        <v>54.5</v>
      </c>
      <c r="BB344" s="8" t="str">
        <f t="shared" si="85"/>
        <v>+</v>
      </c>
      <c r="BC344" s="2"/>
      <c r="BD344" s="8" t="str">
        <f t="shared" si="86"/>
        <v>+</v>
      </c>
      <c r="BE344" s="2">
        <v>81.8</v>
      </c>
      <c r="BF344" s="8" t="str">
        <f t="shared" si="91"/>
        <v>+</v>
      </c>
      <c r="BG344" s="2"/>
      <c r="BH344" s="8" t="str">
        <f t="shared" si="87"/>
        <v>+</v>
      </c>
      <c r="BI344" s="2"/>
      <c r="BJ344" s="8" t="str">
        <f t="shared" si="88"/>
        <v>+</v>
      </c>
      <c r="BK344" s="2"/>
      <c r="BL344" s="8" t="str">
        <f t="shared" si="89"/>
        <v>+</v>
      </c>
    </row>
    <row r="345" spans="1:64">
      <c r="A345" s="1">
        <v>28703</v>
      </c>
      <c r="B345">
        <v>62.2</v>
      </c>
      <c r="C345">
        <v>64.7</v>
      </c>
      <c r="D345">
        <v>58.8</v>
      </c>
      <c r="E345">
        <v>65.099999999999994</v>
      </c>
      <c r="F345">
        <v>59.4</v>
      </c>
      <c r="G345">
        <v>57.7</v>
      </c>
      <c r="I345">
        <v>83</v>
      </c>
      <c r="W345" s="1">
        <v>28703</v>
      </c>
      <c r="X345">
        <v>103.290001</v>
      </c>
      <c r="Y345" s="4">
        <f t="shared" si="90"/>
        <v>2.5923728645212522E-2</v>
      </c>
      <c r="Z345" s="4">
        <f t="shared" si="92"/>
        <v>6.73762963948423E-2</v>
      </c>
      <c r="AA345">
        <v>62.2</v>
      </c>
      <c r="AB345">
        <f t="shared" si="93"/>
        <v>57.7</v>
      </c>
      <c r="AP345" s="3">
        <v>28672</v>
      </c>
      <c r="AQ345" s="2">
        <v>60.5</v>
      </c>
      <c r="AR345" s="2" t="str">
        <f t="shared" si="80"/>
        <v>+</v>
      </c>
      <c r="AS345" s="2">
        <v>63.6</v>
      </c>
      <c r="AT345" s="8" t="str">
        <f t="shared" si="81"/>
        <v>-</v>
      </c>
      <c r="AU345" s="2">
        <v>61.7</v>
      </c>
      <c r="AV345" s="8" t="str">
        <f t="shared" si="82"/>
        <v>-</v>
      </c>
      <c r="AW345" s="2">
        <v>57.2</v>
      </c>
      <c r="AX345" s="8" t="str">
        <f t="shared" si="83"/>
        <v>+</v>
      </c>
      <c r="AY345" s="2">
        <v>61.1</v>
      </c>
      <c r="AZ345" s="8" t="str">
        <f t="shared" si="84"/>
        <v>+</v>
      </c>
      <c r="BA345" s="2">
        <v>54.2</v>
      </c>
      <c r="BB345" s="8" t="str">
        <f t="shared" si="85"/>
        <v>-</v>
      </c>
      <c r="BC345" s="2"/>
      <c r="BD345" s="8" t="str">
        <f t="shared" si="86"/>
        <v>+</v>
      </c>
      <c r="BE345" s="2">
        <v>82.3</v>
      </c>
      <c r="BF345" s="8" t="str">
        <f t="shared" si="91"/>
        <v>+</v>
      </c>
      <c r="BG345" s="2"/>
      <c r="BH345" s="8" t="str">
        <f t="shared" si="87"/>
        <v>+</v>
      </c>
      <c r="BI345" s="2"/>
      <c r="BJ345" s="8" t="str">
        <f t="shared" si="88"/>
        <v>+</v>
      </c>
      <c r="BK345" s="2"/>
      <c r="BL345" s="8" t="str">
        <f t="shared" si="89"/>
        <v>+</v>
      </c>
    </row>
    <row r="346" spans="1:64">
      <c r="A346" s="1">
        <v>28734</v>
      </c>
      <c r="B346">
        <v>60.3</v>
      </c>
      <c r="C346">
        <v>61.3</v>
      </c>
      <c r="D346">
        <v>55.3</v>
      </c>
      <c r="E346">
        <v>64.900000000000006</v>
      </c>
      <c r="F346">
        <v>60.6</v>
      </c>
      <c r="G346">
        <v>55.4</v>
      </c>
      <c r="I346">
        <v>85.4</v>
      </c>
      <c r="W346" s="1">
        <v>28734</v>
      </c>
      <c r="X346">
        <v>102.540001</v>
      </c>
      <c r="Y346" s="4">
        <f t="shared" si="90"/>
        <v>-7.2611094272329417E-3</v>
      </c>
      <c r="Z346" s="4">
        <f t="shared" si="92"/>
        <v>6.2260458533724833E-2</v>
      </c>
      <c r="AA346">
        <v>60.3</v>
      </c>
      <c r="AB346">
        <f t="shared" si="93"/>
        <v>54.9</v>
      </c>
      <c r="AP346" s="3">
        <v>28703</v>
      </c>
      <c r="AQ346" s="2">
        <v>62.2</v>
      </c>
      <c r="AR346" s="2" t="str">
        <f t="shared" si="80"/>
        <v>+</v>
      </c>
      <c r="AS346" s="2">
        <v>64.7</v>
      </c>
      <c r="AT346" s="8" t="str">
        <f t="shared" si="81"/>
        <v>+</v>
      </c>
      <c r="AU346" s="2">
        <v>65.099999999999994</v>
      </c>
      <c r="AV346" s="8" t="str">
        <f t="shared" si="82"/>
        <v>+</v>
      </c>
      <c r="AW346" s="2">
        <v>58.8</v>
      </c>
      <c r="AX346" s="8" t="str">
        <f t="shared" si="83"/>
        <v>+</v>
      </c>
      <c r="AY346" s="2">
        <v>59.4</v>
      </c>
      <c r="AZ346" s="8" t="str">
        <f t="shared" si="84"/>
        <v>-</v>
      </c>
      <c r="BA346" s="2">
        <v>57.7</v>
      </c>
      <c r="BB346" s="8" t="str">
        <f t="shared" si="85"/>
        <v>+</v>
      </c>
      <c r="BC346" s="2"/>
      <c r="BD346" s="8" t="str">
        <f t="shared" si="86"/>
        <v>+</v>
      </c>
      <c r="BE346" s="2">
        <v>83</v>
      </c>
      <c r="BF346" s="8" t="str">
        <f t="shared" si="91"/>
        <v>+</v>
      </c>
      <c r="BG346" s="2"/>
      <c r="BH346" s="8" t="str">
        <f t="shared" si="87"/>
        <v>+</v>
      </c>
      <c r="BI346" s="2"/>
      <c r="BJ346" s="8" t="str">
        <f t="shared" si="88"/>
        <v>+</v>
      </c>
      <c r="BK346" s="2"/>
      <c r="BL346" s="8" t="str">
        <f t="shared" si="89"/>
        <v>+</v>
      </c>
    </row>
    <row r="347" spans="1:64">
      <c r="A347" s="1">
        <v>28764</v>
      </c>
      <c r="B347">
        <v>60.5</v>
      </c>
      <c r="C347">
        <v>61.3</v>
      </c>
      <c r="D347">
        <v>57.2</v>
      </c>
      <c r="E347">
        <v>65</v>
      </c>
      <c r="F347">
        <v>60</v>
      </c>
      <c r="G347">
        <v>54.5</v>
      </c>
      <c r="I347">
        <v>86.8</v>
      </c>
      <c r="W347" s="1">
        <v>28764</v>
      </c>
      <c r="X347">
        <v>93.150002000000001</v>
      </c>
      <c r="Y347" s="4">
        <f t="shared" si="90"/>
        <v>-9.1574009249327029E-2</v>
      </c>
      <c r="Z347" s="4">
        <f t="shared" si="92"/>
        <v>8.7719951818061737E-3</v>
      </c>
      <c r="AA347">
        <v>60.5</v>
      </c>
      <c r="AB347">
        <f t="shared" si="93"/>
        <v>53.9</v>
      </c>
      <c r="AP347" s="3">
        <v>28734</v>
      </c>
      <c r="AQ347" s="2">
        <v>60.3</v>
      </c>
      <c r="AR347" s="2" t="str">
        <f t="shared" si="80"/>
        <v>-</v>
      </c>
      <c r="AS347" s="2">
        <v>61.3</v>
      </c>
      <c r="AT347" s="8" t="str">
        <f t="shared" si="81"/>
        <v>-</v>
      </c>
      <c r="AU347" s="2">
        <v>64.900000000000006</v>
      </c>
      <c r="AV347" s="8" t="str">
        <f t="shared" si="82"/>
        <v>-</v>
      </c>
      <c r="AW347" s="2">
        <v>55.3</v>
      </c>
      <c r="AX347" s="8" t="str">
        <f t="shared" si="83"/>
        <v>-</v>
      </c>
      <c r="AY347" s="2">
        <v>60.6</v>
      </c>
      <c r="AZ347" s="8" t="str">
        <f t="shared" si="84"/>
        <v>+</v>
      </c>
      <c r="BA347" s="2">
        <v>55.4</v>
      </c>
      <c r="BB347" s="8" t="str">
        <f t="shared" si="85"/>
        <v>-</v>
      </c>
      <c r="BC347" s="2"/>
      <c r="BD347" s="8" t="str">
        <f t="shared" si="86"/>
        <v>+</v>
      </c>
      <c r="BE347" s="2">
        <v>85.4</v>
      </c>
      <c r="BF347" s="8" t="str">
        <f t="shared" si="91"/>
        <v>+</v>
      </c>
      <c r="BG347" s="2"/>
      <c r="BH347" s="8" t="str">
        <f t="shared" si="87"/>
        <v>+</v>
      </c>
      <c r="BI347" s="2"/>
      <c r="BJ347" s="8" t="str">
        <f t="shared" si="88"/>
        <v>+</v>
      </c>
      <c r="BK347" s="2"/>
      <c r="BL347" s="8" t="str">
        <f t="shared" si="89"/>
        <v>+</v>
      </c>
    </row>
    <row r="348" spans="1:64">
      <c r="A348" s="1">
        <v>28795</v>
      </c>
      <c r="B348">
        <v>60.1</v>
      </c>
      <c r="C348">
        <v>58.8</v>
      </c>
      <c r="D348">
        <v>57.9</v>
      </c>
      <c r="E348">
        <v>62</v>
      </c>
      <c r="F348">
        <v>64.7</v>
      </c>
      <c r="G348">
        <v>56.1</v>
      </c>
      <c r="I348">
        <v>86.8</v>
      </c>
      <c r="W348" s="1">
        <v>28795</v>
      </c>
      <c r="X348">
        <v>94.699996999999996</v>
      </c>
      <c r="Y348" s="4">
        <f t="shared" si="90"/>
        <v>1.6639774199897445E-2</v>
      </c>
      <c r="Z348" s="4">
        <f t="shared" si="92"/>
        <v>-1.3709268929467811E-3</v>
      </c>
      <c r="AA348">
        <v>60.1</v>
      </c>
      <c r="AB348">
        <f t="shared" si="93"/>
        <v>55.4</v>
      </c>
      <c r="AP348" s="3">
        <v>28764</v>
      </c>
      <c r="AQ348" s="2">
        <v>60.5</v>
      </c>
      <c r="AR348" s="2" t="str">
        <f t="shared" si="80"/>
        <v>+</v>
      </c>
      <c r="AS348" s="2">
        <v>61.3</v>
      </c>
      <c r="AT348" s="8" t="str">
        <f t="shared" si="81"/>
        <v>+</v>
      </c>
      <c r="AU348" s="2">
        <v>65</v>
      </c>
      <c r="AV348" s="8" t="str">
        <f t="shared" si="82"/>
        <v>+</v>
      </c>
      <c r="AW348" s="2">
        <v>57.2</v>
      </c>
      <c r="AX348" s="8" t="str">
        <f t="shared" si="83"/>
        <v>+</v>
      </c>
      <c r="AY348" s="2">
        <v>60</v>
      </c>
      <c r="AZ348" s="8" t="str">
        <f t="shared" si="84"/>
        <v>-</v>
      </c>
      <c r="BA348" s="2">
        <v>54.5</v>
      </c>
      <c r="BB348" s="8" t="str">
        <f t="shared" si="85"/>
        <v>-</v>
      </c>
      <c r="BC348" s="2"/>
      <c r="BD348" s="8" t="str">
        <f t="shared" si="86"/>
        <v>+</v>
      </c>
      <c r="BE348" s="2">
        <v>86.8</v>
      </c>
      <c r="BF348" s="8" t="str">
        <f t="shared" si="91"/>
        <v>+</v>
      </c>
      <c r="BG348" s="2"/>
      <c r="BH348" s="8" t="str">
        <f t="shared" si="87"/>
        <v>+</v>
      </c>
      <c r="BI348" s="2"/>
      <c r="BJ348" s="8" t="str">
        <f t="shared" si="88"/>
        <v>+</v>
      </c>
      <c r="BK348" s="2"/>
      <c r="BL348" s="8" t="str">
        <f t="shared" si="89"/>
        <v>+</v>
      </c>
    </row>
    <row r="349" spans="1:64">
      <c r="A349" s="1">
        <v>28825</v>
      </c>
      <c r="B349">
        <v>61.3</v>
      </c>
      <c r="C349">
        <v>61.9</v>
      </c>
      <c r="D349">
        <v>60.4</v>
      </c>
      <c r="E349">
        <v>61.3</v>
      </c>
      <c r="F349">
        <v>64.5</v>
      </c>
      <c r="G349">
        <v>56.7</v>
      </c>
      <c r="I349">
        <v>84.1</v>
      </c>
      <c r="W349" s="1">
        <v>28825</v>
      </c>
      <c r="X349">
        <v>96.110000999999997</v>
      </c>
      <c r="Y349" s="4">
        <f t="shared" si="90"/>
        <v>1.4889166258368527E-2</v>
      </c>
      <c r="Z349" s="4">
        <f t="shared" si="92"/>
        <v>1.0620431348484335E-2</v>
      </c>
      <c r="AA349">
        <v>61.3</v>
      </c>
      <c r="AB349">
        <f t="shared" si="93"/>
        <v>56.1</v>
      </c>
      <c r="AP349" s="3">
        <v>28795</v>
      </c>
      <c r="AQ349" s="2">
        <v>60.1</v>
      </c>
      <c r="AR349" s="2" t="str">
        <f t="shared" si="80"/>
        <v>-</v>
      </c>
      <c r="AS349" s="2">
        <v>58.8</v>
      </c>
      <c r="AT349" s="8" t="str">
        <f t="shared" si="81"/>
        <v>-</v>
      </c>
      <c r="AU349" s="2">
        <v>62</v>
      </c>
      <c r="AV349" s="8" t="str">
        <f t="shared" si="82"/>
        <v>-</v>
      </c>
      <c r="AW349" s="2">
        <v>57.9</v>
      </c>
      <c r="AX349" s="8" t="str">
        <f t="shared" si="83"/>
        <v>+</v>
      </c>
      <c r="AY349" s="2">
        <v>64.7</v>
      </c>
      <c r="AZ349" s="8" t="str">
        <f t="shared" si="84"/>
        <v>+</v>
      </c>
      <c r="BA349" s="2">
        <v>56.1</v>
      </c>
      <c r="BB349" s="8" t="str">
        <f t="shared" si="85"/>
        <v>+</v>
      </c>
      <c r="BC349" s="2"/>
      <c r="BD349" s="8" t="str">
        <f t="shared" si="86"/>
        <v>+</v>
      </c>
      <c r="BE349" s="2">
        <v>86.8</v>
      </c>
      <c r="BF349" s="8" t="str">
        <f t="shared" si="91"/>
        <v>+</v>
      </c>
      <c r="BG349" s="2"/>
      <c r="BH349" s="8" t="str">
        <f t="shared" si="87"/>
        <v>+</v>
      </c>
      <c r="BI349" s="2"/>
      <c r="BJ349" s="8" t="str">
        <f t="shared" si="88"/>
        <v>+</v>
      </c>
      <c r="BK349" s="2"/>
      <c r="BL349" s="8" t="str">
        <f t="shared" si="89"/>
        <v>+</v>
      </c>
    </row>
    <row r="350" spans="1:64">
      <c r="A350" s="1">
        <v>28856</v>
      </c>
      <c r="B350">
        <v>59.4</v>
      </c>
      <c r="C350">
        <v>59.9</v>
      </c>
      <c r="D350">
        <v>56.9</v>
      </c>
      <c r="E350">
        <v>60.4</v>
      </c>
      <c r="F350">
        <v>63.5</v>
      </c>
      <c r="G350">
        <v>53.9</v>
      </c>
      <c r="I350">
        <v>84.5</v>
      </c>
      <c r="W350" s="1">
        <v>28856</v>
      </c>
      <c r="X350">
        <v>99.93</v>
      </c>
      <c r="Y350" s="4">
        <f t="shared" si="90"/>
        <v>3.9746113414357472E-2</v>
      </c>
      <c r="Z350" s="4">
        <f t="shared" si="92"/>
        <v>0.11966386554621856</v>
      </c>
      <c r="AA350">
        <v>59.4</v>
      </c>
      <c r="AB350">
        <f t="shared" si="93"/>
        <v>59.8</v>
      </c>
      <c r="AP350" s="3">
        <v>28825</v>
      </c>
      <c r="AQ350" s="2">
        <v>61.3</v>
      </c>
      <c r="AR350" s="2" t="str">
        <f t="shared" si="80"/>
        <v>+</v>
      </c>
      <c r="AS350" s="2">
        <v>61.9</v>
      </c>
      <c r="AT350" s="8" t="str">
        <f t="shared" si="81"/>
        <v>+</v>
      </c>
      <c r="AU350" s="2">
        <v>61.3</v>
      </c>
      <c r="AV350" s="8" t="str">
        <f t="shared" si="82"/>
        <v>-</v>
      </c>
      <c r="AW350" s="2">
        <v>60.4</v>
      </c>
      <c r="AX350" s="8" t="str">
        <f t="shared" si="83"/>
        <v>+</v>
      </c>
      <c r="AY350" s="2">
        <v>64.5</v>
      </c>
      <c r="AZ350" s="8" t="str">
        <f t="shared" si="84"/>
        <v>-</v>
      </c>
      <c r="BA350" s="2">
        <v>56.7</v>
      </c>
      <c r="BB350" s="8" t="str">
        <f t="shared" si="85"/>
        <v>+</v>
      </c>
      <c r="BC350" s="2"/>
      <c r="BD350" s="8" t="str">
        <f t="shared" si="86"/>
        <v>+</v>
      </c>
      <c r="BE350" s="2">
        <v>84.1</v>
      </c>
      <c r="BF350" s="8" t="str">
        <f t="shared" si="91"/>
        <v>-</v>
      </c>
      <c r="BG350" s="2"/>
      <c r="BH350" s="8" t="str">
        <f t="shared" si="87"/>
        <v>+</v>
      </c>
      <c r="BI350" s="2"/>
      <c r="BJ350" s="8" t="str">
        <f t="shared" si="88"/>
        <v>+</v>
      </c>
      <c r="BK350" s="2"/>
      <c r="BL350" s="8" t="str">
        <f>IF(OR(BK350&gt;BK349,BK350=BK349),"+","-")</f>
        <v>+</v>
      </c>
    </row>
    <row r="351" spans="1:64">
      <c r="A351" s="1">
        <v>28887</v>
      </c>
      <c r="B351">
        <v>58.5</v>
      </c>
      <c r="C351">
        <v>57.3</v>
      </c>
      <c r="D351">
        <v>57.3</v>
      </c>
      <c r="E351">
        <v>58.8</v>
      </c>
      <c r="F351">
        <v>66.400000000000006</v>
      </c>
      <c r="G351">
        <v>52.3</v>
      </c>
      <c r="I351">
        <v>85.8</v>
      </c>
      <c r="W351" s="1">
        <v>28887</v>
      </c>
      <c r="X351">
        <v>96.279999000000004</v>
      </c>
      <c r="Y351" s="4">
        <f t="shared" si="90"/>
        <v>-3.6525577904533202E-2</v>
      </c>
      <c r="Z351" s="4">
        <f t="shared" si="92"/>
        <v>0.10615806403770606</v>
      </c>
      <c r="AA351">
        <v>58.5</v>
      </c>
      <c r="AB351">
        <f t="shared" si="93"/>
        <v>57.4</v>
      </c>
      <c r="AP351" s="3">
        <v>28856</v>
      </c>
      <c r="AQ351" s="2">
        <v>59.4</v>
      </c>
      <c r="AR351" s="2" t="str">
        <f t="shared" si="80"/>
        <v>-</v>
      </c>
      <c r="AS351" s="2">
        <v>59.9</v>
      </c>
      <c r="AT351" s="8" t="str">
        <f t="shared" si="81"/>
        <v>-</v>
      </c>
      <c r="AU351" s="2">
        <v>60.4</v>
      </c>
      <c r="AV351" s="8" t="str">
        <f t="shared" si="82"/>
        <v>-</v>
      </c>
      <c r="AW351" s="2">
        <v>56.9</v>
      </c>
      <c r="AX351" s="8" t="str">
        <f t="shared" si="83"/>
        <v>-</v>
      </c>
      <c r="AY351" s="2">
        <v>63.5</v>
      </c>
      <c r="AZ351" s="8" t="str">
        <f t="shared" si="84"/>
        <v>-</v>
      </c>
      <c r="BA351" s="2">
        <v>53.9</v>
      </c>
      <c r="BB351" s="8" t="str">
        <f t="shared" si="85"/>
        <v>-</v>
      </c>
      <c r="BC351" s="2"/>
      <c r="BD351" s="8" t="str">
        <f t="shared" si="86"/>
        <v>+</v>
      </c>
      <c r="BE351" s="2">
        <v>84.5</v>
      </c>
      <c r="BF351" s="8" t="str">
        <f t="shared" si="91"/>
        <v>+</v>
      </c>
      <c r="BG351" s="2"/>
      <c r="BH351" s="8" t="str">
        <f t="shared" si="87"/>
        <v>+</v>
      </c>
      <c r="BI351" s="2"/>
      <c r="BJ351" s="8" t="str">
        <f t="shared" si="88"/>
        <v>+</v>
      </c>
      <c r="BK351" s="2"/>
      <c r="BL351" s="8" t="str">
        <f t="shared" si="89"/>
        <v>+</v>
      </c>
    </row>
    <row r="352" spans="1:64">
      <c r="A352" s="1">
        <v>28915</v>
      </c>
      <c r="B352">
        <v>58.2</v>
      </c>
      <c r="C352">
        <v>58.6</v>
      </c>
      <c r="D352">
        <v>55.6</v>
      </c>
      <c r="E352">
        <v>59</v>
      </c>
      <c r="F352">
        <v>64</v>
      </c>
      <c r="G352">
        <v>51.4</v>
      </c>
      <c r="I352">
        <v>86.5</v>
      </c>
      <c r="W352" s="1">
        <v>28915</v>
      </c>
      <c r="X352">
        <v>101.589996</v>
      </c>
      <c r="Y352" s="4">
        <f t="shared" si="90"/>
        <v>5.5151610460652326E-2</v>
      </c>
      <c r="Z352" s="4">
        <f t="shared" si="92"/>
        <v>0.1387736480077755</v>
      </c>
      <c r="AA352">
        <v>58.2</v>
      </c>
      <c r="AB352">
        <f t="shared" si="93"/>
        <v>55.9</v>
      </c>
      <c r="AP352" s="3">
        <v>28887</v>
      </c>
      <c r="AQ352" s="2">
        <v>58.5</v>
      </c>
      <c r="AR352" s="2" t="str">
        <f t="shared" si="80"/>
        <v>-</v>
      </c>
      <c r="AS352" s="2">
        <v>57.3</v>
      </c>
      <c r="AT352" s="8" t="str">
        <f t="shared" si="81"/>
        <v>-</v>
      </c>
      <c r="AU352" s="2">
        <v>58.8</v>
      </c>
      <c r="AV352" s="8" t="str">
        <f t="shared" si="82"/>
        <v>-</v>
      </c>
      <c r="AW352" s="2">
        <v>57.3</v>
      </c>
      <c r="AX352" s="8" t="str">
        <f t="shared" si="83"/>
        <v>+</v>
      </c>
      <c r="AY352" s="2">
        <v>66.400000000000006</v>
      </c>
      <c r="AZ352" s="8" t="str">
        <f t="shared" si="84"/>
        <v>+</v>
      </c>
      <c r="BA352" s="2">
        <v>52.3</v>
      </c>
      <c r="BB352" s="8" t="str">
        <f t="shared" si="85"/>
        <v>-</v>
      </c>
      <c r="BC352" s="2"/>
      <c r="BD352" s="8" t="str">
        <f t="shared" si="86"/>
        <v>+</v>
      </c>
      <c r="BE352" s="2">
        <v>85.8</v>
      </c>
      <c r="BF352" s="8" t="str">
        <f t="shared" si="91"/>
        <v>+</v>
      </c>
      <c r="BG352" s="2"/>
      <c r="BH352" s="8" t="str">
        <f t="shared" si="87"/>
        <v>+</v>
      </c>
      <c r="BI352" s="2"/>
      <c r="BJ352" s="8" t="str">
        <f t="shared" si="88"/>
        <v>+</v>
      </c>
      <c r="BK352" s="2"/>
      <c r="BL352" s="8" t="str">
        <f t="shared" si="89"/>
        <v>+</v>
      </c>
    </row>
    <row r="353" spans="1:64">
      <c r="A353" s="1">
        <v>28946</v>
      </c>
      <c r="B353">
        <v>57.7</v>
      </c>
      <c r="C353">
        <v>56.7</v>
      </c>
      <c r="D353">
        <v>54.8</v>
      </c>
      <c r="E353">
        <v>57.4</v>
      </c>
      <c r="F353">
        <v>66.7</v>
      </c>
      <c r="G353">
        <v>54.1</v>
      </c>
      <c r="I353">
        <v>87.7</v>
      </c>
      <c r="W353" s="1">
        <v>28946</v>
      </c>
      <c r="X353">
        <v>101.760002</v>
      </c>
      <c r="Y353" s="4">
        <f t="shared" si="90"/>
        <v>1.6734521773187269E-3</v>
      </c>
      <c r="Z353" s="4">
        <f t="shared" si="92"/>
        <v>5.0913971890654379E-2</v>
      </c>
      <c r="AA353">
        <v>57.7</v>
      </c>
      <c r="AB353">
        <f t="shared" si="93"/>
        <v>55</v>
      </c>
      <c r="AP353" s="3">
        <v>28915</v>
      </c>
      <c r="AQ353" s="2">
        <v>58.2</v>
      </c>
      <c r="AR353" s="2" t="str">
        <f t="shared" si="80"/>
        <v>-</v>
      </c>
      <c r="AS353" s="2">
        <v>58.6</v>
      </c>
      <c r="AT353" s="8" t="str">
        <f t="shared" si="81"/>
        <v>+</v>
      </c>
      <c r="AU353" s="2">
        <v>59</v>
      </c>
      <c r="AV353" s="8" t="str">
        <f t="shared" si="82"/>
        <v>+</v>
      </c>
      <c r="AW353" s="2">
        <v>55.6</v>
      </c>
      <c r="AX353" s="8" t="str">
        <f t="shared" si="83"/>
        <v>-</v>
      </c>
      <c r="AY353" s="2">
        <v>64</v>
      </c>
      <c r="AZ353" s="8" t="str">
        <f t="shared" si="84"/>
        <v>-</v>
      </c>
      <c r="BA353" s="2">
        <v>51.4</v>
      </c>
      <c r="BB353" s="8" t="str">
        <f t="shared" si="85"/>
        <v>-</v>
      </c>
      <c r="BC353" s="2"/>
      <c r="BD353" s="8" t="str">
        <f t="shared" si="86"/>
        <v>+</v>
      </c>
      <c r="BE353" s="2">
        <v>86.5</v>
      </c>
      <c r="BF353" s="8" t="str">
        <f t="shared" si="91"/>
        <v>+</v>
      </c>
      <c r="BG353" s="2"/>
      <c r="BH353" s="8" t="str">
        <f t="shared" si="87"/>
        <v>+</v>
      </c>
      <c r="BI353" s="2"/>
      <c r="BJ353" s="8" t="str">
        <f t="shared" si="88"/>
        <v>+</v>
      </c>
      <c r="BK353" s="2"/>
      <c r="BL353" s="8" t="str">
        <f t="shared" si="89"/>
        <v>+</v>
      </c>
    </row>
    <row r="354" spans="1:64">
      <c r="A354" s="1">
        <v>28976</v>
      </c>
      <c r="B354">
        <v>56.2</v>
      </c>
      <c r="C354">
        <v>55.1</v>
      </c>
      <c r="D354">
        <v>46.9</v>
      </c>
      <c r="E354">
        <v>55.5</v>
      </c>
      <c r="F354">
        <v>75.599999999999994</v>
      </c>
      <c r="G354">
        <v>50.9</v>
      </c>
      <c r="I354">
        <v>86.3</v>
      </c>
      <c r="W354" s="1">
        <v>28976</v>
      </c>
      <c r="X354">
        <v>99.080001999999993</v>
      </c>
      <c r="Y354" s="4">
        <f t="shared" si="90"/>
        <v>-2.6336477469802003E-2</v>
      </c>
      <c r="Z354" s="4">
        <f t="shared" si="92"/>
        <v>1.8922295740894539E-2</v>
      </c>
      <c r="AA354">
        <v>56.2</v>
      </c>
      <c r="AB354">
        <f t="shared" si="93"/>
        <v>57.7</v>
      </c>
      <c r="AP354" s="3">
        <v>28946</v>
      </c>
      <c r="AQ354" s="2">
        <v>57.7</v>
      </c>
      <c r="AR354" s="2" t="str">
        <f t="shared" si="80"/>
        <v>-</v>
      </c>
      <c r="AS354" s="2">
        <v>56.7</v>
      </c>
      <c r="AT354" s="8" t="str">
        <f t="shared" si="81"/>
        <v>-</v>
      </c>
      <c r="AU354" s="2">
        <v>57.4</v>
      </c>
      <c r="AV354" s="8" t="str">
        <f t="shared" si="82"/>
        <v>-</v>
      </c>
      <c r="AW354" s="2">
        <v>54.8</v>
      </c>
      <c r="AX354" s="8" t="str">
        <f t="shared" si="83"/>
        <v>-</v>
      </c>
      <c r="AY354" s="2">
        <v>66.7</v>
      </c>
      <c r="AZ354" s="8" t="str">
        <f t="shared" si="84"/>
        <v>+</v>
      </c>
      <c r="BA354" s="2">
        <v>54.1</v>
      </c>
      <c r="BB354" s="8" t="str">
        <f t="shared" si="85"/>
        <v>+</v>
      </c>
      <c r="BC354" s="2"/>
      <c r="BD354" s="8" t="str">
        <f t="shared" si="86"/>
        <v>+</v>
      </c>
      <c r="BE354" s="2">
        <v>87.7</v>
      </c>
      <c r="BF354" s="8" t="str">
        <f t="shared" si="91"/>
        <v>+</v>
      </c>
      <c r="BG354" s="2"/>
      <c r="BH354" s="8" t="str">
        <f t="shared" si="87"/>
        <v>+</v>
      </c>
      <c r="BI354" s="2"/>
      <c r="BJ354" s="8" t="str">
        <f t="shared" si="88"/>
        <v>+</v>
      </c>
      <c r="BK354" s="2"/>
      <c r="BL354" s="8" t="str">
        <f t="shared" si="89"/>
        <v>+</v>
      </c>
    </row>
    <row r="355" spans="1:64">
      <c r="A355" s="1">
        <v>29007</v>
      </c>
      <c r="B355">
        <v>54.4</v>
      </c>
      <c r="C355">
        <v>52.1</v>
      </c>
      <c r="D355">
        <v>54.5</v>
      </c>
      <c r="E355">
        <v>52.1</v>
      </c>
      <c r="F355">
        <v>63.7</v>
      </c>
      <c r="G355">
        <v>53.3</v>
      </c>
      <c r="I355">
        <v>86.9</v>
      </c>
      <c r="W355" s="1">
        <v>29007</v>
      </c>
      <c r="X355">
        <v>102.910004</v>
      </c>
      <c r="Y355" s="4">
        <f t="shared" si="90"/>
        <v>3.8655651218093515E-2</v>
      </c>
      <c r="Z355" s="4">
        <f t="shared" si="92"/>
        <v>7.7253272032380083E-2</v>
      </c>
      <c r="AA355">
        <v>54.4</v>
      </c>
      <c r="AB355">
        <f t="shared" si="93"/>
        <v>60.2</v>
      </c>
      <c r="AP355" s="3">
        <v>28976</v>
      </c>
      <c r="AQ355" s="2">
        <v>56.2</v>
      </c>
      <c r="AR355" s="2" t="str">
        <f t="shared" si="80"/>
        <v>-</v>
      </c>
      <c r="AS355" s="2">
        <v>55.1</v>
      </c>
      <c r="AT355" s="8" t="str">
        <f t="shared" si="81"/>
        <v>-</v>
      </c>
      <c r="AU355" s="2">
        <v>55.5</v>
      </c>
      <c r="AV355" s="8" t="str">
        <f t="shared" si="82"/>
        <v>-</v>
      </c>
      <c r="AW355" s="2">
        <v>46.9</v>
      </c>
      <c r="AX355" s="8" t="str">
        <f t="shared" si="83"/>
        <v>-</v>
      </c>
      <c r="AY355" s="2">
        <v>75.599999999999994</v>
      </c>
      <c r="AZ355" s="8" t="str">
        <f t="shared" si="84"/>
        <v>+</v>
      </c>
      <c r="BA355" s="2">
        <v>50.9</v>
      </c>
      <c r="BB355" s="8" t="str">
        <f t="shared" si="85"/>
        <v>-</v>
      </c>
      <c r="BC355" s="2"/>
      <c r="BD355" s="8" t="str">
        <f t="shared" si="86"/>
        <v>+</v>
      </c>
      <c r="BE355" s="2">
        <v>86.3</v>
      </c>
      <c r="BF355" s="8" t="str">
        <f t="shared" si="91"/>
        <v>-</v>
      </c>
      <c r="BG355" s="2"/>
      <c r="BH355" s="8" t="str">
        <f t="shared" si="87"/>
        <v>+</v>
      </c>
      <c r="BI355" s="2"/>
      <c r="BJ355" s="8" t="str">
        <f t="shared" si="88"/>
        <v>+</v>
      </c>
      <c r="BK355" s="2"/>
      <c r="BL355" s="8" t="str">
        <f t="shared" si="89"/>
        <v>+</v>
      </c>
    </row>
    <row r="356" spans="1:64">
      <c r="A356" s="1">
        <v>29037</v>
      </c>
      <c r="B356">
        <v>52.7</v>
      </c>
      <c r="C356">
        <v>49.4</v>
      </c>
      <c r="D356">
        <v>53.8</v>
      </c>
      <c r="E356">
        <v>50.2</v>
      </c>
      <c r="F356">
        <v>61.4</v>
      </c>
      <c r="G356">
        <v>53.8</v>
      </c>
      <c r="I356">
        <v>88.7</v>
      </c>
      <c r="W356" s="1">
        <v>29037</v>
      </c>
      <c r="X356">
        <v>103.80999799999999</v>
      </c>
      <c r="Y356" s="4">
        <f t="shared" si="90"/>
        <v>8.7454471384530545E-3</v>
      </c>
      <c r="Z356" s="4">
        <f t="shared" si="92"/>
        <v>3.1088577671831406E-2</v>
      </c>
      <c r="AA356">
        <v>52.7</v>
      </c>
      <c r="AB356">
        <f t="shared" si="93"/>
        <v>60.5</v>
      </c>
      <c r="AP356" s="3">
        <v>29007</v>
      </c>
      <c r="AQ356" s="2">
        <v>54.4</v>
      </c>
      <c r="AR356" s="2" t="str">
        <f t="shared" si="80"/>
        <v>-</v>
      </c>
      <c r="AS356" s="2">
        <v>52.1</v>
      </c>
      <c r="AT356" s="8" t="str">
        <f t="shared" si="81"/>
        <v>-</v>
      </c>
      <c r="AU356" s="2">
        <v>52.1</v>
      </c>
      <c r="AV356" s="8" t="str">
        <f t="shared" si="82"/>
        <v>-</v>
      </c>
      <c r="AW356" s="2">
        <v>54.5</v>
      </c>
      <c r="AX356" s="8" t="str">
        <f t="shared" si="83"/>
        <v>+</v>
      </c>
      <c r="AY356" s="2">
        <v>63.7</v>
      </c>
      <c r="AZ356" s="8" t="str">
        <f t="shared" si="84"/>
        <v>-</v>
      </c>
      <c r="BA356" s="2">
        <v>53.3</v>
      </c>
      <c r="BB356" s="8" t="str">
        <f t="shared" si="85"/>
        <v>+</v>
      </c>
      <c r="BC356" s="2"/>
      <c r="BD356" s="8" t="str">
        <f t="shared" si="86"/>
        <v>+</v>
      </c>
      <c r="BE356" s="2">
        <v>86.9</v>
      </c>
      <c r="BF356" s="8" t="str">
        <f t="shared" si="91"/>
        <v>+</v>
      </c>
      <c r="BG356" s="2"/>
      <c r="BH356" s="8" t="str">
        <f t="shared" si="87"/>
        <v>+</v>
      </c>
      <c r="BI356" s="2"/>
      <c r="BJ356" s="8" t="str">
        <f t="shared" si="88"/>
        <v>+</v>
      </c>
      <c r="BK356" s="2"/>
      <c r="BL356" s="8" t="str">
        <f t="shared" si="89"/>
        <v>+</v>
      </c>
    </row>
    <row r="357" spans="1:64">
      <c r="A357" s="1">
        <v>29068</v>
      </c>
      <c r="B357">
        <v>51.3</v>
      </c>
      <c r="C357">
        <v>49.8</v>
      </c>
      <c r="D357">
        <v>50.2</v>
      </c>
      <c r="E357">
        <v>49.4</v>
      </c>
      <c r="F357">
        <v>57.4</v>
      </c>
      <c r="G357">
        <v>53.6</v>
      </c>
      <c r="I357">
        <v>93.1</v>
      </c>
      <c r="W357" s="1">
        <v>29068</v>
      </c>
      <c r="X357">
        <v>109.32</v>
      </c>
      <c r="Y357" s="4">
        <f t="shared" si="90"/>
        <v>5.3077758464073956E-2</v>
      </c>
      <c r="Z357" s="4">
        <f t="shared" si="92"/>
        <v>5.8379310113473512E-2</v>
      </c>
      <c r="AA357">
        <v>51.3</v>
      </c>
      <c r="AB357">
        <f t="shared" si="93"/>
        <v>62.2</v>
      </c>
      <c r="AP357" s="3">
        <v>29037</v>
      </c>
      <c r="AQ357" s="2">
        <v>52.7</v>
      </c>
      <c r="AR357" s="2" t="str">
        <f t="shared" si="80"/>
        <v>-</v>
      </c>
      <c r="AS357" s="2">
        <v>49.4</v>
      </c>
      <c r="AT357" s="8" t="str">
        <f t="shared" si="81"/>
        <v>-</v>
      </c>
      <c r="AU357" s="2">
        <v>50.2</v>
      </c>
      <c r="AV357" s="8" t="str">
        <f t="shared" si="82"/>
        <v>-</v>
      </c>
      <c r="AW357" s="2">
        <v>53.8</v>
      </c>
      <c r="AX357" s="8" t="str">
        <f t="shared" si="83"/>
        <v>-</v>
      </c>
      <c r="AY357" s="2">
        <v>61.4</v>
      </c>
      <c r="AZ357" s="8" t="str">
        <f t="shared" si="84"/>
        <v>-</v>
      </c>
      <c r="BA357" s="2">
        <v>53.8</v>
      </c>
      <c r="BB357" s="8" t="str">
        <f t="shared" si="85"/>
        <v>+</v>
      </c>
      <c r="BC357" s="2"/>
      <c r="BD357" s="8" t="str">
        <f t="shared" si="86"/>
        <v>+</v>
      </c>
      <c r="BE357" s="2">
        <v>88.7</v>
      </c>
      <c r="BF357" s="8" t="str">
        <f t="shared" si="91"/>
        <v>+</v>
      </c>
      <c r="BG357" s="2"/>
      <c r="BH357" s="8" t="str">
        <f t="shared" si="87"/>
        <v>+</v>
      </c>
      <c r="BI357" s="2"/>
      <c r="BJ357" s="8" t="str">
        <f t="shared" si="88"/>
        <v>+</v>
      </c>
      <c r="BK357" s="2"/>
      <c r="BL357" s="8" t="str">
        <f t="shared" si="89"/>
        <v>+</v>
      </c>
    </row>
    <row r="358" spans="1:64">
      <c r="A358" s="1">
        <v>29099</v>
      </c>
      <c r="B358">
        <v>49.5</v>
      </c>
      <c r="C358">
        <v>46.9</v>
      </c>
      <c r="D358">
        <v>50.5</v>
      </c>
      <c r="E358">
        <v>49</v>
      </c>
      <c r="F358">
        <v>52.9</v>
      </c>
      <c r="G358">
        <v>51.6</v>
      </c>
      <c r="I358">
        <v>85.6</v>
      </c>
      <c r="W358" s="1">
        <v>29099</v>
      </c>
      <c r="X358">
        <v>109.32</v>
      </c>
      <c r="Y358" s="4">
        <f t="shared" si="90"/>
        <v>0</v>
      </c>
      <c r="Z358" s="4">
        <f t="shared" si="92"/>
        <v>6.6120527929388148E-2</v>
      </c>
      <c r="AA358">
        <v>49.5</v>
      </c>
      <c r="AB358">
        <f t="shared" si="93"/>
        <v>60.3</v>
      </c>
      <c r="AP358" s="3">
        <v>29068</v>
      </c>
      <c r="AQ358" s="2">
        <v>51.3</v>
      </c>
      <c r="AR358" s="2" t="str">
        <f t="shared" ref="AR358:AR421" si="94">IF(OR(AQ358&gt;AQ357,AQ358=AQ357),"+","-")</f>
        <v>-</v>
      </c>
      <c r="AS358" s="2">
        <v>49.8</v>
      </c>
      <c r="AT358" s="8" t="str">
        <f t="shared" si="81"/>
        <v>+</v>
      </c>
      <c r="AU358" s="2">
        <v>49.4</v>
      </c>
      <c r="AV358" s="8" t="str">
        <f t="shared" si="82"/>
        <v>-</v>
      </c>
      <c r="AW358" s="2">
        <v>50.2</v>
      </c>
      <c r="AX358" s="8" t="str">
        <f t="shared" si="83"/>
        <v>-</v>
      </c>
      <c r="AY358" s="2">
        <v>57.4</v>
      </c>
      <c r="AZ358" s="8" t="str">
        <f t="shared" si="84"/>
        <v>-</v>
      </c>
      <c r="BA358" s="2">
        <v>53.6</v>
      </c>
      <c r="BB358" s="8" t="str">
        <f t="shared" si="85"/>
        <v>-</v>
      </c>
      <c r="BC358" s="2"/>
      <c r="BD358" s="8" t="str">
        <f t="shared" si="86"/>
        <v>+</v>
      </c>
      <c r="BE358" s="2">
        <v>93.1</v>
      </c>
      <c r="BF358" s="8" t="str">
        <f t="shared" si="91"/>
        <v>+</v>
      </c>
      <c r="BG358" s="2"/>
      <c r="BH358" s="8" t="str">
        <f t="shared" si="87"/>
        <v>+</v>
      </c>
      <c r="BI358" s="2"/>
      <c r="BJ358" s="8" t="str">
        <f t="shared" si="88"/>
        <v>+</v>
      </c>
      <c r="BK358" s="2"/>
      <c r="BL358" s="8" t="str">
        <f t="shared" si="89"/>
        <v>+</v>
      </c>
    </row>
    <row r="359" spans="1:64">
      <c r="A359" s="1">
        <v>29129</v>
      </c>
      <c r="B359">
        <v>49.6</v>
      </c>
      <c r="C359">
        <v>48.7</v>
      </c>
      <c r="D359">
        <v>50.3</v>
      </c>
      <c r="E359">
        <v>48.3</v>
      </c>
      <c r="F359">
        <v>50.7</v>
      </c>
      <c r="G359">
        <v>52.3</v>
      </c>
      <c r="I359">
        <v>85</v>
      </c>
      <c r="W359" s="1">
        <v>29129</v>
      </c>
      <c r="X359">
        <v>101.82</v>
      </c>
      <c r="Y359" s="4">
        <f t="shared" si="90"/>
        <v>-6.8605927552140511E-2</v>
      </c>
      <c r="Z359" s="4">
        <f t="shared" si="92"/>
        <v>9.3075660910882138E-2</v>
      </c>
      <c r="AA359">
        <v>49.6</v>
      </c>
      <c r="AB359">
        <f t="shared" si="93"/>
        <v>60.5</v>
      </c>
      <c r="AP359" s="3">
        <v>29099</v>
      </c>
      <c r="AQ359" s="2">
        <v>49.5</v>
      </c>
      <c r="AR359" s="2" t="str">
        <f t="shared" si="94"/>
        <v>-</v>
      </c>
      <c r="AS359" s="2">
        <v>46.9</v>
      </c>
      <c r="AT359" s="8" t="str">
        <f t="shared" ref="AT359:AT422" si="95">IF(OR(AS359&gt;AS358,AS359=AS358),"+","-")</f>
        <v>-</v>
      </c>
      <c r="AU359" s="2">
        <v>49</v>
      </c>
      <c r="AV359" s="8" t="str">
        <f t="shared" ref="AV359:AV422" si="96">IF(OR(AU359&gt;AU358,AU359=AU358),"+","-")</f>
        <v>-</v>
      </c>
      <c r="AW359" s="2">
        <v>50.5</v>
      </c>
      <c r="AX359" s="8" t="str">
        <f t="shared" ref="AX359:AX422" si="97">IF(OR(AW359&gt;AW358,AW359=AW358),"+","-")</f>
        <v>+</v>
      </c>
      <c r="AY359" s="2">
        <v>52.9</v>
      </c>
      <c r="AZ359" s="8" t="str">
        <f t="shared" ref="AZ359:AZ422" si="98">IF(OR(AY359&gt;AY358,AY359=AY358),"+","-")</f>
        <v>-</v>
      </c>
      <c r="BA359" s="2">
        <v>51.6</v>
      </c>
      <c r="BB359" s="8" t="str">
        <f t="shared" ref="BB359:BB422" si="99">IF(OR(BA359&gt;BA358,BA359=BA358),"+","-")</f>
        <v>-</v>
      </c>
      <c r="BC359" s="2"/>
      <c r="BD359" s="8" t="str">
        <f t="shared" ref="BD359:BD422" si="100">IF(OR(BC359&gt;BC358,BC359=BC358),"+","-")</f>
        <v>+</v>
      </c>
      <c r="BE359" s="2">
        <v>85.6</v>
      </c>
      <c r="BF359" s="8" t="str">
        <f t="shared" si="91"/>
        <v>-</v>
      </c>
      <c r="BG359" s="2"/>
      <c r="BH359" s="8" t="str">
        <f t="shared" ref="BH359:BH422" si="101">IF(OR(BG359&gt;BG358,BG359=BG358),"+","-")</f>
        <v>+</v>
      </c>
      <c r="BI359" s="2"/>
      <c r="BJ359" s="8" t="str">
        <f t="shared" ref="BJ359:BJ422" si="102">IF(OR(BI359&gt;BI358,BI359=BI358),"+","-")</f>
        <v>+</v>
      </c>
      <c r="BK359" s="2"/>
      <c r="BL359" s="8" t="str">
        <f t="shared" ref="BL359:BL422" si="103">IF(OR(BK359&gt;BK358,BK359=BK358),"+","-")</f>
        <v>+</v>
      </c>
    </row>
    <row r="360" spans="1:64">
      <c r="A360" s="1">
        <v>29160</v>
      </c>
      <c r="B360">
        <v>49</v>
      </c>
      <c r="C360">
        <v>47.3</v>
      </c>
      <c r="D360">
        <v>54.6</v>
      </c>
      <c r="E360">
        <v>49</v>
      </c>
      <c r="F360">
        <v>46.9</v>
      </c>
      <c r="G360">
        <v>46</v>
      </c>
      <c r="I360">
        <v>85.6</v>
      </c>
      <c r="W360" s="1">
        <v>29160</v>
      </c>
      <c r="X360">
        <v>106.160004</v>
      </c>
      <c r="Y360" s="4">
        <f t="shared" si="90"/>
        <v>4.2624278137890471E-2</v>
      </c>
      <c r="Z360" s="4">
        <f t="shared" si="92"/>
        <v>0.12101380531194743</v>
      </c>
      <c r="AA360">
        <v>49</v>
      </c>
      <c r="AB360">
        <f t="shared" si="93"/>
        <v>60.1</v>
      </c>
      <c r="AP360" s="3">
        <v>29129</v>
      </c>
      <c r="AQ360" s="2">
        <v>49.6</v>
      </c>
      <c r="AR360" s="2" t="str">
        <f t="shared" si="94"/>
        <v>+</v>
      </c>
      <c r="AS360" s="2">
        <v>48.7</v>
      </c>
      <c r="AT360" s="8" t="str">
        <f t="shared" si="95"/>
        <v>+</v>
      </c>
      <c r="AU360" s="2">
        <v>48.3</v>
      </c>
      <c r="AV360" s="8" t="str">
        <f t="shared" si="96"/>
        <v>-</v>
      </c>
      <c r="AW360" s="2">
        <v>50.3</v>
      </c>
      <c r="AX360" s="8" t="str">
        <f t="shared" si="97"/>
        <v>-</v>
      </c>
      <c r="AY360" s="2">
        <v>50.7</v>
      </c>
      <c r="AZ360" s="8" t="str">
        <f t="shared" si="98"/>
        <v>-</v>
      </c>
      <c r="BA360" s="2">
        <v>52.3</v>
      </c>
      <c r="BB360" s="8" t="str">
        <f t="shared" si="99"/>
        <v>+</v>
      </c>
      <c r="BC360" s="2"/>
      <c r="BD360" s="8" t="str">
        <f t="shared" si="100"/>
        <v>+</v>
      </c>
      <c r="BE360" s="2">
        <v>85</v>
      </c>
      <c r="BF360" s="8" t="str">
        <f t="shared" si="91"/>
        <v>-</v>
      </c>
      <c r="BG360" s="2"/>
      <c r="BH360" s="8" t="str">
        <f t="shared" si="101"/>
        <v>+</v>
      </c>
      <c r="BI360" s="2"/>
      <c r="BJ360" s="8" t="str">
        <f t="shared" si="102"/>
        <v>+</v>
      </c>
      <c r="BK360" s="2"/>
      <c r="BL360" s="8" t="str">
        <f t="shared" si="103"/>
        <v>+</v>
      </c>
    </row>
    <row r="361" spans="1:64">
      <c r="A361" s="1">
        <v>29190</v>
      </c>
      <c r="B361">
        <v>48</v>
      </c>
      <c r="C361">
        <v>46.5</v>
      </c>
      <c r="D361">
        <v>47.3</v>
      </c>
      <c r="E361">
        <v>52.6</v>
      </c>
      <c r="F361">
        <v>46.8</v>
      </c>
      <c r="G361">
        <v>44.3</v>
      </c>
      <c r="I361">
        <v>89.2</v>
      </c>
      <c r="W361" s="1">
        <v>29190</v>
      </c>
      <c r="X361">
        <v>107.94000200000001</v>
      </c>
      <c r="Y361" s="4">
        <f t="shared" si="90"/>
        <v>1.6767124462429429E-2</v>
      </c>
      <c r="Z361" s="4">
        <f t="shared" si="92"/>
        <v>0.12308813731049707</v>
      </c>
      <c r="AA361">
        <v>48</v>
      </c>
      <c r="AB361">
        <f t="shared" si="93"/>
        <v>61.3</v>
      </c>
      <c r="AP361" s="3">
        <v>29160</v>
      </c>
      <c r="AQ361" s="2">
        <v>49</v>
      </c>
      <c r="AR361" s="2" t="str">
        <f t="shared" si="94"/>
        <v>-</v>
      </c>
      <c r="AS361" s="2">
        <v>47.3</v>
      </c>
      <c r="AT361" s="8" t="str">
        <f t="shared" si="95"/>
        <v>-</v>
      </c>
      <c r="AU361" s="2">
        <v>49</v>
      </c>
      <c r="AV361" s="8" t="str">
        <f t="shared" si="96"/>
        <v>+</v>
      </c>
      <c r="AW361" s="2">
        <v>54.6</v>
      </c>
      <c r="AX361" s="8" t="str">
        <f t="shared" si="97"/>
        <v>+</v>
      </c>
      <c r="AY361" s="2">
        <v>46.9</v>
      </c>
      <c r="AZ361" s="8" t="str">
        <f t="shared" si="98"/>
        <v>-</v>
      </c>
      <c r="BA361" s="2">
        <v>46</v>
      </c>
      <c r="BB361" s="8" t="str">
        <f t="shared" si="99"/>
        <v>-</v>
      </c>
      <c r="BC361" s="2"/>
      <c r="BD361" s="8" t="str">
        <f t="shared" si="100"/>
        <v>+</v>
      </c>
      <c r="BE361" s="2">
        <v>85.6</v>
      </c>
      <c r="BF361" s="8" t="str">
        <f t="shared" si="91"/>
        <v>+</v>
      </c>
      <c r="BG361" s="2"/>
      <c r="BH361" s="8" t="str">
        <f t="shared" si="101"/>
        <v>+</v>
      </c>
      <c r="BI361" s="2"/>
      <c r="BJ361" s="8" t="str">
        <f t="shared" si="102"/>
        <v>+</v>
      </c>
      <c r="BK361" s="2"/>
      <c r="BL361" s="8" t="str">
        <f t="shared" si="103"/>
        <v>+</v>
      </c>
    </row>
    <row r="362" spans="1:64">
      <c r="A362" s="1">
        <v>29221</v>
      </c>
      <c r="B362">
        <v>44.8</v>
      </c>
      <c r="C362">
        <v>44.3</v>
      </c>
      <c r="D362">
        <v>44.1</v>
      </c>
      <c r="E362">
        <v>48.2</v>
      </c>
      <c r="F362">
        <v>42.2</v>
      </c>
      <c r="G362">
        <v>43.5</v>
      </c>
      <c r="I362">
        <v>84.4</v>
      </c>
      <c r="W362" s="1">
        <v>29221</v>
      </c>
      <c r="X362">
        <v>114.160004</v>
      </c>
      <c r="Y362" s="4">
        <f t="shared" si="90"/>
        <v>5.7624623723834964E-2</v>
      </c>
      <c r="Z362" s="4">
        <f t="shared" si="92"/>
        <v>0.14239971980386262</v>
      </c>
      <c r="AA362">
        <v>44.8</v>
      </c>
      <c r="AB362">
        <f t="shared" si="93"/>
        <v>59.4</v>
      </c>
      <c r="AP362" s="3">
        <v>29190</v>
      </c>
      <c r="AQ362" s="2">
        <v>48</v>
      </c>
      <c r="AR362" s="2" t="str">
        <f t="shared" si="94"/>
        <v>-</v>
      </c>
      <c r="AS362" s="2">
        <v>46.5</v>
      </c>
      <c r="AT362" s="8" t="str">
        <f t="shared" si="95"/>
        <v>-</v>
      </c>
      <c r="AU362" s="2">
        <v>52.6</v>
      </c>
      <c r="AV362" s="8" t="str">
        <f t="shared" si="96"/>
        <v>+</v>
      </c>
      <c r="AW362" s="2">
        <v>47.3</v>
      </c>
      <c r="AX362" s="8" t="str">
        <f t="shared" si="97"/>
        <v>-</v>
      </c>
      <c r="AY362" s="2">
        <v>46.8</v>
      </c>
      <c r="AZ362" s="8" t="str">
        <f t="shared" si="98"/>
        <v>-</v>
      </c>
      <c r="BA362" s="2">
        <v>44.3</v>
      </c>
      <c r="BB362" s="8" t="str">
        <f t="shared" si="99"/>
        <v>-</v>
      </c>
      <c r="BC362" s="2"/>
      <c r="BD362" s="8" t="str">
        <f t="shared" si="100"/>
        <v>+</v>
      </c>
      <c r="BE362" s="2">
        <v>89.2</v>
      </c>
      <c r="BF362" s="8" t="str">
        <f t="shared" si="91"/>
        <v>+</v>
      </c>
      <c r="BG362" s="2"/>
      <c r="BH362" s="8" t="str">
        <f t="shared" si="101"/>
        <v>+</v>
      </c>
      <c r="BI362" s="2"/>
      <c r="BJ362" s="8" t="str">
        <f t="shared" si="102"/>
        <v>+</v>
      </c>
      <c r="BK362" s="2"/>
      <c r="BL362" s="8" t="str">
        <f t="shared" si="103"/>
        <v>+</v>
      </c>
    </row>
    <row r="363" spans="1:64">
      <c r="A363" s="1">
        <v>29252</v>
      </c>
      <c r="B363">
        <v>46.2</v>
      </c>
      <c r="C363">
        <v>47.1</v>
      </c>
      <c r="D363">
        <v>46.2</v>
      </c>
      <c r="E363">
        <v>48.4</v>
      </c>
      <c r="F363">
        <v>42.1</v>
      </c>
      <c r="G363">
        <v>44.5</v>
      </c>
      <c r="I363">
        <v>83</v>
      </c>
      <c r="W363" s="1">
        <v>29252</v>
      </c>
      <c r="X363">
        <v>113.660004</v>
      </c>
      <c r="Y363" s="4">
        <f t="shared" si="90"/>
        <v>-4.3798176461171115E-3</v>
      </c>
      <c r="Z363" s="4">
        <f t="shared" si="92"/>
        <v>0.18051521791145839</v>
      </c>
      <c r="AA363">
        <v>46.2</v>
      </c>
      <c r="AB363">
        <f t="shared" si="93"/>
        <v>58.5</v>
      </c>
      <c r="AP363" s="3">
        <v>29221</v>
      </c>
      <c r="AQ363" s="2">
        <v>44.8</v>
      </c>
      <c r="AR363" s="2" t="str">
        <f t="shared" si="94"/>
        <v>-</v>
      </c>
      <c r="AS363" s="2">
        <v>44.3</v>
      </c>
      <c r="AT363" s="8" t="str">
        <f t="shared" si="95"/>
        <v>-</v>
      </c>
      <c r="AU363" s="2">
        <v>48.2</v>
      </c>
      <c r="AV363" s="8" t="str">
        <f t="shared" si="96"/>
        <v>-</v>
      </c>
      <c r="AW363" s="2">
        <v>44.1</v>
      </c>
      <c r="AX363" s="8" t="str">
        <f t="shared" si="97"/>
        <v>-</v>
      </c>
      <c r="AY363" s="2">
        <v>42.2</v>
      </c>
      <c r="AZ363" s="8" t="str">
        <f t="shared" si="98"/>
        <v>-</v>
      </c>
      <c r="BA363" s="2">
        <v>43.5</v>
      </c>
      <c r="BB363" s="8" t="str">
        <f t="shared" si="99"/>
        <v>-</v>
      </c>
      <c r="BC363" s="2"/>
      <c r="BD363" s="8" t="str">
        <f t="shared" si="100"/>
        <v>+</v>
      </c>
      <c r="BE363" s="2">
        <v>84.4</v>
      </c>
      <c r="BF363" s="8" t="str">
        <f t="shared" si="91"/>
        <v>-</v>
      </c>
      <c r="BG363" s="2"/>
      <c r="BH363" s="8" t="str">
        <f t="shared" si="101"/>
        <v>+</v>
      </c>
      <c r="BI363" s="2"/>
      <c r="BJ363" s="8" t="str">
        <f t="shared" si="102"/>
        <v>+</v>
      </c>
      <c r="BK363" s="2"/>
      <c r="BL363" s="8" t="str">
        <f t="shared" si="103"/>
        <v>+</v>
      </c>
    </row>
    <row r="364" spans="1:64">
      <c r="A364" s="1">
        <v>29281</v>
      </c>
      <c r="B364">
        <v>50.2</v>
      </c>
      <c r="C364">
        <v>51.6</v>
      </c>
      <c r="D364">
        <v>49.7</v>
      </c>
      <c r="E364">
        <v>53.1</v>
      </c>
      <c r="F364">
        <v>46</v>
      </c>
      <c r="G364">
        <v>46.5</v>
      </c>
      <c r="I364">
        <v>84.5</v>
      </c>
      <c r="W364" s="1">
        <v>29281</v>
      </c>
      <c r="X364">
        <v>102.089996</v>
      </c>
      <c r="Y364" s="4">
        <f t="shared" si="90"/>
        <v>-0.10179489347897613</v>
      </c>
      <c r="Z364" s="4">
        <f t="shared" si="92"/>
        <v>4.9217444599564709E-3</v>
      </c>
      <c r="AA364">
        <v>50.2</v>
      </c>
      <c r="AB364">
        <f t="shared" si="93"/>
        <v>58.2</v>
      </c>
      <c r="AP364" s="3">
        <v>29252</v>
      </c>
      <c r="AQ364" s="2">
        <v>46.2</v>
      </c>
      <c r="AR364" s="2" t="str">
        <f t="shared" si="94"/>
        <v>+</v>
      </c>
      <c r="AS364" s="2">
        <v>47.1</v>
      </c>
      <c r="AT364" s="8" t="str">
        <f t="shared" si="95"/>
        <v>+</v>
      </c>
      <c r="AU364" s="2">
        <v>48.4</v>
      </c>
      <c r="AV364" s="8" t="str">
        <f t="shared" si="96"/>
        <v>+</v>
      </c>
      <c r="AW364" s="2">
        <v>46.2</v>
      </c>
      <c r="AX364" s="8" t="str">
        <f t="shared" si="97"/>
        <v>+</v>
      </c>
      <c r="AY364" s="2">
        <v>42.1</v>
      </c>
      <c r="AZ364" s="8" t="str">
        <f t="shared" si="98"/>
        <v>-</v>
      </c>
      <c r="BA364" s="2">
        <v>44.5</v>
      </c>
      <c r="BB364" s="8" t="str">
        <f t="shared" si="99"/>
        <v>+</v>
      </c>
      <c r="BC364" s="2"/>
      <c r="BD364" s="8" t="str">
        <f t="shared" si="100"/>
        <v>+</v>
      </c>
      <c r="BE364" s="2">
        <v>83</v>
      </c>
      <c r="BF364" s="8" t="str">
        <f t="shared" si="91"/>
        <v>-</v>
      </c>
      <c r="BG364" s="2"/>
      <c r="BH364" s="8" t="str">
        <f t="shared" si="101"/>
        <v>+</v>
      </c>
      <c r="BI364" s="2"/>
      <c r="BJ364" s="8" t="str">
        <f t="shared" si="102"/>
        <v>+</v>
      </c>
      <c r="BK364" s="2"/>
      <c r="BL364" s="8" t="str">
        <f t="shared" si="103"/>
        <v>+</v>
      </c>
    </row>
    <row r="365" spans="1:64">
      <c r="A365" s="1">
        <v>29312</v>
      </c>
      <c r="B365">
        <v>43.6</v>
      </c>
      <c r="C365">
        <v>43.8</v>
      </c>
      <c r="D365">
        <v>43.2</v>
      </c>
      <c r="E365">
        <v>46.7</v>
      </c>
      <c r="F365">
        <v>39.1</v>
      </c>
      <c r="G365">
        <v>43</v>
      </c>
      <c r="I365">
        <v>84</v>
      </c>
      <c r="W365" s="1">
        <v>29312</v>
      </c>
      <c r="X365">
        <v>106.290001</v>
      </c>
      <c r="Y365" s="4">
        <f t="shared" si="90"/>
        <v>4.1140221026162098E-2</v>
      </c>
      <c r="Z365" s="4">
        <f t="shared" si="92"/>
        <v>4.4516498731987091E-2</v>
      </c>
      <c r="AA365">
        <v>43.6</v>
      </c>
      <c r="AB365">
        <f t="shared" si="93"/>
        <v>57.7</v>
      </c>
      <c r="AP365" s="3">
        <v>29281</v>
      </c>
      <c r="AQ365" s="2">
        <v>50.2</v>
      </c>
      <c r="AR365" s="2" t="str">
        <f t="shared" si="94"/>
        <v>+</v>
      </c>
      <c r="AS365" s="2">
        <v>51.6</v>
      </c>
      <c r="AT365" s="8" t="str">
        <f t="shared" si="95"/>
        <v>+</v>
      </c>
      <c r="AU365" s="2">
        <v>53.1</v>
      </c>
      <c r="AV365" s="8" t="str">
        <f t="shared" si="96"/>
        <v>+</v>
      </c>
      <c r="AW365" s="2">
        <v>49.7</v>
      </c>
      <c r="AX365" s="8" t="str">
        <f t="shared" si="97"/>
        <v>+</v>
      </c>
      <c r="AY365" s="2">
        <v>46</v>
      </c>
      <c r="AZ365" s="8" t="str">
        <f t="shared" si="98"/>
        <v>+</v>
      </c>
      <c r="BA365" s="2">
        <v>46.5</v>
      </c>
      <c r="BB365" s="8" t="str">
        <f t="shared" si="99"/>
        <v>+</v>
      </c>
      <c r="BC365" s="2"/>
      <c r="BD365" s="8" t="str">
        <f t="shared" si="100"/>
        <v>+</v>
      </c>
      <c r="BE365" s="2">
        <v>84.5</v>
      </c>
      <c r="BF365" s="8" t="str">
        <f t="shared" si="91"/>
        <v>+</v>
      </c>
      <c r="BG365" s="2"/>
      <c r="BH365" s="8" t="str">
        <f t="shared" si="101"/>
        <v>+</v>
      </c>
      <c r="BI365" s="2"/>
      <c r="BJ365" s="8" t="str">
        <f t="shared" si="102"/>
        <v>+</v>
      </c>
      <c r="BK365" s="2"/>
      <c r="BL365" s="8" t="str">
        <f t="shared" si="103"/>
        <v>+</v>
      </c>
    </row>
    <row r="366" spans="1:64">
      <c r="A366" s="1">
        <v>29342</v>
      </c>
      <c r="B366">
        <v>37.4</v>
      </c>
      <c r="C366">
        <v>32</v>
      </c>
      <c r="D366">
        <v>41.2</v>
      </c>
      <c r="E366">
        <v>37.9</v>
      </c>
      <c r="F366">
        <v>36.9</v>
      </c>
      <c r="G366">
        <v>45.3</v>
      </c>
      <c r="I366">
        <v>77.5</v>
      </c>
      <c r="W366" s="1">
        <v>29342</v>
      </c>
      <c r="X366">
        <v>111.239998</v>
      </c>
      <c r="Y366" s="4">
        <f t="shared" si="90"/>
        <v>4.6570674131426494E-2</v>
      </c>
      <c r="Z366" s="4">
        <f t="shared" si="92"/>
        <v>0.1227290649428934</v>
      </c>
      <c r="AA366">
        <v>37.4</v>
      </c>
      <c r="AB366">
        <f t="shared" si="93"/>
        <v>56.2</v>
      </c>
      <c r="AP366" s="3">
        <v>29312</v>
      </c>
      <c r="AQ366" s="2">
        <v>43.6</v>
      </c>
      <c r="AR366" s="2" t="str">
        <f t="shared" si="94"/>
        <v>-</v>
      </c>
      <c r="AS366" s="2">
        <v>43.8</v>
      </c>
      <c r="AT366" s="8" t="str">
        <f t="shared" si="95"/>
        <v>-</v>
      </c>
      <c r="AU366" s="2">
        <v>46.7</v>
      </c>
      <c r="AV366" s="8" t="str">
        <f t="shared" si="96"/>
        <v>-</v>
      </c>
      <c r="AW366" s="2">
        <v>43.2</v>
      </c>
      <c r="AX366" s="8" t="str">
        <f t="shared" si="97"/>
        <v>-</v>
      </c>
      <c r="AY366" s="2">
        <v>39.1</v>
      </c>
      <c r="AZ366" s="8" t="str">
        <f t="shared" si="98"/>
        <v>-</v>
      </c>
      <c r="BA366" s="2">
        <v>43</v>
      </c>
      <c r="BB366" s="8" t="str">
        <f t="shared" si="99"/>
        <v>-</v>
      </c>
      <c r="BC366" s="2"/>
      <c r="BD366" s="8" t="str">
        <f t="shared" si="100"/>
        <v>+</v>
      </c>
      <c r="BE366" s="2">
        <v>84</v>
      </c>
      <c r="BF366" s="8" t="str">
        <f t="shared" si="91"/>
        <v>-</v>
      </c>
      <c r="BG366" s="2"/>
      <c r="BH366" s="8" t="str">
        <f t="shared" si="101"/>
        <v>+</v>
      </c>
      <c r="BI366" s="2"/>
      <c r="BJ366" s="8" t="str">
        <f t="shared" si="102"/>
        <v>+</v>
      </c>
      <c r="BK366" s="2"/>
      <c r="BL366" s="8" t="str">
        <f t="shared" si="103"/>
        <v>+</v>
      </c>
    </row>
    <row r="367" spans="1:64">
      <c r="A367" s="1">
        <v>29373</v>
      </c>
      <c r="B367">
        <v>29.4</v>
      </c>
      <c r="C367">
        <v>25.6</v>
      </c>
      <c r="D367">
        <v>34.299999999999997</v>
      </c>
      <c r="E367">
        <v>28.1</v>
      </c>
      <c r="F367">
        <v>29.8</v>
      </c>
      <c r="G367">
        <v>33.299999999999997</v>
      </c>
      <c r="I367">
        <v>70.8</v>
      </c>
      <c r="W367" s="1">
        <v>29373</v>
      </c>
      <c r="X367">
        <v>114.239998</v>
      </c>
      <c r="Y367" s="4">
        <f t="shared" si="90"/>
        <v>2.6968716773979086E-2</v>
      </c>
      <c r="Z367" s="4">
        <f t="shared" si="92"/>
        <v>0.11009613798090999</v>
      </c>
      <c r="AA367">
        <v>29.4</v>
      </c>
      <c r="AB367">
        <f t="shared" si="93"/>
        <v>54.4</v>
      </c>
      <c r="AP367" s="3">
        <v>29342</v>
      </c>
      <c r="AQ367" s="2">
        <v>37.4</v>
      </c>
      <c r="AR367" s="2" t="str">
        <f t="shared" si="94"/>
        <v>-</v>
      </c>
      <c r="AS367" s="2">
        <v>32</v>
      </c>
      <c r="AT367" s="8" t="str">
        <f t="shared" si="95"/>
        <v>-</v>
      </c>
      <c r="AU367" s="2">
        <v>37.9</v>
      </c>
      <c r="AV367" s="8" t="str">
        <f t="shared" si="96"/>
        <v>-</v>
      </c>
      <c r="AW367" s="2">
        <v>41.2</v>
      </c>
      <c r="AX367" s="8" t="str">
        <f t="shared" si="97"/>
        <v>-</v>
      </c>
      <c r="AY367" s="2">
        <v>36.9</v>
      </c>
      <c r="AZ367" s="8" t="str">
        <f t="shared" si="98"/>
        <v>-</v>
      </c>
      <c r="BA367" s="2">
        <v>45.3</v>
      </c>
      <c r="BB367" s="8" t="str">
        <f t="shared" si="99"/>
        <v>+</v>
      </c>
      <c r="BC367" s="2"/>
      <c r="BD367" s="8" t="str">
        <f t="shared" si="100"/>
        <v>+</v>
      </c>
      <c r="BE367" s="2">
        <v>77.5</v>
      </c>
      <c r="BF367" s="8" t="str">
        <f t="shared" si="91"/>
        <v>-</v>
      </c>
      <c r="BG367" s="2"/>
      <c r="BH367" s="8" t="str">
        <f t="shared" si="101"/>
        <v>+</v>
      </c>
      <c r="BI367" s="2"/>
      <c r="BJ367" s="8" t="str">
        <f t="shared" si="102"/>
        <v>+</v>
      </c>
      <c r="BK367" s="2"/>
      <c r="BL367" s="8" t="str">
        <f t="shared" si="103"/>
        <v>+</v>
      </c>
    </row>
    <row r="368" spans="1:64">
      <c r="A368" s="1">
        <v>29403</v>
      </c>
      <c r="B368">
        <v>30.3</v>
      </c>
      <c r="C368">
        <v>24.2</v>
      </c>
      <c r="D368">
        <v>32.799999999999997</v>
      </c>
      <c r="E368">
        <v>31.5</v>
      </c>
      <c r="F368">
        <v>32.4</v>
      </c>
      <c r="G368">
        <v>37.299999999999997</v>
      </c>
      <c r="I368">
        <v>63.4</v>
      </c>
      <c r="W368" s="1">
        <v>29403</v>
      </c>
      <c r="X368">
        <v>121.66999800000001</v>
      </c>
      <c r="Y368" s="4">
        <f t="shared" si="90"/>
        <v>6.5038516544792022E-2</v>
      </c>
      <c r="Z368" s="4">
        <f t="shared" si="92"/>
        <v>0.17204508567662255</v>
      </c>
      <c r="AA368">
        <v>30.3</v>
      </c>
      <c r="AB368">
        <f t="shared" si="93"/>
        <v>52.7</v>
      </c>
      <c r="AP368" s="3">
        <v>29373</v>
      </c>
      <c r="AQ368" s="2">
        <v>29.4</v>
      </c>
      <c r="AR368" s="2" t="str">
        <f t="shared" si="94"/>
        <v>-</v>
      </c>
      <c r="AS368" s="2">
        <v>25.6</v>
      </c>
      <c r="AT368" s="8" t="str">
        <f t="shared" si="95"/>
        <v>-</v>
      </c>
      <c r="AU368" s="2">
        <v>28.1</v>
      </c>
      <c r="AV368" s="8" t="str">
        <f t="shared" si="96"/>
        <v>-</v>
      </c>
      <c r="AW368" s="2">
        <v>34.299999999999997</v>
      </c>
      <c r="AX368" s="8" t="str">
        <f t="shared" si="97"/>
        <v>-</v>
      </c>
      <c r="AY368" s="2">
        <v>29.8</v>
      </c>
      <c r="AZ368" s="8" t="str">
        <f t="shared" si="98"/>
        <v>-</v>
      </c>
      <c r="BA368" s="2">
        <v>33.299999999999997</v>
      </c>
      <c r="BB368" s="8" t="str">
        <f t="shared" si="99"/>
        <v>-</v>
      </c>
      <c r="BC368" s="2"/>
      <c r="BD368" s="8" t="str">
        <f t="shared" si="100"/>
        <v>+</v>
      </c>
      <c r="BE368" s="2">
        <v>70.8</v>
      </c>
      <c r="BF368" s="8" t="str">
        <f t="shared" si="91"/>
        <v>-</v>
      </c>
      <c r="BG368" s="2"/>
      <c r="BH368" s="8" t="str">
        <f t="shared" si="101"/>
        <v>+</v>
      </c>
      <c r="BI368" s="2"/>
      <c r="BJ368" s="8" t="str">
        <f t="shared" si="102"/>
        <v>+</v>
      </c>
      <c r="BK368" s="2"/>
      <c r="BL368" s="8" t="str">
        <f t="shared" si="103"/>
        <v>+</v>
      </c>
    </row>
    <row r="369" spans="1:64">
      <c r="A369" s="1">
        <v>29434</v>
      </c>
      <c r="B369">
        <v>35</v>
      </c>
      <c r="C369">
        <v>36.1</v>
      </c>
      <c r="D369">
        <v>35</v>
      </c>
      <c r="E369">
        <v>35.1</v>
      </c>
      <c r="F369">
        <v>36.299999999999997</v>
      </c>
      <c r="G369">
        <v>29.5</v>
      </c>
      <c r="I369">
        <v>59.3</v>
      </c>
      <c r="W369" s="1">
        <v>29434</v>
      </c>
      <c r="X369">
        <v>122.379997</v>
      </c>
      <c r="Y369" s="4">
        <f t="shared" si="90"/>
        <v>5.8354484398035105E-3</v>
      </c>
      <c r="Z369" s="4">
        <f t="shared" si="92"/>
        <v>0.11946576106842308</v>
      </c>
      <c r="AA369">
        <v>35</v>
      </c>
      <c r="AB369">
        <f t="shared" si="93"/>
        <v>51.3</v>
      </c>
      <c r="AP369" s="3">
        <v>29403</v>
      </c>
      <c r="AQ369" s="2">
        <v>30.3</v>
      </c>
      <c r="AR369" s="2" t="str">
        <f t="shared" si="94"/>
        <v>+</v>
      </c>
      <c r="AS369" s="2">
        <v>24.2</v>
      </c>
      <c r="AT369" s="8" t="str">
        <f t="shared" si="95"/>
        <v>-</v>
      </c>
      <c r="AU369" s="2">
        <v>31.5</v>
      </c>
      <c r="AV369" s="8" t="str">
        <f t="shared" si="96"/>
        <v>+</v>
      </c>
      <c r="AW369" s="2">
        <v>32.799999999999997</v>
      </c>
      <c r="AX369" s="8" t="str">
        <f t="shared" si="97"/>
        <v>-</v>
      </c>
      <c r="AY369" s="2">
        <v>32.4</v>
      </c>
      <c r="AZ369" s="8" t="str">
        <f t="shared" si="98"/>
        <v>+</v>
      </c>
      <c r="BA369" s="2">
        <v>37.299999999999997</v>
      </c>
      <c r="BB369" s="8" t="str">
        <f t="shared" si="99"/>
        <v>+</v>
      </c>
      <c r="BC369" s="2"/>
      <c r="BD369" s="8" t="str">
        <f t="shared" si="100"/>
        <v>+</v>
      </c>
      <c r="BE369" s="2">
        <v>63.4</v>
      </c>
      <c r="BF369" s="8" t="str">
        <f t="shared" si="91"/>
        <v>-</v>
      </c>
      <c r="BG369" s="2"/>
      <c r="BH369" s="8" t="str">
        <f t="shared" si="101"/>
        <v>+</v>
      </c>
      <c r="BI369" s="2"/>
      <c r="BJ369" s="8" t="str">
        <f t="shared" si="102"/>
        <v>+</v>
      </c>
      <c r="BK369" s="2"/>
      <c r="BL369" s="8" t="str">
        <f t="shared" si="103"/>
        <v>+</v>
      </c>
    </row>
    <row r="370" spans="1:64">
      <c r="A370" s="1">
        <v>29465</v>
      </c>
      <c r="B370">
        <v>45.5</v>
      </c>
      <c r="C370">
        <v>54.1</v>
      </c>
      <c r="D370">
        <v>38.700000000000003</v>
      </c>
      <c r="E370">
        <v>46.9</v>
      </c>
      <c r="F370">
        <v>40.1</v>
      </c>
      <c r="G370">
        <v>37.6</v>
      </c>
      <c r="I370">
        <v>67</v>
      </c>
      <c r="W370" s="1">
        <v>29465</v>
      </c>
      <c r="X370">
        <v>125.459999</v>
      </c>
      <c r="Y370" s="4">
        <f t="shared" si="90"/>
        <v>2.5167527990705811E-2</v>
      </c>
      <c r="Z370" s="4">
        <f t="shared" si="92"/>
        <v>0.14763994694474938</v>
      </c>
      <c r="AA370">
        <v>45.5</v>
      </c>
      <c r="AB370">
        <f t="shared" si="93"/>
        <v>49.5</v>
      </c>
      <c r="AP370" s="3">
        <v>29434</v>
      </c>
      <c r="AQ370" s="2">
        <v>35</v>
      </c>
      <c r="AR370" s="2" t="str">
        <f t="shared" si="94"/>
        <v>+</v>
      </c>
      <c r="AS370" s="2">
        <v>36.1</v>
      </c>
      <c r="AT370" s="8" t="str">
        <f t="shared" si="95"/>
        <v>+</v>
      </c>
      <c r="AU370" s="2">
        <v>35.1</v>
      </c>
      <c r="AV370" s="8" t="str">
        <f t="shared" si="96"/>
        <v>+</v>
      </c>
      <c r="AW370" s="2">
        <v>35</v>
      </c>
      <c r="AX370" s="8" t="str">
        <f t="shared" si="97"/>
        <v>+</v>
      </c>
      <c r="AY370" s="2">
        <v>36.299999999999997</v>
      </c>
      <c r="AZ370" s="8" t="str">
        <f t="shared" si="98"/>
        <v>+</v>
      </c>
      <c r="BA370" s="2">
        <v>29.5</v>
      </c>
      <c r="BB370" s="8" t="str">
        <f t="shared" si="99"/>
        <v>-</v>
      </c>
      <c r="BC370" s="2"/>
      <c r="BD370" s="8" t="str">
        <f t="shared" si="100"/>
        <v>+</v>
      </c>
      <c r="BE370" s="2">
        <v>59.3</v>
      </c>
      <c r="BF370" s="8" t="str">
        <f t="shared" si="91"/>
        <v>-</v>
      </c>
      <c r="BG370" s="2"/>
      <c r="BH370" s="8" t="str">
        <f t="shared" si="101"/>
        <v>+</v>
      </c>
      <c r="BI370" s="2"/>
      <c r="BJ370" s="8" t="str">
        <f t="shared" si="102"/>
        <v>+</v>
      </c>
      <c r="BK370" s="2"/>
      <c r="BL370" s="8" t="str">
        <f t="shared" si="103"/>
        <v>+</v>
      </c>
    </row>
    <row r="371" spans="1:64">
      <c r="A371" s="1">
        <v>29495</v>
      </c>
      <c r="B371">
        <v>50.1</v>
      </c>
      <c r="C371">
        <v>53.9</v>
      </c>
      <c r="D371">
        <v>47</v>
      </c>
      <c r="E371">
        <v>55.1</v>
      </c>
      <c r="F371">
        <v>41.2</v>
      </c>
      <c r="G371">
        <v>45.3</v>
      </c>
      <c r="I371">
        <v>68</v>
      </c>
      <c r="W371" s="1">
        <v>29495</v>
      </c>
      <c r="X371">
        <v>127.470001</v>
      </c>
      <c r="Y371" s="4">
        <f t="shared" si="90"/>
        <v>1.6021058632401233E-2</v>
      </c>
      <c r="Z371" s="4">
        <f t="shared" si="92"/>
        <v>0.25191515419367516</v>
      </c>
      <c r="AA371">
        <v>50.1</v>
      </c>
      <c r="AB371">
        <f t="shared" si="93"/>
        <v>49.6</v>
      </c>
      <c r="AP371" s="3">
        <v>29465</v>
      </c>
      <c r="AQ371" s="2">
        <v>45.5</v>
      </c>
      <c r="AR371" s="2" t="str">
        <f t="shared" si="94"/>
        <v>+</v>
      </c>
      <c r="AS371" s="2">
        <v>54.1</v>
      </c>
      <c r="AT371" s="8" t="str">
        <f t="shared" si="95"/>
        <v>+</v>
      </c>
      <c r="AU371" s="2">
        <v>46.9</v>
      </c>
      <c r="AV371" s="8" t="str">
        <f t="shared" si="96"/>
        <v>+</v>
      </c>
      <c r="AW371" s="2">
        <v>38.700000000000003</v>
      </c>
      <c r="AX371" s="8" t="str">
        <f t="shared" si="97"/>
        <v>+</v>
      </c>
      <c r="AY371" s="2">
        <v>40.1</v>
      </c>
      <c r="AZ371" s="8" t="str">
        <f t="shared" si="98"/>
        <v>+</v>
      </c>
      <c r="BA371" s="2">
        <v>37.6</v>
      </c>
      <c r="BB371" s="8" t="str">
        <f t="shared" si="99"/>
        <v>+</v>
      </c>
      <c r="BC371" s="2"/>
      <c r="BD371" s="8" t="str">
        <f t="shared" si="100"/>
        <v>+</v>
      </c>
      <c r="BE371" s="2">
        <v>67</v>
      </c>
      <c r="BF371" s="8" t="str">
        <f t="shared" si="91"/>
        <v>+</v>
      </c>
      <c r="BG371" s="2"/>
      <c r="BH371" s="8" t="str">
        <f t="shared" si="101"/>
        <v>+</v>
      </c>
      <c r="BI371" s="2"/>
      <c r="BJ371" s="8" t="str">
        <f t="shared" si="102"/>
        <v>+</v>
      </c>
      <c r="BK371" s="2"/>
      <c r="BL371" s="8" t="str">
        <f t="shared" si="103"/>
        <v>+</v>
      </c>
    </row>
    <row r="372" spans="1:64">
      <c r="A372" s="1">
        <v>29526</v>
      </c>
      <c r="B372">
        <v>55.5</v>
      </c>
      <c r="C372">
        <v>63.7</v>
      </c>
      <c r="D372">
        <v>49.4</v>
      </c>
      <c r="E372">
        <v>60.7</v>
      </c>
      <c r="F372">
        <v>46.5</v>
      </c>
      <c r="G372">
        <v>43.9</v>
      </c>
      <c r="I372">
        <v>75.2</v>
      </c>
      <c r="W372" s="1">
        <v>29526</v>
      </c>
      <c r="X372">
        <v>140.520004</v>
      </c>
      <c r="Y372" s="4">
        <f t="shared" si="90"/>
        <v>0.10237705262118892</v>
      </c>
      <c r="Z372" s="4">
        <f t="shared" si="92"/>
        <v>0.32366238418755144</v>
      </c>
      <c r="AA372">
        <v>55.5</v>
      </c>
      <c r="AB372">
        <f t="shared" si="93"/>
        <v>49</v>
      </c>
      <c r="AP372" s="3">
        <v>29495</v>
      </c>
      <c r="AQ372" s="2">
        <v>50.1</v>
      </c>
      <c r="AR372" s="2" t="str">
        <f t="shared" si="94"/>
        <v>+</v>
      </c>
      <c r="AS372" s="2">
        <v>53.9</v>
      </c>
      <c r="AT372" s="8" t="str">
        <f t="shared" si="95"/>
        <v>-</v>
      </c>
      <c r="AU372" s="2">
        <v>55.1</v>
      </c>
      <c r="AV372" s="8" t="str">
        <f t="shared" si="96"/>
        <v>+</v>
      </c>
      <c r="AW372" s="2">
        <v>47</v>
      </c>
      <c r="AX372" s="8" t="str">
        <f t="shared" si="97"/>
        <v>+</v>
      </c>
      <c r="AY372" s="2">
        <v>41.2</v>
      </c>
      <c r="AZ372" s="8" t="str">
        <f t="shared" si="98"/>
        <v>+</v>
      </c>
      <c r="BA372" s="2">
        <v>45.3</v>
      </c>
      <c r="BB372" s="8" t="str">
        <f t="shared" si="99"/>
        <v>+</v>
      </c>
      <c r="BC372" s="2"/>
      <c r="BD372" s="8" t="str">
        <f t="shared" si="100"/>
        <v>+</v>
      </c>
      <c r="BE372" s="2">
        <v>68</v>
      </c>
      <c r="BF372" s="8" t="str">
        <f t="shared" si="91"/>
        <v>+</v>
      </c>
      <c r="BG372" s="2"/>
      <c r="BH372" s="8" t="str">
        <f t="shared" si="101"/>
        <v>+</v>
      </c>
      <c r="BI372" s="2"/>
      <c r="BJ372" s="8" t="str">
        <f t="shared" si="102"/>
        <v>+</v>
      </c>
      <c r="BK372" s="2"/>
      <c r="BL372" s="8" t="str">
        <f t="shared" si="103"/>
        <v>+</v>
      </c>
    </row>
    <row r="373" spans="1:64">
      <c r="A373" s="1">
        <v>29556</v>
      </c>
      <c r="B373">
        <v>58.2</v>
      </c>
      <c r="C373">
        <v>65.3</v>
      </c>
      <c r="D373">
        <v>53.3</v>
      </c>
      <c r="E373">
        <v>66.8</v>
      </c>
      <c r="F373">
        <v>46.8</v>
      </c>
      <c r="G373">
        <v>42.2</v>
      </c>
      <c r="I373">
        <v>76.7</v>
      </c>
      <c r="W373" s="1">
        <v>29556</v>
      </c>
      <c r="X373">
        <v>135.759995</v>
      </c>
      <c r="Y373" s="4">
        <f t="shared" si="90"/>
        <v>-3.3874244694726857E-2</v>
      </c>
      <c r="Z373" s="4">
        <f t="shared" si="92"/>
        <v>0.25773570951017766</v>
      </c>
      <c r="AA373">
        <v>58.2</v>
      </c>
      <c r="AB373">
        <f t="shared" si="93"/>
        <v>48</v>
      </c>
      <c r="AP373" s="3">
        <v>29526</v>
      </c>
      <c r="AQ373" s="2">
        <v>55.5</v>
      </c>
      <c r="AR373" s="2" t="str">
        <f t="shared" si="94"/>
        <v>+</v>
      </c>
      <c r="AS373" s="2">
        <v>63.7</v>
      </c>
      <c r="AT373" s="8" t="str">
        <f t="shared" si="95"/>
        <v>+</v>
      </c>
      <c r="AU373" s="2">
        <v>60.7</v>
      </c>
      <c r="AV373" s="8" t="str">
        <f t="shared" si="96"/>
        <v>+</v>
      </c>
      <c r="AW373" s="2">
        <v>49.4</v>
      </c>
      <c r="AX373" s="8" t="str">
        <f t="shared" si="97"/>
        <v>+</v>
      </c>
      <c r="AY373" s="2">
        <v>46.5</v>
      </c>
      <c r="AZ373" s="8" t="str">
        <f t="shared" si="98"/>
        <v>+</v>
      </c>
      <c r="BA373" s="2">
        <v>43.9</v>
      </c>
      <c r="BB373" s="8" t="str">
        <f t="shared" si="99"/>
        <v>-</v>
      </c>
      <c r="BC373" s="2"/>
      <c r="BD373" s="8" t="str">
        <f t="shared" si="100"/>
        <v>+</v>
      </c>
      <c r="BE373" s="2">
        <v>75.2</v>
      </c>
      <c r="BF373" s="8" t="str">
        <f t="shared" si="91"/>
        <v>+</v>
      </c>
      <c r="BG373" s="2"/>
      <c r="BH373" s="8" t="str">
        <f t="shared" si="101"/>
        <v>+</v>
      </c>
      <c r="BI373" s="2"/>
      <c r="BJ373" s="8" t="str">
        <f t="shared" si="102"/>
        <v>+</v>
      </c>
      <c r="BK373" s="2"/>
      <c r="BL373" s="8" t="str">
        <f t="shared" si="103"/>
        <v>+</v>
      </c>
    </row>
    <row r="374" spans="1:64">
      <c r="A374" s="1">
        <v>29587</v>
      </c>
      <c r="B374">
        <v>53</v>
      </c>
      <c r="C374">
        <v>51.2</v>
      </c>
      <c r="D374">
        <v>53.2</v>
      </c>
      <c r="E374">
        <v>57.2</v>
      </c>
      <c r="F374">
        <v>50.1</v>
      </c>
      <c r="G374">
        <v>51.4</v>
      </c>
      <c r="I374">
        <v>74.599999999999994</v>
      </c>
      <c r="W374" s="1">
        <v>29587</v>
      </c>
      <c r="X374">
        <v>129.550003</v>
      </c>
      <c r="Y374" s="4">
        <f t="shared" si="90"/>
        <v>-4.5742429498468969E-2</v>
      </c>
      <c r="Z374" s="4">
        <f t="shared" si="92"/>
        <v>0.13481077838784941</v>
      </c>
      <c r="AA374">
        <v>53</v>
      </c>
      <c r="AB374">
        <f t="shared" si="93"/>
        <v>44.8</v>
      </c>
      <c r="AP374" s="3">
        <v>29556</v>
      </c>
      <c r="AQ374" s="2">
        <v>58.2</v>
      </c>
      <c r="AR374" s="2" t="str">
        <f t="shared" si="94"/>
        <v>+</v>
      </c>
      <c r="AS374" s="2">
        <v>65.3</v>
      </c>
      <c r="AT374" s="8" t="str">
        <f t="shared" si="95"/>
        <v>+</v>
      </c>
      <c r="AU374" s="2">
        <v>66.8</v>
      </c>
      <c r="AV374" s="8" t="str">
        <f t="shared" si="96"/>
        <v>+</v>
      </c>
      <c r="AW374" s="2">
        <v>53.3</v>
      </c>
      <c r="AX374" s="8" t="str">
        <f t="shared" si="97"/>
        <v>+</v>
      </c>
      <c r="AY374" s="2">
        <v>46.8</v>
      </c>
      <c r="AZ374" s="8" t="str">
        <f t="shared" si="98"/>
        <v>+</v>
      </c>
      <c r="BA374" s="2">
        <v>42.2</v>
      </c>
      <c r="BB374" s="8" t="str">
        <f t="shared" si="99"/>
        <v>-</v>
      </c>
      <c r="BC374" s="2"/>
      <c r="BD374" s="8" t="str">
        <f t="shared" si="100"/>
        <v>+</v>
      </c>
      <c r="BE374" s="2">
        <v>76.7</v>
      </c>
      <c r="BF374" s="8" t="str">
        <f t="shared" si="91"/>
        <v>+</v>
      </c>
      <c r="BG374" s="2"/>
      <c r="BH374" s="8" t="str">
        <f t="shared" si="101"/>
        <v>+</v>
      </c>
      <c r="BI374" s="2"/>
      <c r="BJ374" s="8" t="str">
        <f t="shared" si="102"/>
        <v>+</v>
      </c>
      <c r="BK374" s="2"/>
      <c r="BL374" s="8" t="str">
        <f t="shared" si="103"/>
        <v>+</v>
      </c>
    </row>
    <row r="375" spans="1:64">
      <c r="A375" s="1">
        <v>29618</v>
      </c>
      <c r="B375">
        <v>49.2</v>
      </c>
      <c r="C375">
        <v>48.7</v>
      </c>
      <c r="D375">
        <v>48.7</v>
      </c>
      <c r="E375">
        <v>51.8</v>
      </c>
      <c r="F375">
        <v>49.7</v>
      </c>
      <c r="G375">
        <v>44.6</v>
      </c>
      <c r="I375">
        <v>76.3</v>
      </c>
      <c r="W375" s="1">
        <v>29618</v>
      </c>
      <c r="X375">
        <v>131.270004</v>
      </c>
      <c r="Y375" s="4">
        <f t="shared" si="90"/>
        <v>1.327673454395826E-2</v>
      </c>
      <c r="Z375" s="4">
        <f t="shared" si="92"/>
        <v>0.1549357679065364</v>
      </c>
      <c r="AA375">
        <v>49.2</v>
      </c>
      <c r="AB375">
        <f t="shared" si="93"/>
        <v>46.2</v>
      </c>
      <c r="AP375" s="3">
        <v>29587</v>
      </c>
      <c r="AQ375" s="2">
        <v>53</v>
      </c>
      <c r="AR375" s="2" t="str">
        <f t="shared" si="94"/>
        <v>-</v>
      </c>
      <c r="AS375" s="2">
        <v>51.2</v>
      </c>
      <c r="AT375" s="8" t="str">
        <f t="shared" si="95"/>
        <v>-</v>
      </c>
      <c r="AU375" s="2">
        <v>57.2</v>
      </c>
      <c r="AV375" s="8" t="str">
        <f t="shared" si="96"/>
        <v>-</v>
      </c>
      <c r="AW375" s="2">
        <v>53.2</v>
      </c>
      <c r="AX375" s="8" t="str">
        <f t="shared" si="97"/>
        <v>-</v>
      </c>
      <c r="AY375" s="2">
        <v>50.1</v>
      </c>
      <c r="AZ375" s="8" t="str">
        <f t="shared" si="98"/>
        <v>+</v>
      </c>
      <c r="BA375" s="2">
        <v>51.4</v>
      </c>
      <c r="BB375" s="8" t="str">
        <f t="shared" si="99"/>
        <v>+</v>
      </c>
      <c r="BC375" s="2"/>
      <c r="BD375" s="8" t="str">
        <f t="shared" si="100"/>
        <v>+</v>
      </c>
      <c r="BE375" s="2">
        <v>74.599999999999994</v>
      </c>
      <c r="BF375" s="8" t="str">
        <f t="shared" si="91"/>
        <v>-</v>
      </c>
      <c r="BG375" s="2"/>
      <c r="BH375" s="8" t="str">
        <f t="shared" si="101"/>
        <v>+</v>
      </c>
      <c r="BI375" s="2"/>
      <c r="BJ375" s="8" t="str">
        <f t="shared" si="102"/>
        <v>+</v>
      </c>
      <c r="BK375" s="2"/>
      <c r="BL375" s="8" t="str">
        <f t="shared" si="103"/>
        <v>+</v>
      </c>
    </row>
    <row r="376" spans="1:64">
      <c r="A376" s="1">
        <v>29646</v>
      </c>
      <c r="B376">
        <v>48.8</v>
      </c>
      <c r="C376">
        <v>51.1</v>
      </c>
      <c r="D376">
        <v>46.3</v>
      </c>
      <c r="E376">
        <v>50.9</v>
      </c>
      <c r="F376">
        <v>48.5</v>
      </c>
      <c r="G376">
        <v>42.1</v>
      </c>
      <c r="I376">
        <v>70.900000000000006</v>
      </c>
      <c r="W376" s="1">
        <v>29646</v>
      </c>
      <c r="X376">
        <v>136</v>
      </c>
      <c r="Y376" s="4">
        <f t="shared" si="90"/>
        <v>3.6032572985980865E-2</v>
      </c>
      <c r="Z376" s="4">
        <f t="shared" si="92"/>
        <v>0.33215795208768545</v>
      </c>
      <c r="AA376">
        <v>48.8</v>
      </c>
      <c r="AB376">
        <f t="shared" si="93"/>
        <v>50.2</v>
      </c>
      <c r="AP376" s="3">
        <v>29618</v>
      </c>
      <c r="AQ376" s="2">
        <v>49.2</v>
      </c>
      <c r="AR376" s="2" t="str">
        <f t="shared" si="94"/>
        <v>-</v>
      </c>
      <c r="AS376" s="2">
        <v>48.7</v>
      </c>
      <c r="AT376" s="8" t="str">
        <f t="shared" si="95"/>
        <v>-</v>
      </c>
      <c r="AU376" s="2">
        <v>51.8</v>
      </c>
      <c r="AV376" s="8" t="str">
        <f t="shared" si="96"/>
        <v>-</v>
      </c>
      <c r="AW376" s="2">
        <v>48.7</v>
      </c>
      <c r="AX376" s="8" t="str">
        <f t="shared" si="97"/>
        <v>-</v>
      </c>
      <c r="AY376" s="2">
        <v>49.7</v>
      </c>
      <c r="AZ376" s="8" t="str">
        <f t="shared" si="98"/>
        <v>-</v>
      </c>
      <c r="BA376" s="2">
        <v>44.6</v>
      </c>
      <c r="BB376" s="8" t="str">
        <f t="shared" si="99"/>
        <v>-</v>
      </c>
      <c r="BC376" s="2"/>
      <c r="BD376" s="8" t="str">
        <f t="shared" si="100"/>
        <v>+</v>
      </c>
      <c r="BE376" s="2">
        <v>76.3</v>
      </c>
      <c r="BF376" s="8" t="str">
        <f t="shared" si="91"/>
        <v>+</v>
      </c>
      <c r="BG376" s="2"/>
      <c r="BH376" s="8" t="str">
        <f t="shared" si="101"/>
        <v>+</v>
      </c>
      <c r="BI376" s="2"/>
      <c r="BJ376" s="8" t="str">
        <f t="shared" si="102"/>
        <v>+</v>
      </c>
      <c r="BK376" s="2"/>
      <c r="BL376" s="8" t="str">
        <f t="shared" si="103"/>
        <v>+</v>
      </c>
    </row>
    <row r="377" spans="1:64">
      <c r="A377" s="1">
        <v>29677</v>
      </c>
      <c r="B377">
        <v>49.6</v>
      </c>
      <c r="C377">
        <v>50.2</v>
      </c>
      <c r="D377">
        <v>48.1</v>
      </c>
      <c r="E377">
        <v>52.8</v>
      </c>
      <c r="F377">
        <v>48.7</v>
      </c>
      <c r="G377">
        <v>44.7</v>
      </c>
      <c r="I377">
        <v>72.599999999999994</v>
      </c>
      <c r="W377" s="1">
        <v>29677</v>
      </c>
      <c r="X377">
        <v>132.80999800000001</v>
      </c>
      <c r="Y377" s="4">
        <f t="shared" si="90"/>
        <v>-2.3455897058823477E-2</v>
      </c>
      <c r="Z377" s="4">
        <f t="shared" si="92"/>
        <v>0.24950603773162069</v>
      </c>
      <c r="AA377">
        <v>49.6</v>
      </c>
      <c r="AB377">
        <f t="shared" si="93"/>
        <v>43.6</v>
      </c>
      <c r="AP377" s="3">
        <v>29646</v>
      </c>
      <c r="AQ377" s="2">
        <v>48.8</v>
      </c>
      <c r="AR377" s="2" t="str">
        <f t="shared" si="94"/>
        <v>-</v>
      </c>
      <c r="AS377" s="2">
        <v>51.1</v>
      </c>
      <c r="AT377" s="8" t="str">
        <f t="shared" si="95"/>
        <v>+</v>
      </c>
      <c r="AU377" s="2">
        <v>50.9</v>
      </c>
      <c r="AV377" s="8" t="str">
        <f t="shared" si="96"/>
        <v>-</v>
      </c>
      <c r="AW377" s="2">
        <v>46.3</v>
      </c>
      <c r="AX377" s="8" t="str">
        <f t="shared" si="97"/>
        <v>-</v>
      </c>
      <c r="AY377" s="2">
        <v>48.5</v>
      </c>
      <c r="AZ377" s="8" t="str">
        <f t="shared" si="98"/>
        <v>-</v>
      </c>
      <c r="BA377" s="2">
        <v>42.1</v>
      </c>
      <c r="BB377" s="8" t="str">
        <f t="shared" si="99"/>
        <v>-</v>
      </c>
      <c r="BC377" s="2"/>
      <c r="BD377" s="8" t="str">
        <f t="shared" si="100"/>
        <v>+</v>
      </c>
      <c r="BE377" s="2">
        <v>70.900000000000006</v>
      </c>
      <c r="BF377" s="8" t="str">
        <f t="shared" si="91"/>
        <v>-</v>
      </c>
      <c r="BG377" s="2"/>
      <c r="BH377" s="8" t="str">
        <f t="shared" si="101"/>
        <v>+</v>
      </c>
      <c r="BI377" s="2"/>
      <c r="BJ377" s="8" t="str">
        <f t="shared" si="102"/>
        <v>+</v>
      </c>
      <c r="BK377" s="2"/>
      <c r="BL377" s="8" t="str">
        <f t="shared" si="103"/>
        <v>+</v>
      </c>
    </row>
    <row r="378" spans="1:64">
      <c r="A378" s="1">
        <v>29707</v>
      </c>
      <c r="B378">
        <v>51.6</v>
      </c>
      <c r="C378">
        <v>53.1</v>
      </c>
      <c r="D378">
        <v>49.2</v>
      </c>
      <c r="E378">
        <v>55</v>
      </c>
      <c r="F378">
        <v>51.2</v>
      </c>
      <c r="G378">
        <v>44.4</v>
      </c>
      <c r="I378">
        <v>70.2</v>
      </c>
      <c r="W378" s="1">
        <v>29707</v>
      </c>
      <c r="X378">
        <v>132.58999600000001</v>
      </c>
      <c r="Y378" s="4">
        <f t="shared" si="90"/>
        <v>-1.6565168534976847E-3</v>
      </c>
      <c r="Z378" s="4">
        <f t="shared" si="92"/>
        <v>0.19192734972900677</v>
      </c>
      <c r="AA378">
        <v>51.6</v>
      </c>
      <c r="AB378">
        <f t="shared" si="93"/>
        <v>37.4</v>
      </c>
      <c r="AP378" s="3">
        <v>29677</v>
      </c>
      <c r="AQ378" s="2">
        <v>49.6</v>
      </c>
      <c r="AR378" s="2" t="str">
        <f t="shared" si="94"/>
        <v>+</v>
      </c>
      <c r="AS378" s="2">
        <v>50.2</v>
      </c>
      <c r="AT378" s="8" t="str">
        <f t="shared" si="95"/>
        <v>-</v>
      </c>
      <c r="AU378" s="2">
        <v>52.8</v>
      </c>
      <c r="AV378" s="8" t="str">
        <f t="shared" si="96"/>
        <v>+</v>
      </c>
      <c r="AW378" s="2">
        <v>48.1</v>
      </c>
      <c r="AX378" s="8" t="str">
        <f t="shared" si="97"/>
        <v>+</v>
      </c>
      <c r="AY378" s="2">
        <v>48.7</v>
      </c>
      <c r="AZ378" s="8" t="str">
        <f t="shared" si="98"/>
        <v>+</v>
      </c>
      <c r="BA378" s="2">
        <v>44.7</v>
      </c>
      <c r="BB378" s="8" t="str">
        <f t="shared" si="99"/>
        <v>+</v>
      </c>
      <c r="BC378" s="2"/>
      <c r="BD378" s="8" t="str">
        <f t="shared" si="100"/>
        <v>+</v>
      </c>
      <c r="BE378" s="2">
        <v>72.599999999999994</v>
      </c>
      <c r="BF378" s="8" t="str">
        <f t="shared" si="91"/>
        <v>+</v>
      </c>
      <c r="BG378" s="2"/>
      <c r="BH378" s="8" t="str">
        <f t="shared" si="101"/>
        <v>+</v>
      </c>
      <c r="BI378" s="2"/>
      <c r="BJ378" s="8" t="str">
        <f t="shared" si="102"/>
        <v>+</v>
      </c>
      <c r="BK378" s="2"/>
      <c r="BL378" s="8" t="str">
        <f t="shared" si="103"/>
        <v>+</v>
      </c>
    </row>
    <row r="379" spans="1:64">
      <c r="A379" s="1">
        <v>29738</v>
      </c>
      <c r="B379">
        <v>53.5</v>
      </c>
      <c r="C379">
        <v>55.7</v>
      </c>
      <c r="D379">
        <v>48.3</v>
      </c>
      <c r="E379">
        <v>59</v>
      </c>
      <c r="F379">
        <v>50.2</v>
      </c>
      <c r="G379">
        <v>48.7</v>
      </c>
      <c r="I379">
        <v>66.2</v>
      </c>
      <c r="W379" s="1">
        <v>29738</v>
      </c>
      <c r="X379">
        <v>131.21000699999999</v>
      </c>
      <c r="Y379" s="4">
        <f t="shared" si="90"/>
        <v>-1.0407942089386767E-2</v>
      </c>
      <c r="Z379" s="4">
        <f t="shared" si="92"/>
        <v>0.14854700014963226</v>
      </c>
      <c r="AA379">
        <v>53.5</v>
      </c>
      <c r="AB379">
        <f t="shared" si="93"/>
        <v>29.4</v>
      </c>
      <c r="AP379" s="3">
        <v>29707</v>
      </c>
      <c r="AQ379" s="2">
        <v>51.6</v>
      </c>
      <c r="AR379" s="2" t="str">
        <f t="shared" si="94"/>
        <v>+</v>
      </c>
      <c r="AS379" s="2">
        <v>53.1</v>
      </c>
      <c r="AT379" s="8" t="str">
        <f t="shared" si="95"/>
        <v>+</v>
      </c>
      <c r="AU379" s="2">
        <v>55</v>
      </c>
      <c r="AV379" s="8" t="str">
        <f t="shared" si="96"/>
        <v>+</v>
      </c>
      <c r="AW379" s="2">
        <v>49.2</v>
      </c>
      <c r="AX379" s="8" t="str">
        <f t="shared" si="97"/>
        <v>+</v>
      </c>
      <c r="AY379" s="2">
        <v>51.2</v>
      </c>
      <c r="AZ379" s="8" t="str">
        <f t="shared" si="98"/>
        <v>+</v>
      </c>
      <c r="BA379" s="2">
        <v>44.4</v>
      </c>
      <c r="BB379" s="8" t="str">
        <f t="shared" si="99"/>
        <v>-</v>
      </c>
      <c r="BC379" s="2"/>
      <c r="BD379" s="8" t="str">
        <f t="shared" si="100"/>
        <v>+</v>
      </c>
      <c r="BE379" s="2">
        <v>70.2</v>
      </c>
      <c r="BF379" s="8" t="str">
        <f t="shared" si="91"/>
        <v>-</v>
      </c>
      <c r="BG379" s="2"/>
      <c r="BH379" s="8" t="str">
        <f t="shared" si="101"/>
        <v>+</v>
      </c>
      <c r="BI379" s="2"/>
      <c r="BJ379" s="8" t="str">
        <f t="shared" si="102"/>
        <v>+</v>
      </c>
      <c r="BK379" s="2"/>
      <c r="BL379" s="8" t="str">
        <f t="shared" si="103"/>
        <v>+</v>
      </c>
    </row>
    <row r="380" spans="1:64">
      <c r="A380" s="1">
        <v>29768</v>
      </c>
      <c r="B380">
        <v>50.7</v>
      </c>
      <c r="C380">
        <v>51</v>
      </c>
      <c r="D380">
        <v>48.8</v>
      </c>
      <c r="E380">
        <v>53.9</v>
      </c>
      <c r="F380">
        <v>47.9</v>
      </c>
      <c r="G380">
        <v>49.4</v>
      </c>
      <c r="I380">
        <v>70.8</v>
      </c>
      <c r="W380" s="1">
        <v>29768</v>
      </c>
      <c r="X380">
        <v>130.91999799999999</v>
      </c>
      <c r="Y380" s="4">
        <f t="shared" si="90"/>
        <v>-2.2102658679074515E-3</v>
      </c>
      <c r="Z380" s="4">
        <f t="shared" si="92"/>
        <v>7.6025315624645484E-2</v>
      </c>
      <c r="AA380">
        <v>50.7</v>
      </c>
      <c r="AB380">
        <f t="shared" si="93"/>
        <v>30.3</v>
      </c>
      <c r="AP380" s="3">
        <v>29738</v>
      </c>
      <c r="AQ380" s="2">
        <v>53.5</v>
      </c>
      <c r="AR380" s="2" t="str">
        <f t="shared" si="94"/>
        <v>+</v>
      </c>
      <c r="AS380" s="2">
        <v>55.7</v>
      </c>
      <c r="AT380" s="8" t="str">
        <f t="shared" si="95"/>
        <v>+</v>
      </c>
      <c r="AU380" s="2">
        <v>59</v>
      </c>
      <c r="AV380" s="8" t="str">
        <f t="shared" si="96"/>
        <v>+</v>
      </c>
      <c r="AW380" s="2">
        <v>48.3</v>
      </c>
      <c r="AX380" s="8" t="str">
        <f t="shared" si="97"/>
        <v>-</v>
      </c>
      <c r="AY380" s="2">
        <v>50.2</v>
      </c>
      <c r="AZ380" s="8" t="str">
        <f t="shared" si="98"/>
        <v>-</v>
      </c>
      <c r="BA380" s="2">
        <v>48.7</v>
      </c>
      <c r="BB380" s="8" t="str">
        <f t="shared" si="99"/>
        <v>+</v>
      </c>
      <c r="BC380" s="2"/>
      <c r="BD380" s="8" t="str">
        <f t="shared" si="100"/>
        <v>+</v>
      </c>
      <c r="BE380" s="2">
        <v>66.2</v>
      </c>
      <c r="BF380" s="8" t="str">
        <f t="shared" si="91"/>
        <v>-</v>
      </c>
      <c r="BG380" s="2"/>
      <c r="BH380" s="8" t="str">
        <f t="shared" si="101"/>
        <v>+</v>
      </c>
      <c r="BI380" s="2"/>
      <c r="BJ380" s="8" t="str">
        <f t="shared" si="102"/>
        <v>+</v>
      </c>
      <c r="BK380" s="2"/>
      <c r="BL380" s="8" t="str">
        <f t="shared" si="103"/>
        <v>+</v>
      </c>
    </row>
    <row r="381" spans="1:64">
      <c r="A381" s="1">
        <v>29799</v>
      </c>
      <c r="B381">
        <v>46.7</v>
      </c>
      <c r="C381">
        <v>47.6</v>
      </c>
      <c r="D381">
        <v>46.6</v>
      </c>
      <c r="E381">
        <v>47.6</v>
      </c>
      <c r="F381">
        <v>44.9</v>
      </c>
      <c r="G381">
        <v>44.4</v>
      </c>
      <c r="I381">
        <v>66.900000000000006</v>
      </c>
      <c r="W381" s="1">
        <v>29799</v>
      </c>
      <c r="X381">
        <v>122.790001</v>
      </c>
      <c r="Y381" s="4">
        <f t="shared" si="90"/>
        <v>-6.2098969784585463E-2</v>
      </c>
      <c r="Z381" s="4">
        <f t="shared" si="92"/>
        <v>3.350253391491754E-3</v>
      </c>
      <c r="AA381">
        <v>46.7</v>
      </c>
      <c r="AB381">
        <f t="shared" si="93"/>
        <v>35</v>
      </c>
      <c r="AP381" s="3">
        <v>29768</v>
      </c>
      <c r="AQ381" s="2">
        <v>50.7</v>
      </c>
      <c r="AR381" s="2" t="str">
        <f t="shared" si="94"/>
        <v>-</v>
      </c>
      <c r="AS381" s="2">
        <v>51</v>
      </c>
      <c r="AT381" s="8" t="str">
        <f t="shared" si="95"/>
        <v>-</v>
      </c>
      <c r="AU381" s="2">
        <v>53.9</v>
      </c>
      <c r="AV381" s="8" t="str">
        <f t="shared" si="96"/>
        <v>-</v>
      </c>
      <c r="AW381" s="2">
        <v>48.8</v>
      </c>
      <c r="AX381" s="8" t="str">
        <f t="shared" si="97"/>
        <v>+</v>
      </c>
      <c r="AY381" s="2">
        <v>47.9</v>
      </c>
      <c r="AZ381" s="8" t="str">
        <f t="shared" si="98"/>
        <v>-</v>
      </c>
      <c r="BA381" s="2">
        <v>49.4</v>
      </c>
      <c r="BB381" s="8" t="str">
        <f t="shared" si="99"/>
        <v>+</v>
      </c>
      <c r="BC381" s="2"/>
      <c r="BD381" s="8" t="str">
        <f t="shared" si="100"/>
        <v>+</v>
      </c>
      <c r="BE381" s="2">
        <v>70.8</v>
      </c>
      <c r="BF381" s="8" t="str">
        <f t="shared" si="91"/>
        <v>+</v>
      </c>
      <c r="BG381" s="2"/>
      <c r="BH381" s="8" t="str">
        <f t="shared" si="101"/>
        <v>+</v>
      </c>
      <c r="BI381" s="2"/>
      <c r="BJ381" s="8" t="str">
        <f t="shared" si="102"/>
        <v>+</v>
      </c>
      <c r="BK381" s="2"/>
      <c r="BL381" s="8" t="str">
        <f t="shared" si="103"/>
        <v>+</v>
      </c>
    </row>
    <row r="382" spans="1:64">
      <c r="A382" s="1">
        <v>29830</v>
      </c>
      <c r="B382">
        <v>48.3</v>
      </c>
      <c r="C382">
        <v>47.2</v>
      </c>
      <c r="D382">
        <v>47.8</v>
      </c>
      <c r="E382">
        <v>49.5</v>
      </c>
      <c r="F382">
        <v>49.6</v>
      </c>
      <c r="G382">
        <v>47.3</v>
      </c>
      <c r="I382">
        <v>65.599999999999994</v>
      </c>
      <c r="W382" s="1">
        <v>29830</v>
      </c>
      <c r="X382">
        <v>116.18</v>
      </c>
      <c r="Y382" s="4">
        <f t="shared" si="90"/>
        <v>-5.3831752961708966E-2</v>
      </c>
      <c r="Z382" s="4">
        <f t="shared" si="92"/>
        <v>-7.396779112041911E-2</v>
      </c>
      <c r="AA382">
        <v>48.3</v>
      </c>
      <c r="AB382">
        <f t="shared" si="93"/>
        <v>45.5</v>
      </c>
      <c r="AP382" s="3">
        <v>29799</v>
      </c>
      <c r="AQ382" s="2">
        <v>46.7</v>
      </c>
      <c r="AR382" s="2" t="str">
        <f t="shared" si="94"/>
        <v>-</v>
      </c>
      <c r="AS382" s="2">
        <v>47.6</v>
      </c>
      <c r="AT382" s="8" t="str">
        <f t="shared" si="95"/>
        <v>-</v>
      </c>
      <c r="AU382" s="2">
        <v>47.6</v>
      </c>
      <c r="AV382" s="8" t="str">
        <f t="shared" si="96"/>
        <v>-</v>
      </c>
      <c r="AW382" s="2">
        <v>46.6</v>
      </c>
      <c r="AX382" s="8" t="str">
        <f t="shared" si="97"/>
        <v>-</v>
      </c>
      <c r="AY382" s="2">
        <v>44.9</v>
      </c>
      <c r="AZ382" s="8" t="str">
        <f t="shared" si="98"/>
        <v>-</v>
      </c>
      <c r="BA382" s="2">
        <v>44.4</v>
      </c>
      <c r="BB382" s="8" t="str">
        <f t="shared" si="99"/>
        <v>-</v>
      </c>
      <c r="BC382" s="2"/>
      <c r="BD382" s="8" t="str">
        <f t="shared" si="100"/>
        <v>+</v>
      </c>
      <c r="BE382" s="2">
        <v>66.900000000000006</v>
      </c>
      <c r="BF382" s="8" t="str">
        <f t="shared" si="91"/>
        <v>-</v>
      </c>
      <c r="BG382" s="2"/>
      <c r="BH382" s="8" t="str">
        <f t="shared" si="101"/>
        <v>+</v>
      </c>
      <c r="BI382" s="2"/>
      <c r="BJ382" s="8" t="str">
        <f t="shared" si="102"/>
        <v>+</v>
      </c>
      <c r="BK382" s="2"/>
      <c r="BL382" s="8" t="str">
        <f t="shared" si="103"/>
        <v>+</v>
      </c>
    </row>
    <row r="383" spans="1:64">
      <c r="A383" s="1">
        <v>29860</v>
      </c>
      <c r="B383">
        <v>42.5</v>
      </c>
      <c r="C383">
        <v>42.2</v>
      </c>
      <c r="D383">
        <v>39.200000000000003</v>
      </c>
      <c r="E383">
        <v>43.8</v>
      </c>
      <c r="F383">
        <v>45.9</v>
      </c>
      <c r="G383">
        <v>41.9</v>
      </c>
      <c r="I383">
        <v>65.8</v>
      </c>
      <c r="W383" s="1">
        <v>29860</v>
      </c>
      <c r="X383">
        <v>121.889999</v>
      </c>
      <c r="Y383" s="4">
        <f t="shared" si="90"/>
        <v>4.9147865381304834E-2</v>
      </c>
      <c r="Z383" s="4">
        <f t="shared" si="92"/>
        <v>-4.3775021230289264E-2</v>
      </c>
      <c r="AA383">
        <v>42.5</v>
      </c>
      <c r="AB383">
        <f t="shared" si="93"/>
        <v>50.1</v>
      </c>
      <c r="AP383" s="3">
        <v>29830</v>
      </c>
      <c r="AQ383" s="2">
        <v>48.3</v>
      </c>
      <c r="AR383" s="2" t="str">
        <f t="shared" si="94"/>
        <v>+</v>
      </c>
      <c r="AS383" s="2">
        <v>47.2</v>
      </c>
      <c r="AT383" s="8" t="str">
        <f t="shared" si="95"/>
        <v>-</v>
      </c>
      <c r="AU383" s="2">
        <v>49.5</v>
      </c>
      <c r="AV383" s="8" t="str">
        <f t="shared" si="96"/>
        <v>+</v>
      </c>
      <c r="AW383" s="2">
        <v>47.8</v>
      </c>
      <c r="AX383" s="8" t="str">
        <f t="shared" si="97"/>
        <v>+</v>
      </c>
      <c r="AY383" s="2">
        <v>49.6</v>
      </c>
      <c r="AZ383" s="8" t="str">
        <f t="shared" si="98"/>
        <v>+</v>
      </c>
      <c r="BA383" s="2">
        <v>47.3</v>
      </c>
      <c r="BB383" s="8" t="str">
        <f t="shared" si="99"/>
        <v>+</v>
      </c>
      <c r="BC383" s="2"/>
      <c r="BD383" s="8" t="str">
        <f t="shared" si="100"/>
        <v>+</v>
      </c>
      <c r="BE383" s="2">
        <v>65.599999999999994</v>
      </c>
      <c r="BF383" s="8" t="str">
        <f t="shared" si="91"/>
        <v>-</v>
      </c>
      <c r="BG383" s="2"/>
      <c r="BH383" s="8" t="str">
        <f t="shared" si="101"/>
        <v>+</v>
      </c>
      <c r="BI383" s="2"/>
      <c r="BJ383" s="8" t="str">
        <f t="shared" si="102"/>
        <v>+</v>
      </c>
      <c r="BK383" s="2"/>
      <c r="BL383" s="8" t="str">
        <f t="shared" si="103"/>
        <v>+</v>
      </c>
    </row>
    <row r="384" spans="1:64">
      <c r="A384" s="1">
        <v>29891</v>
      </c>
      <c r="B384">
        <v>40</v>
      </c>
      <c r="C384">
        <v>40.200000000000003</v>
      </c>
      <c r="D384">
        <v>37.9</v>
      </c>
      <c r="E384">
        <v>39.4</v>
      </c>
      <c r="F384">
        <v>37.700000000000003</v>
      </c>
      <c r="G384">
        <v>48.9</v>
      </c>
      <c r="I384">
        <v>57.5</v>
      </c>
      <c r="W384" s="1">
        <v>29891</v>
      </c>
      <c r="X384">
        <v>126.349998</v>
      </c>
      <c r="Y384" s="4">
        <f t="shared" si="90"/>
        <v>3.6590360460992344E-2</v>
      </c>
      <c r="Z384" s="4">
        <f t="shared" si="92"/>
        <v>-0.10083977794364424</v>
      </c>
      <c r="AA384">
        <v>40</v>
      </c>
      <c r="AB384">
        <f t="shared" si="93"/>
        <v>55.5</v>
      </c>
      <c r="AP384" s="3">
        <v>29860</v>
      </c>
      <c r="AQ384" s="2">
        <v>42.5</v>
      </c>
      <c r="AR384" s="2" t="str">
        <f t="shared" si="94"/>
        <v>-</v>
      </c>
      <c r="AS384" s="2">
        <v>42.2</v>
      </c>
      <c r="AT384" s="8" t="str">
        <f t="shared" si="95"/>
        <v>-</v>
      </c>
      <c r="AU384" s="2">
        <v>43.8</v>
      </c>
      <c r="AV384" s="8" t="str">
        <f t="shared" si="96"/>
        <v>-</v>
      </c>
      <c r="AW384" s="2">
        <v>39.200000000000003</v>
      </c>
      <c r="AX384" s="8" t="str">
        <f t="shared" si="97"/>
        <v>-</v>
      </c>
      <c r="AY384" s="2">
        <v>45.9</v>
      </c>
      <c r="AZ384" s="8" t="str">
        <f t="shared" si="98"/>
        <v>-</v>
      </c>
      <c r="BA384" s="2">
        <v>41.9</v>
      </c>
      <c r="BB384" s="8" t="str">
        <f t="shared" si="99"/>
        <v>-</v>
      </c>
      <c r="BC384" s="2"/>
      <c r="BD384" s="8" t="str">
        <f t="shared" si="100"/>
        <v>+</v>
      </c>
      <c r="BE384" s="2">
        <v>65.8</v>
      </c>
      <c r="BF384" s="8" t="str">
        <f t="shared" si="91"/>
        <v>+</v>
      </c>
      <c r="BG384" s="2"/>
      <c r="BH384" s="8" t="str">
        <f t="shared" si="101"/>
        <v>+</v>
      </c>
      <c r="BI384" s="2"/>
      <c r="BJ384" s="8" t="str">
        <f t="shared" si="102"/>
        <v>+</v>
      </c>
      <c r="BK384" s="2"/>
      <c r="BL384" s="8" t="str">
        <f t="shared" si="103"/>
        <v>+</v>
      </c>
    </row>
    <row r="385" spans="1:64">
      <c r="A385" s="1">
        <v>29921</v>
      </c>
      <c r="B385">
        <v>36.1</v>
      </c>
      <c r="C385">
        <v>32.799999999999997</v>
      </c>
      <c r="D385">
        <v>34.799999999999997</v>
      </c>
      <c r="E385">
        <v>36.1</v>
      </c>
      <c r="F385">
        <v>40.5</v>
      </c>
      <c r="G385">
        <v>42.3</v>
      </c>
      <c r="I385">
        <v>58.4</v>
      </c>
      <c r="W385" s="1">
        <v>29921</v>
      </c>
      <c r="X385">
        <v>122.550003</v>
      </c>
      <c r="Y385" s="4">
        <f t="shared" si="90"/>
        <v>-3.0075148873369952E-2</v>
      </c>
      <c r="Z385" s="4">
        <f t="shared" si="92"/>
        <v>-9.7304010654979761E-2</v>
      </c>
      <c r="AA385">
        <v>36.1</v>
      </c>
      <c r="AB385">
        <f t="shared" si="93"/>
        <v>58.2</v>
      </c>
      <c r="AP385" s="3">
        <v>29891</v>
      </c>
      <c r="AQ385" s="2">
        <v>40</v>
      </c>
      <c r="AR385" s="2" t="str">
        <f t="shared" si="94"/>
        <v>-</v>
      </c>
      <c r="AS385" s="2">
        <v>40.200000000000003</v>
      </c>
      <c r="AT385" s="8" t="str">
        <f t="shared" si="95"/>
        <v>-</v>
      </c>
      <c r="AU385" s="2">
        <v>39.4</v>
      </c>
      <c r="AV385" s="8" t="str">
        <f t="shared" si="96"/>
        <v>-</v>
      </c>
      <c r="AW385" s="2">
        <v>37.9</v>
      </c>
      <c r="AX385" s="8" t="str">
        <f t="shared" si="97"/>
        <v>-</v>
      </c>
      <c r="AY385" s="2">
        <v>37.700000000000003</v>
      </c>
      <c r="AZ385" s="8" t="str">
        <f t="shared" si="98"/>
        <v>-</v>
      </c>
      <c r="BA385" s="2">
        <v>48.9</v>
      </c>
      <c r="BB385" s="8" t="str">
        <f t="shared" si="99"/>
        <v>+</v>
      </c>
      <c r="BC385" s="2"/>
      <c r="BD385" s="8" t="str">
        <f t="shared" si="100"/>
        <v>+</v>
      </c>
      <c r="BE385" s="2">
        <v>57.5</v>
      </c>
      <c r="BF385" s="8" t="str">
        <f t="shared" si="91"/>
        <v>-</v>
      </c>
      <c r="BG385" s="2"/>
      <c r="BH385" s="8" t="str">
        <f t="shared" si="101"/>
        <v>+</v>
      </c>
      <c r="BI385" s="2"/>
      <c r="BJ385" s="8" t="str">
        <f t="shared" si="102"/>
        <v>+</v>
      </c>
      <c r="BK385" s="2"/>
      <c r="BL385" s="8" t="str">
        <f t="shared" si="103"/>
        <v>+</v>
      </c>
    </row>
    <row r="386" spans="1:64">
      <c r="A386" s="1">
        <v>29952</v>
      </c>
      <c r="B386">
        <v>37.799999999999997</v>
      </c>
      <c r="C386">
        <v>39.1</v>
      </c>
      <c r="D386">
        <v>34</v>
      </c>
      <c r="E386">
        <v>37.299999999999997</v>
      </c>
      <c r="F386">
        <v>41.2</v>
      </c>
      <c r="G386">
        <v>37.200000000000003</v>
      </c>
      <c r="I386">
        <v>54.7</v>
      </c>
      <c r="W386" s="1">
        <v>29952</v>
      </c>
      <c r="X386">
        <v>120.400002</v>
      </c>
      <c r="Y386" s="4">
        <f t="shared" si="90"/>
        <v>-1.7543867379587116E-2</v>
      </c>
      <c r="Z386" s="4">
        <f t="shared" si="92"/>
        <v>-7.0629106816770995E-2</v>
      </c>
      <c r="AA386">
        <v>37.799999999999997</v>
      </c>
      <c r="AB386">
        <f t="shared" si="93"/>
        <v>53</v>
      </c>
      <c r="AP386" s="3">
        <v>29921</v>
      </c>
      <c r="AQ386" s="2">
        <v>36.1</v>
      </c>
      <c r="AR386" s="2" t="str">
        <f t="shared" si="94"/>
        <v>-</v>
      </c>
      <c r="AS386" s="2">
        <v>32.799999999999997</v>
      </c>
      <c r="AT386" s="8" t="str">
        <f t="shared" si="95"/>
        <v>-</v>
      </c>
      <c r="AU386" s="2">
        <v>36.1</v>
      </c>
      <c r="AV386" s="8" t="str">
        <f t="shared" si="96"/>
        <v>-</v>
      </c>
      <c r="AW386" s="2">
        <v>34.799999999999997</v>
      </c>
      <c r="AX386" s="8" t="str">
        <f t="shared" si="97"/>
        <v>-</v>
      </c>
      <c r="AY386" s="2">
        <v>40.5</v>
      </c>
      <c r="AZ386" s="8" t="str">
        <f t="shared" si="98"/>
        <v>+</v>
      </c>
      <c r="BA386" s="2">
        <v>42.3</v>
      </c>
      <c r="BB386" s="8" t="str">
        <f t="shared" si="99"/>
        <v>-</v>
      </c>
      <c r="BC386" s="2"/>
      <c r="BD386" s="8" t="str">
        <f t="shared" si="100"/>
        <v>+</v>
      </c>
      <c r="BE386" s="2">
        <v>58.4</v>
      </c>
      <c r="BF386" s="8" t="str">
        <f t="shared" si="91"/>
        <v>+</v>
      </c>
      <c r="BG386" s="2"/>
      <c r="BH386" s="8" t="str">
        <f t="shared" si="101"/>
        <v>+</v>
      </c>
      <c r="BI386" s="2"/>
      <c r="BJ386" s="8" t="str">
        <f t="shared" si="102"/>
        <v>+</v>
      </c>
      <c r="BK386" s="2"/>
      <c r="BL386" s="8" t="str">
        <f t="shared" si="103"/>
        <v>+</v>
      </c>
    </row>
    <row r="387" spans="1:64">
      <c r="A387" s="1">
        <v>29983</v>
      </c>
      <c r="B387">
        <v>38.200000000000003</v>
      </c>
      <c r="C387">
        <v>39.9</v>
      </c>
      <c r="D387">
        <v>34.5</v>
      </c>
      <c r="E387">
        <v>39</v>
      </c>
      <c r="F387">
        <v>40.1</v>
      </c>
      <c r="G387">
        <v>35.799999999999997</v>
      </c>
      <c r="I387">
        <v>48.8</v>
      </c>
      <c r="W387" s="1">
        <v>29983</v>
      </c>
      <c r="X387">
        <v>113.110001</v>
      </c>
      <c r="Y387" s="4">
        <f t="shared" si="90"/>
        <v>-6.0548180057339231E-2</v>
      </c>
      <c r="Z387" s="4">
        <f t="shared" si="92"/>
        <v>-0.13834084289355247</v>
      </c>
      <c r="AA387">
        <v>38.200000000000003</v>
      </c>
      <c r="AB387">
        <f t="shared" si="93"/>
        <v>49.2</v>
      </c>
      <c r="AP387" s="3">
        <v>29952</v>
      </c>
      <c r="AQ387" s="2">
        <v>37.799999999999997</v>
      </c>
      <c r="AR387" s="2" t="str">
        <f t="shared" si="94"/>
        <v>+</v>
      </c>
      <c r="AS387" s="2">
        <v>39.1</v>
      </c>
      <c r="AT387" s="8" t="str">
        <f t="shared" si="95"/>
        <v>+</v>
      </c>
      <c r="AU387" s="2">
        <v>37.299999999999997</v>
      </c>
      <c r="AV387" s="8" t="str">
        <f t="shared" si="96"/>
        <v>+</v>
      </c>
      <c r="AW387" s="2">
        <v>34</v>
      </c>
      <c r="AX387" s="8" t="str">
        <f t="shared" si="97"/>
        <v>-</v>
      </c>
      <c r="AY387" s="2">
        <v>41.2</v>
      </c>
      <c r="AZ387" s="8" t="str">
        <f t="shared" si="98"/>
        <v>+</v>
      </c>
      <c r="BA387" s="2">
        <v>37.200000000000003</v>
      </c>
      <c r="BB387" s="8" t="str">
        <f t="shared" si="99"/>
        <v>-</v>
      </c>
      <c r="BC387" s="2"/>
      <c r="BD387" s="8" t="str">
        <f t="shared" si="100"/>
        <v>+</v>
      </c>
      <c r="BE387" s="2">
        <v>54.7</v>
      </c>
      <c r="BF387" s="8" t="str">
        <f t="shared" si="91"/>
        <v>-</v>
      </c>
      <c r="BG387" s="2"/>
      <c r="BH387" s="8" t="str">
        <f t="shared" si="101"/>
        <v>+</v>
      </c>
      <c r="BI387" s="2"/>
      <c r="BJ387" s="8" t="str">
        <f t="shared" si="102"/>
        <v>+</v>
      </c>
      <c r="BK387" s="2"/>
      <c r="BL387" s="8" t="str">
        <f t="shared" si="103"/>
        <v>+</v>
      </c>
    </row>
    <row r="388" spans="1:64">
      <c r="A388" s="1">
        <v>30011</v>
      </c>
      <c r="B388">
        <v>38.299999999999997</v>
      </c>
      <c r="C388">
        <v>38.6</v>
      </c>
      <c r="D388">
        <v>35.5</v>
      </c>
      <c r="E388">
        <v>40.1</v>
      </c>
      <c r="F388">
        <v>40.799999999999997</v>
      </c>
      <c r="G388">
        <v>34.700000000000003</v>
      </c>
      <c r="I388">
        <v>45.3</v>
      </c>
      <c r="W388" s="1">
        <v>30011</v>
      </c>
      <c r="X388">
        <v>111.959999</v>
      </c>
      <c r="Y388" s="4">
        <f t="shared" ref="Y388:Y451" si="104">(X388-X387)/X387</f>
        <v>-1.0167111571327814E-2</v>
      </c>
      <c r="Z388" s="4">
        <f t="shared" si="92"/>
        <v>-0.17676471323529414</v>
      </c>
      <c r="AA388">
        <v>38.299999999999997</v>
      </c>
      <c r="AB388">
        <f t="shared" si="93"/>
        <v>48.8</v>
      </c>
      <c r="AP388" s="3">
        <v>29983</v>
      </c>
      <c r="AQ388" s="2">
        <v>38.200000000000003</v>
      </c>
      <c r="AR388" s="2" t="str">
        <f t="shared" si="94"/>
        <v>+</v>
      </c>
      <c r="AS388" s="2">
        <v>39.9</v>
      </c>
      <c r="AT388" s="8" t="str">
        <f t="shared" si="95"/>
        <v>+</v>
      </c>
      <c r="AU388" s="2">
        <v>39</v>
      </c>
      <c r="AV388" s="8" t="str">
        <f t="shared" si="96"/>
        <v>+</v>
      </c>
      <c r="AW388" s="2">
        <v>34.5</v>
      </c>
      <c r="AX388" s="8" t="str">
        <f t="shared" si="97"/>
        <v>+</v>
      </c>
      <c r="AY388" s="2">
        <v>40.1</v>
      </c>
      <c r="AZ388" s="8" t="str">
        <f t="shared" si="98"/>
        <v>-</v>
      </c>
      <c r="BA388" s="2">
        <v>35.799999999999997</v>
      </c>
      <c r="BB388" s="8" t="str">
        <f t="shared" si="99"/>
        <v>-</v>
      </c>
      <c r="BC388" s="2"/>
      <c r="BD388" s="8" t="str">
        <f t="shared" si="100"/>
        <v>+</v>
      </c>
      <c r="BE388" s="2">
        <v>48.8</v>
      </c>
      <c r="BF388" s="8" t="str">
        <f t="shared" si="91"/>
        <v>-</v>
      </c>
      <c r="BG388" s="2"/>
      <c r="BH388" s="8" t="str">
        <f t="shared" si="101"/>
        <v>+</v>
      </c>
      <c r="BI388" s="2"/>
      <c r="BJ388" s="8" t="str">
        <f t="shared" si="102"/>
        <v>+</v>
      </c>
      <c r="BK388" s="2"/>
      <c r="BL388" s="8" t="str">
        <f t="shared" si="103"/>
        <v>+</v>
      </c>
    </row>
    <row r="389" spans="1:64">
      <c r="A389" s="1">
        <v>30042</v>
      </c>
      <c r="B389">
        <v>36.799999999999997</v>
      </c>
      <c r="C389">
        <v>40.4</v>
      </c>
      <c r="D389">
        <v>33.1</v>
      </c>
      <c r="E389">
        <v>38</v>
      </c>
      <c r="F389">
        <v>36.4</v>
      </c>
      <c r="G389">
        <v>31.2</v>
      </c>
      <c r="I389">
        <v>35.4</v>
      </c>
      <c r="W389" s="1">
        <v>30042</v>
      </c>
      <c r="X389">
        <v>116.44000200000001</v>
      </c>
      <c r="Y389" s="4">
        <f t="shared" si="104"/>
        <v>4.0014317970831804E-2</v>
      </c>
      <c r="Z389" s="4">
        <f t="shared" si="92"/>
        <v>-0.12325876249166121</v>
      </c>
      <c r="AA389">
        <v>36.799999999999997</v>
      </c>
      <c r="AB389">
        <f t="shared" si="93"/>
        <v>49.6</v>
      </c>
      <c r="AP389" s="3">
        <v>30011</v>
      </c>
      <c r="AQ389" s="2">
        <v>38.299999999999997</v>
      </c>
      <c r="AR389" s="2" t="str">
        <f t="shared" si="94"/>
        <v>+</v>
      </c>
      <c r="AS389" s="2">
        <v>38.6</v>
      </c>
      <c r="AT389" s="8" t="str">
        <f t="shared" si="95"/>
        <v>-</v>
      </c>
      <c r="AU389" s="2">
        <v>40.1</v>
      </c>
      <c r="AV389" s="8" t="str">
        <f t="shared" si="96"/>
        <v>+</v>
      </c>
      <c r="AW389" s="2">
        <v>35.5</v>
      </c>
      <c r="AX389" s="8" t="str">
        <f t="shared" si="97"/>
        <v>+</v>
      </c>
      <c r="AY389" s="2">
        <v>40.799999999999997</v>
      </c>
      <c r="AZ389" s="8" t="str">
        <f t="shared" si="98"/>
        <v>+</v>
      </c>
      <c r="BA389" s="2">
        <v>34.700000000000003</v>
      </c>
      <c r="BB389" s="8" t="str">
        <f t="shared" si="99"/>
        <v>-</v>
      </c>
      <c r="BC389" s="2"/>
      <c r="BD389" s="8" t="str">
        <f t="shared" si="100"/>
        <v>+</v>
      </c>
      <c r="BE389" s="2">
        <v>45.3</v>
      </c>
      <c r="BF389" s="8" t="str">
        <f t="shared" si="91"/>
        <v>-</v>
      </c>
      <c r="BG389" s="2"/>
      <c r="BH389" s="8" t="str">
        <f t="shared" si="101"/>
        <v>+</v>
      </c>
      <c r="BI389" s="2"/>
      <c r="BJ389" s="8" t="str">
        <f t="shared" si="102"/>
        <v>+</v>
      </c>
      <c r="BK389" s="2"/>
      <c r="BL389" s="8" t="str">
        <f t="shared" si="103"/>
        <v>+</v>
      </c>
    </row>
    <row r="390" spans="1:64">
      <c r="A390" s="1">
        <v>30072</v>
      </c>
      <c r="B390">
        <v>37.799999999999997</v>
      </c>
      <c r="C390">
        <v>40.9</v>
      </c>
      <c r="D390">
        <v>31.7</v>
      </c>
      <c r="E390">
        <v>41.3</v>
      </c>
      <c r="F390">
        <v>38.200000000000003</v>
      </c>
      <c r="G390">
        <v>31.5</v>
      </c>
      <c r="I390">
        <v>35.700000000000003</v>
      </c>
      <c r="W390" s="1">
        <v>30072</v>
      </c>
      <c r="X390">
        <v>111.879997</v>
      </c>
      <c r="Y390" s="4">
        <f t="shared" si="104"/>
        <v>-3.9161842336622454E-2</v>
      </c>
      <c r="Z390" s="4">
        <f t="shared" si="92"/>
        <v>-0.15619578870792039</v>
      </c>
      <c r="AA390">
        <v>37.799999999999997</v>
      </c>
      <c r="AB390">
        <f t="shared" si="93"/>
        <v>51.6</v>
      </c>
      <c r="AP390" s="3">
        <v>30042</v>
      </c>
      <c r="AQ390" s="2">
        <v>36.799999999999997</v>
      </c>
      <c r="AR390" s="2" t="str">
        <f t="shared" si="94"/>
        <v>-</v>
      </c>
      <c r="AS390" s="2">
        <v>40.4</v>
      </c>
      <c r="AT390" s="8" t="str">
        <f t="shared" si="95"/>
        <v>+</v>
      </c>
      <c r="AU390" s="2">
        <v>38</v>
      </c>
      <c r="AV390" s="8" t="str">
        <f t="shared" si="96"/>
        <v>-</v>
      </c>
      <c r="AW390" s="2">
        <v>33.1</v>
      </c>
      <c r="AX390" s="8" t="str">
        <f t="shared" si="97"/>
        <v>-</v>
      </c>
      <c r="AY390" s="2">
        <v>36.4</v>
      </c>
      <c r="AZ390" s="8" t="str">
        <f t="shared" si="98"/>
        <v>-</v>
      </c>
      <c r="BA390" s="2">
        <v>31.2</v>
      </c>
      <c r="BB390" s="8" t="str">
        <f t="shared" si="99"/>
        <v>-</v>
      </c>
      <c r="BC390" s="2"/>
      <c r="BD390" s="8" t="str">
        <f t="shared" si="100"/>
        <v>+</v>
      </c>
      <c r="BE390" s="2">
        <v>35.4</v>
      </c>
      <c r="BF390" s="8" t="str">
        <f t="shared" ref="BF390:BF453" si="105">IF(OR(BE390&gt;BE389,BE390=BE389),"+","-")</f>
        <v>-</v>
      </c>
      <c r="BG390" s="2"/>
      <c r="BH390" s="8" t="str">
        <f t="shared" si="101"/>
        <v>+</v>
      </c>
      <c r="BI390" s="2"/>
      <c r="BJ390" s="8" t="str">
        <f t="shared" si="102"/>
        <v>+</v>
      </c>
      <c r="BK390" s="2"/>
      <c r="BL390" s="8" t="str">
        <f t="shared" si="103"/>
        <v>+</v>
      </c>
    </row>
    <row r="391" spans="1:64">
      <c r="A391" s="1">
        <v>30103</v>
      </c>
      <c r="B391">
        <v>35.5</v>
      </c>
      <c r="C391">
        <v>38.1</v>
      </c>
      <c r="D391">
        <v>27.8</v>
      </c>
      <c r="E391">
        <v>37.200000000000003</v>
      </c>
      <c r="F391">
        <v>42.1</v>
      </c>
      <c r="G391">
        <v>28.8</v>
      </c>
      <c r="I391">
        <v>41.4</v>
      </c>
      <c r="W391" s="1">
        <v>30103</v>
      </c>
      <c r="X391">
        <v>109.610001</v>
      </c>
      <c r="Y391" s="4">
        <f t="shared" si="104"/>
        <v>-2.0289560787170972E-2</v>
      </c>
      <c r="Z391" s="4">
        <f t="shared" si="92"/>
        <v>-0.16462163590921838</v>
      </c>
      <c r="AA391">
        <v>35.5</v>
      </c>
      <c r="AB391">
        <f t="shared" si="93"/>
        <v>53.5</v>
      </c>
      <c r="AP391" s="3">
        <v>30072</v>
      </c>
      <c r="AQ391" s="2">
        <v>37.799999999999997</v>
      </c>
      <c r="AR391" s="2" t="str">
        <f t="shared" si="94"/>
        <v>+</v>
      </c>
      <c r="AS391" s="2">
        <v>40.9</v>
      </c>
      <c r="AT391" s="8" t="str">
        <f t="shared" si="95"/>
        <v>+</v>
      </c>
      <c r="AU391" s="2">
        <v>41.3</v>
      </c>
      <c r="AV391" s="8" t="str">
        <f t="shared" si="96"/>
        <v>+</v>
      </c>
      <c r="AW391" s="2">
        <v>31.7</v>
      </c>
      <c r="AX391" s="8" t="str">
        <f t="shared" si="97"/>
        <v>-</v>
      </c>
      <c r="AY391" s="2">
        <v>38.200000000000003</v>
      </c>
      <c r="AZ391" s="8" t="str">
        <f t="shared" si="98"/>
        <v>+</v>
      </c>
      <c r="BA391" s="2">
        <v>31.5</v>
      </c>
      <c r="BB391" s="8" t="str">
        <f t="shared" si="99"/>
        <v>+</v>
      </c>
      <c r="BC391" s="2"/>
      <c r="BD391" s="8" t="str">
        <f t="shared" si="100"/>
        <v>+</v>
      </c>
      <c r="BE391" s="2">
        <v>35.700000000000003</v>
      </c>
      <c r="BF391" s="8" t="str">
        <f t="shared" si="105"/>
        <v>+</v>
      </c>
      <c r="BG391" s="2"/>
      <c r="BH391" s="8" t="str">
        <f t="shared" si="101"/>
        <v>+</v>
      </c>
      <c r="BI391" s="2"/>
      <c r="BJ391" s="8" t="str">
        <f t="shared" si="102"/>
        <v>+</v>
      </c>
      <c r="BK391" s="2"/>
      <c r="BL391" s="8" t="str">
        <f t="shared" si="103"/>
        <v>+</v>
      </c>
    </row>
    <row r="392" spans="1:64">
      <c r="A392" s="1">
        <v>30133</v>
      </c>
      <c r="B392">
        <v>38.299999999999997</v>
      </c>
      <c r="C392">
        <v>42</v>
      </c>
      <c r="D392">
        <v>30.8</v>
      </c>
      <c r="E392">
        <v>39.4</v>
      </c>
      <c r="F392">
        <v>45.2</v>
      </c>
      <c r="G392">
        <v>29.4</v>
      </c>
      <c r="I392">
        <v>39.6</v>
      </c>
      <c r="W392" s="1">
        <v>30133</v>
      </c>
      <c r="X392">
        <v>107.089996</v>
      </c>
      <c r="Y392" s="4">
        <f t="shared" si="104"/>
        <v>-2.2990648453693543E-2</v>
      </c>
      <c r="Z392" s="4">
        <f t="shared" si="92"/>
        <v>-0.18201957198318927</v>
      </c>
      <c r="AA392">
        <v>38.299999999999997</v>
      </c>
      <c r="AB392">
        <f t="shared" si="93"/>
        <v>50.7</v>
      </c>
      <c r="AP392" s="3">
        <v>30103</v>
      </c>
      <c r="AQ392" s="2">
        <v>35.5</v>
      </c>
      <c r="AR392" s="2" t="str">
        <f t="shared" si="94"/>
        <v>-</v>
      </c>
      <c r="AS392" s="2">
        <v>38.1</v>
      </c>
      <c r="AT392" s="8" t="str">
        <f t="shared" si="95"/>
        <v>-</v>
      </c>
      <c r="AU392" s="2">
        <v>37.200000000000003</v>
      </c>
      <c r="AV392" s="8" t="str">
        <f t="shared" si="96"/>
        <v>-</v>
      </c>
      <c r="AW392" s="2">
        <v>27.8</v>
      </c>
      <c r="AX392" s="8" t="str">
        <f t="shared" si="97"/>
        <v>-</v>
      </c>
      <c r="AY392" s="2">
        <v>42.1</v>
      </c>
      <c r="AZ392" s="8" t="str">
        <f t="shared" si="98"/>
        <v>+</v>
      </c>
      <c r="BA392" s="2">
        <v>28.8</v>
      </c>
      <c r="BB392" s="8" t="str">
        <f t="shared" si="99"/>
        <v>-</v>
      </c>
      <c r="BC392" s="2"/>
      <c r="BD392" s="8" t="str">
        <f t="shared" si="100"/>
        <v>+</v>
      </c>
      <c r="BE392" s="2">
        <v>41.4</v>
      </c>
      <c r="BF392" s="8" t="str">
        <f t="shared" si="105"/>
        <v>+</v>
      </c>
      <c r="BG392" s="2"/>
      <c r="BH392" s="8" t="str">
        <f t="shared" si="101"/>
        <v>+</v>
      </c>
      <c r="BI392" s="2"/>
      <c r="BJ392" s="8" t="str">
        <f t="shared" si="102"/>
        <v>+</v>
      </c>
      <c r="BK392" s="2"/>
      <c r="BL392" s="8" t="str">
        <f t="shared" si="103"/>
        <v>+</v>
      </c>
    </row>
    <row r="393" spans="1:64">
      <c r="A393" s="1">
        <v>30164</v>
      </c>
      <c r="B393">
        <v>38.4</v>
      </c>
      <c r="C393">
        <v>40.700000000000003</v>
      </c>
      <c r="D393">
        <v>30.5</v>
      </c>
      <c r="E393">
        <v>41.1</v>
      </c>
      <c r="F393">
        <v>45.8</v>
      </c>
      <c r="G393">
        <v>29.5</v>
      </c>
      <c r="I393">
        <v>40.799999999999997</v>
      </c>
      <c r="W393" s="1">
        <v>30164</v>
      </c>
      <c r="X393">
        <v>119.510002</v>
      </c>
      <c r="Y393" s="4">
        <f t="shared" si="104"/>
        <v>0.11597727578587266</v>
      </c>
      <c r="Z393" s="4">
        <f t="shared" si="92"/>
        <v>-2.6712264624869607E-2</v>
      </c>
      <c r="AA393">
        <v>38.4</v>
      </c>
      <c r="AB393">
        <f t="shared" si="93"/>
        <v>46.7</v>
      </c>
      <c r="AP393" s="3">
        <v>30133</v>
      </c>
      <c r="AQ393" s="2">
        <v>38.299999999999997</v>
      </c>
      <c r="AR393" s="2" t="str">
        <f t="shared" si="94"/>
        <v>+</v>
      </c>
      <c r="AS393" s="2">
        <v>42</v>
      </c>
      <c r="AT393" s="8" t="str">
        <f t="shared" si="95"/>
        <v>+</v>
      </c>
      <c r="AU393" s="2">
        <v>39.4</v>
      </c>
      <c r="AV393" s="8" t="str">
        <f t="shared" si="96"/>
        <v>+</v>
      </c>
      <c r="AW393" s="2">
        <v>30.8</v>
      </c>
      <c r="AX393" s="8" t="str">
        <f t="shared" si="97"/>
        <v>+</v>
      </c>
      <c r="AY393" s="2">
        <v>45.2</v>
      </c>
      <c r="AZ393" s="8" t="str">
        <f t="shared" si="98"/>
        <v>+</v>
      </c>
      <c r="BA393" s="2">
        <v>29.4</v>
      </c>
      <c r="BB393" s="8" t="str">
        <f t="shared" si="99"/>
        <v>+</v>
      </c>
      <c r="BC393" s="2"/>
      <c r="BD393" s="8" t="str">
        <f t="shared" si="100"/>
        <v>+</v>
      </c>
      <c r="BE393" s="2">
        <v>39.6</v>
      </c>
      <c r="BF393" s="8" t="str">
        <f t="shared" si="105"/>
        <v>-</v>
      </c>
      <c r="BG393" s="2"/>
      <c r="BH393" s="8" t="str">
        <f t="shared" si="101"/>
        <v>+</v>
      </c>
      <c r="BI393" s="2"/>
      <c r="BJ393" s="8" t="str">
        <f t="shared" si="102"/>
        <v>+</v>
      </c>
      <c r="BK393" s="2"/>
      <c r="BL393" s="8" t="str">
        <f t="shared" si="103"/>
        <v>+</v>
      </c>
    </row>
    <row r="394" spans="1:64">
      <c r="A394" s="1">
        <v>30195</v>
      </c>
      <c r="B394">
        <v>38.299999999999997</v>
      </c>
      <c r="C394">
        <v>40.1</v>
      </c>
      <c r="D394">
        <v>31.8</v>
      </c>
      <c r="E394">
        <v>39.9</v>
      </c>
      <c r="F394">
        <v>45.3</v>
      </c>
      <c r="G394">
        <v>31.6</v>
      </c>
      <c r="I394">
        <v>39.200000000000003</v>
      </c>
      <c r="W394" s="1">
        <v>30195</v>
      </c>
      <c r="X394">
        <v>120.41999800000001</v>
      </c>
      <c r="Y394" s="4">
        <f t="shared" si="104"/>
        <v>7.6143919736526046E-3</v>
      </c>
      <c r="Z394" s="4">
        <f t="shared" si="92"/>
        <v>3.6495076605267684E-2</v>
      </c>
      <c r="AA394">
        <v>38.299999999999997</v>
      </c>
      <c r="AB394">
        <f t="shared" si="93"/>
        <v>48.3</v>
      </c>
      <c r="AP394" s="3">
        <v>30164</v>
      </c>
      <c r="AQ394" s="2">
        <v>38.4</v>
      </c>
      <c r="AR394" s="2" t="str">
        <f t="shared" si="94"/>
        <v>+</v>
      </c>
      <c r="AS394" s="2">
        <v>40.700000000000003</v>
      </c>
      <c r="AT394" s="8" t="str">
        <f t="shared" si="95"/>
        <v>-</v>
      </c>
      <c r="AU394" s="2">
        <v>41.1</v>
      </c>
      <c r="AV394" s="8" t="str">
        <f t="shared" si="96"/>
        <v>+</v>
      </c>
      <c r="AW394" s="2">
        <v>30.5</v>
      </c>
      <c r="AX394" s="8" t="str">
        <f t="shared" si="97"/>
        <v>-</v>
      </c>
      <c r="AY394" s="2">
        <v>45.8</v>
      </c>
      <c r="AZ394" s="8" t="str">
        <f t="shared" si="98"/>
        <v>+</v>
      </c>
      <c r="BA394" s="2">
        <v>29.5</v>
      </c>
      <c r="BB394" s="8" t="str">
        <f t="shared" si="99"/>
        <v>+</v>
      </c>
      <c r="BC394" s="2"/>
      <c r="BD394" s="8" t="str">
        <f t="shared" si="100"/>
        <v>+</v>
      </c>
      <c r="BE394" s="2">
        <v>40.799999999999997</v>
      </c>
      <c r="BF394" s="8" t="str">
        <f t="shared" si="105"/>
        <v>+</v>
      </c>
      <c r="BG394" s="2"/>
      <c r="BH394" s="8" t="str">
        <f t="shared" si="101"/>
        <v>+</v>
      </c>
      <c r="BI394" s="2"/>
      <c r="BJ394" s="8" t="str">
        <f t="shared" si="102"/>
        <v>+</v>
      </c>
      <c r="BK394" s="2"/>
      <c r="BL394" s="8" t="str">
        <f t="shared" si="103"/>
        <v>+</v>
      </c>
    </row>
    <row r="395" spans="1:64">
      <c r="A395" s="1">
        <v>30225</v>
      </c>
      <c r="B395">
        <v>38.799999999999997</v>
      </c>
      <c r="C395">
        <v>40.4</v>
      </c>
      <c r="D395">
        <v>30.6</v>
      </c>
      <c r="E395">
        <v>41.3</v>
      </c>
      <c r="F395">
        <v>45.9</v>
      </c>
      <c r="G395">
        <v>33.6</v>
      </c>
      <c r="I395">
        <v>41.2</v>
      </c>
      <c r="W395" s="1">
        <v>30225</v>
      </c>
      <c r="X395">
        <v>133.720001</v>
      </c>
      <c r="Y395" s="4">
        <f t="shared" si="104"/>
        <v>0.11044679638675953</v>
      </c>
      <c r="Z395" s="4">
        <f t="shared" si="92"/>
        <v>9.7054738674663479E-2</v>
      </c>
      <c r="AA395">
        <v>38.799999999999997</v>
      </c>
      <c r="AB395">
        <f t="shared" si="93"/>
        <v>42.5</v>
      </c>
      <c r="AP395" s="3">
        <v>30195</v>
      </c>
      <c r="AQ395" s="2">
        <v>38.299999999999997</v>
      </c>
      <c r="AR395" s="2" t="str">
        <f t="shared" si="94"/>
        <v>-</v>
      </c>
      <c r="AS395" s="2">
        <v>40.1</v>
      </c>
      <c r="AT395" s="8" t="str">
        <f t="shared" si="95"/>
        <v>-</v>
      </c>
      <c r="AU395" s="2">
        <v>39.9</v>
      </c>
      <c r="AV395" s="8" t="str">
        <f t="shared" si="96"/>
        <v>-</v>
      </c>
      <c r="AW395" s="2">
        <v>31.8</v>
      </c>
      <c r="AX395" s="8" t="str">
        <f t="shared" si="97"/>
        <v>+</v>
      </c>
      <c r="AY395" s="2">
        <v>45.3</v>
      </c>
      <c r="AZ395" s="8" t="str">
        <f t="shared" si="98"/>
        <v>-</v>
      </c>
      <c r="BA395" s="2">
        <v>31.6</v>
      </c>
      <c r="BB395" s="8" t="str">
        <f t="shared" si="99"/>
        <v>+</v>
      </c>
      <c r="BC395" s="2"/>
      <c r="BD395" s="8" t="str">
        <f t="shared" si="100"/>
        <v>+</v>
      </c>
      <c r="BE395" s="2">
        <v>39.200000000000003</v>
      </c>
      <c r="BF395" s="8" t="str">
        <f t="shared" si="105"/>
        <v>-</v>
      </c>
      <c r="BG395" s="2"/>
      <c r="BH395" s="8" t="str">
        <f t="shared" si="101"/>
        <v>+</v>
      </c>
      <c r="BI395" s="2"/>
      <c r="BJ395" s="8" t="str">
        <f t="shared" si="102"/>
        <v>+</v>
      </c>
      <c r="BK395" s="2"/>
      <c r="BL395" s="8" t="str">
        <f t="shared" si="103"/>
        <v>+</v>
      </c>
    </row>
    <row r="396" spans="1:64">
      <c r="A396" s="1">
        <v>30256</v>
      </c>
      <c r="B396">
        <v>39.4</v>
      </c>
      <c r="C396">
        <v>41.9</v>
      </c>
      <c r="D396">
        <v>30.6</v>
      </c>
      <c r="E396">
        <v>42</v>
      </c>
      <c r="F396">
        <v>46.5</v>
      </c>
      <c r="G396">
        <v>32.5</v>
      </c>
      <c r="I396">
        <v>41</v>
      </c>
      <c r="W396" s="1">
        <v>30256</v>
      </c>
      <c r="X396">
        <v>138.529999</v>
      </c>
      <c r="Y396" s="4">
        <f t="shared" si="104"/>
        <v>3.5970669787835308E-2</v>
      </c>
      <c r="Z396" s="4">
        <f t="shared" si="92"/>
        <v>9.6398901407184864E-2</v>
      </c>
      <c r="AA396">
        <v>39.4</v>
      </c>
      <c r="AB396">
        <f t="shared" si="93"/>
        <v>40</v>
      </c>
      <c r="AP396" s="3">
        <v>30225</v>
      </c>
      <c r="AQ396" s="2">
        <v>38.799999999999997</v>
      </c>
      <c r="AR396" s="2" t="str">
        <f t="shared" si="94"/>
        <v>+</v>
      </c>
      <c r="AS396" s="2">
        <v>40.4</v>
      </c>
      <c r="AT396" s="8" t="str">
        <f t="shared" si="95"/>
        <v>+</v>
      </c>
      <c r="AU396" s="2">
        <v>41.3</v>
      </c>
      <c r="AV396" s="8" t="str">
        <f t="shared" si="96"/>
        <v>+</v>
      </c>
      <c r="AW396" s="2">
        <v>30.6</v>
      </c>
      <c r="AX396" s="8" t="str">
        <f t="shared" si="97"/>
        <v>-</v>
      </c>
      <c r="AY396" s="2">
        <v>45.9</v>
      </c>
      <c r="AZ396" s="8" t="str">
        <f t="shared" si="98"/>
        <v>+</v>
      </c>
      <c r="BA396" s="2">
        <v>33.6</v>
      </c>
      <c r="BB396" s="8" t="str">
        <f t="shared" si="99"/>
        <v>+</v>
      </c>
      <c r="BC396" s="2"/>
      <c r="BD396" s="8" t="str">
        <f t="shared" si="100"/>
        <v>+</v>
      </c>
      <c r="BE396" s="2">
        <v>41.2</v>
      </c>
      <c r="BF396" s="8" t="str">
        <f t="shared" si="105"/>
        <v>+</v>
      </c>
      <c r="BG396" s="2"/>
      <c r="BH396" s="8" t="str">
        <f t="shared" si="101"/>
        <v>+</v>
      </c>
      <c r="BI396" s="2"/>
      <c r="BJ396" s="8" t="str">
        <f t="shared" si="102"/>
        <v>+</v>
      </c>
      <c r="BK396" s="2"/>
      <c r="BL396" s="8" t="str">
        <f t="shared" si="103"/>
        <v>+</v>
      </c>
    </row>
    <row r="397" spans="1:64">
      <c r="A397" s="1">
        <v>30286</v>
      </c>
      <c r="B397">
        <v>39.200000000000003</v>
      </c>
      <c r="C397">
        <v>41.5</v>
      </c>
      <c r="D397">
        <v>28.2</v>
      </c>
      <c r="E397">
        <v>42.6</v>
      </c>
      <c r="F397">
        <v>46.9</v>
      </c>
      <c r="G397">
        <v>33.6</v>
      </c>
      <c r="I397">
        <v>37.299999999999997</v>
      </c>
      <c r="W397" s="1">
        <v>30286</v>
      </c>
      <c r="X397">
        <v>140.63999899999999</v>
      </c>
      <c r="Y397" s="4">
        <f t="shared" si="104"/>
        <v>1.5231357938578959E-2</v>
      </c>
      <c r="Z397" s="4">
        <f t="shared" si="92"/>
        <v>0.14761318284096642</v>
      </c>
      <c r="AA397">
        <v>39.200000000000003</v>
      </c>
      <c r="AB397">
        <f t="shared" si="93"/>
        <v>36.1</v>
      </c>
      <c r="AP397" s="3">
        <v>30256</v>
      </c>
      <c r="AQ397" s="2">
        <v>39.4</v>
      </c>
      <c r="AR397" s="2" t="str">
        <f t="shared" si="94"/>
        <v>+</v>
      </c>
      <c r="AS397" s="2">
        <v>41.9</v>
      </c>
      <c r="AT397" s="8" t="str">
        <f t="shared" si="95"/>
        <v>+</v>
      </c>
      <c r="AU397" s="2">
        <v>42</v>
      </c>
      <c r="AV397" s="8" t="str">
        <f t="shared" si="96"/>
        <v>+</v>
      </c>
      <c r="AW397" s="2">
        <v>30.6</v>
      </c>
      <c r="AX397" s="8" t="str">
        <f t="shared" si="97"/>
        <v>+</v>
      </c>
      <c r="AY397" s="2">
        <v>46.5</v>
      </c>
      <c r="AZ397" s="8" t="str">
        <f t="shared" si="98"/>
        <v>+</v>
      </c>
      <c r="BA397" s="2">
        <v>32.5</v>
      </c>
      <c r="BB397" s="8" t="str">
        <f t="shared" si="99"/>
        <v>-</v>
      </c>
      <c r="BC397" s="2"/>
      <c r="BD397" s="8" t="str">
        <f t="shared" si="100"/>
        <v>+</v>
      </c>
      <c r="BE397" s="2">
        <v>41</v>
      </c>
      <c r="BF397" s="8" t="str">
        <f t="shared" si="105"/>
        <v>-</v>
      </c>
      <c r="BG397" s="2"/>
      <c r="BH397" s="8" t="str">
        <f t="shared" si="101"/>
        <v>+</v>
      </c>
      <c r="BI397" s="2"/>
      <c r="BJ397" s="8" t="str">
        <f t="shared" si="102"/>
        <v>+</v>
      </c>
      <c r="BK397" s="2"/>
      <c r="BL397" s="8" t="str">
        <f t="shared" si="103"/>
        <v>+</v>
      </c>
    </row>
    <row r="398" spans="1:64">
      <c r="A398" s="1">
        <v>30317</v>
      </c>
      <c r="B398">
        <v>42.8</v>
      </c>
      <c r="C398">
        <v>46</v>
      </c>
      <c r="D398">
        <v>36.299999999999997</v>
      </c>
      <c r="E398">
        <v>44</v>
      </c>
      <c r="F398">
        <v>48.6</v>
      </c>
      <c r="G398">
        <v>34.700000000000003</v>
      </c>
      <c r="I398">
        <v>39.1</v>
      </c>
      <c r="W398" s="1">
        <v>30317</v>
      </c>
      <c r="X398">
        <v>145.300003</v>
      </c>
      <c r="Y398" s="4">
        <f t="shared" si="104"/>
        <v>3.3134272135482701E-2</v>
      </c>
      <c r="Z398" s="4">
        <f t="shared" si="92"/>
        <v>0.20681063609949113</v>
      </c>
      <c r="AA398">
        <v>42.8</v>
      </c>
      <c r="AB398">
        <f t="shared" si="93"/>
        <v>37.799999999999997</v>
      </c>
      <c r="AP398" s="3">
        <v>30286</v>
      </c>
      <c r="AQ398" s="2">
        <v>39.200000000000003</v>
      </c>
      <c r="AR398" s="2" t="str">
        <f t="shared" si="94"/>
        <v>-</v>
      </c>
      <c r="AS398" s="2">
        <v>41.5</v>
      </c>
      <c r="AT398" s="8" t="str">
        <f t="shared" si="95"/>
        <v>-</v>
      </c>
      <c r="AU398" s="2">
        <v>42.6</v>
      </c>
      <c r="AV398" s="8" t="str">
        <f t="shared" si="96"/>
        <v>+</v>
      </c>
      <c r="AW398" s="2">
        <v>28.2</v>
      </c>
      <c r="AX398" s="8" t="str">
        <f t="shared" si="97"/>
        <v>-</v>
      </c>
      <c r="AY398" s="2">
        <v>46.9</v>
      </c>
      <c r="AZ398" s="8" t="str">
        <f t="shared" si="98"/>
        <v>+</v>
      </c>
      <c r="BA398" s="2">
        <v>33.6</v>
      </c>
      <c r="BB398" s="8" t="str">
        <f t="shared" si="99"/>
        <v>+</v>
      </c>
      <c r="BC398" s="2"/>
      <c r="BD398" s="8" t="str">
        <f t="shared" si="100"/>
        <v>+</v>
      </c>
      <c r="BE398" s="2">
        <v>37.299999999999997</v>
      </c>
      <c r="BF398" s="8" t="str">
        <f t="shared" si="105"/>
        <v>-</v>
      </c>
      <c r="BG398" s="2"/>
      <c r="BH398" s="8" t="str">
        <f t="shared" si="101"/>
        <v>+</v>
      </c>
      <c r="BI398" s="2"/>
      <c r="BJ398" s="8" t="str">
        <f t="shared" si="102"/>
        <v>+</v>
      </c>
      <c r="BK398" s="2"/>
      <c r="BL398" s="8" t="str">
        <f t="shared" si="103"/>
        <v>+</v>
      </c>
    </row>
    <row r="399" spans="1:64">
      <c r="A399" s="1">
        <v>30348</v>
      </c>
      <c r="B399">
        <v>46</v>
      </c>
      <c r="C399">
        <v>50.3</v>
      </c>
      <c r="D399">
        <v>37.700000000000003</v>
      </c>
      <c r="E399">
        <v>50.8</v>
      </c>
      <c r="F399">
        <v>46.7</v>
      </c>
      <c r="G399">
        <v>36.299999999999997</v>
      </c>
      <c r="I399">
        <v>43.7</v>
      </c>
      <c r="W399" s="1">
        <v>30348</v>
      </c>
      <c r="X399">
        <v>148.05999800000001</v>
      </c>
      <c r="Y399" s="4">
        <f t="shared" si="104"/>
        <v>1.8995147577526225E-2</v>
      </c>
      <c r="Z399" s="4">
        <f t="shared" ref="Z399:Z462" si="106">(X399-X387)/X387</f>
        <v>0.30899121820359643</v>
      </c>
      <c r="AA399">
        <v>46</v>
      </c>
      <c r="AB399">
        <f t="shared" ref="AB399:AB462" si="107">AA387</f>
        <v>38.200000000000003</v>
      </c>
      <c r="AP399" s="3">
        <v>30317</v>
      </c>
      <c r="AQ399" s="2">
        <v>42.8</v>
      </c>
      <c r="AR399" s="2" t="str">
        <f t="shared" si="94"/>
        <v>+</v>
      </c>
      <c r="AS399" s="2">
        <v>46</v>
      </c>
      <c r="AT399" s="8" t="str">
        <f t="shared" si="95"/>
        <v>+</v>
      </c>
      <c r="AU399" s="2">
        <v>44</v>
      </c>
      <c r="AV399" s="8" t="str">
        <f t="shared" si="96"/>
        <v>+</v>
      </c>
      <c r="AW399" s="2">
        <v>36.299999999999997</v>
      </c>
      <c r="AX399" s="8" t="str">
        <f t="shared" si="97"/>
        <v>+</v>
      </c>
      <c r="AY399" s="2">
        <v>48.6</v>
      </c>
      <c r="AZ399" s="8" t="str">
        <f t="shared" si="98"/>
        <v>+</v>
      </c>
      <c r="BA399" s="2">
        <v>34.700000000000003</v>
      </c>
      <c r="BB399" s="8" t="str">
        <f t="shared" si="99"/>
        <v>+</v>
      </c>
      <c r="BC399" s="2"/>
      <c r="BD399" s="8" t="str">
        <f t="shared" si="100"/>
        <v>+</v>
      </c>
      <c r="BE399" s="2">
        <v>39.1</v>
      </c>
      <c r="BF399" s="8" t="str">
        <f t="shared" si="105"/>
        <v>+</v>
      </c>
      <c r="BG399" s="2"/>
      <c r="BH399" s="8" t="str">
        <f t="shared" si="101"/>
        <v>+</v>
      </c>
      <c r="BI399" s="2"/>
      <c r="BJ399" s="8" t="str">
        <f t="shared" si="102"/>
        <v>+</v>
      </c>
      <c r="BK399" s="2"/>
      <c r="BL399" s="8" t="str">
        <f t="shared" si="103"/>
        <v>+</v>
      </c>
    </row>
    <row r="400" spans="1:64">
      <c r="A400" s="1">
        <v>30376</v>
      </c>
      <c r="B400">
        <v>54.4</v>
      </c>
      <c r="C400">
        <v>60.6</v>
      </c>
      <c r="D400">
        <v>47.4</v>
      </c>
      <c r="E400">
        <v>61.1</v>
      </c>
      <c r="F400">
        <v>49.9</v>
      </c>
      <c r="G400">
        <v>40.1</v>
      </c>
      <c r="I400">
        <v>48.7</v>
      </c>
      <c r="W400" s="1">
        <v>30376</v>
      </c>
      <c r="X400">
        <v>152.96000699999999</v>
      </c>
      <c r="Y400" s="4">
        <f t="shared" si="104"/>
        <v>3.3094752574560904E-2</v>
      </c>
      <c r="Z400" s="4">
        <f t="shared" si="106"/>
        <v>0.3662022898017353</v>
      </c>
      <c r="AA400">
        <v>54.4</v>
      </c>
      <c r="AB400">
        <f t="shared" si="107"/>
        <v>38.299999999999997</v>
      </c>
      <c r="AP400" s="3">
        <v>30348</v>
      </c>
      <c r="AQ400" s="2">
        <v>46</v>
      </c>
      <c r="AR400" s="2" t="str">
        <f t="shared" si="94"/>
        <v>+</v>
      </c>
      <c r="AS400" s="2">
        <v>50.3</v>
      </c>
      <c r="AT400" s="8" t="str">
        <f t="shared" si="95"/>
        <v>+</v>
      </c>
      <c r="AU400" s="2">
        <v>50.8</v>
      </c>
      <c r="AV400" s="8" t="str">
        <f t="shared" si="96"/>
        <v>+</v>
      </c>
      <c r="AW400" s="2">
        <v>37.700000000000003</v>
      </c>
      <c r="AX400" s="8" t="str">
        <f t="shared" si="97"/>
        <v>+</v>
      </c>
      <c r="AY400" s="2">
        <v>46.7</v>
      </c>
      <c r="AZ400" s="8" t="str">
        <f t="shared" si="98"/>
        <v>-</v>
      </c>
      <c r="BA400" s="2">
        <v>36.299999999999997</v>
      </c>
      <c r="BB400" s="8" t="str">
        <f t="shared" si="99"/>
        <v>+</v>
      </c>
      <c r="BC400" s="2"/>
      <c r="BD400" s="8" t="str">
        <f t="shared" si="100"/>
        <v>+</v>
      </c>
      <c r="BE400" s="2">
        <v>43.7</v>
      </c>
      <c r="BF400" s="8" t="str">
        <f t="shared" si="105"/>
        <v>+</v>
      </c>
      <c r="BG400" s="2"/>
      <c r="BH400" s="8" t="str">
        <f t="shared" si="101"/>
        <v>+</v>
      </c>
      <c r="BI400" s="2"/>
      <c r="BJ400" s="8" t="str">
        <f t="shared" si="102"/>
        <v>+</v>
      </c>
      <c r="BK400" s="2"/>
      <c r="BL400" s="8" t="str">
        <f t="shared" si="103"/>
        <v>+</v>
      </c>
    </row>
    <row r="401" spans="1:64">
      <c r="A401" s="1">
        <v>30407</v>
      </c>
      <c r="B401">
        <v>53.9</v>
      </c>
      <c r="C401">
        <v>60.8</v>
      </c>
      <c r="D401">
        <v>45.1</v>
      </c>
      <c r="E401">
        <v>58.4</v>
      </c>
      <c r="F401">
        <v>50.8</v>
      </c>
      <c r="G401">
        <v>44.2</v>
      </c>
      <c r="I401">
        <v>47.9</v>
      </c>
      <c r="W401" s="1">
        <v>30407</v>
      </c>
      <c r="X401">
        <v>164.429993</v>
      </c>
      <c r="Y401" s="4">
        <f t="shared" si="104"/>
        <v>7.4986829727328702E-2</v>
      </c>
      <c r="Z401" s="4">
        <f t="shared" si="106"/>
        <v>0.4121435088948211</v>
      </c>
      <c r="AA401">
        <v>53.9</v>
      </c>
      <c r="AB401">
        <f t="shared" si="107"/>
        <v>36.799999999999997</v>
      </c>
      <c r="AP401" s="3">
        <v>30376</v>
      </c>
      <c r="AQ401" s="2">
        <v>54.4</v>
      </c>
      <c r="AR401" s="2" t="str">
        <f t="shared" si="94"/>
        <v>+</v>
      </c>
      <c r="AS401" s="2">
        <v>60.6</v>
      </c>
      <c r="AT401" s="8" t="str">
        <f t="shared" si="95"/>
        <v>+</v>
      </c>
      <c r="AU401" s="2">
        <v>61.1</v>
      </c>
      <c r="AV401" s="8" t="str">
        <f t="shared" si="96"/>
        <v>+</v>
      </c>
      <c r="AW401" s="2">
        <v>47.4</v>
      </c>
      <c r="AX401" s="8" t="str">
        <f t="shared" si="97"/>
        <v>+</v>
      </c>
      <c r="AY401" s="2">
        <v>49.9</v>
      </c>
      <c r="AZ401" s="8" t="str">
        <f t="shared" si="98"/>
        <v>+</v>
      </c>
      <c r="BA401" s="2">
        <v>40.1</v>
      </c>
      <c r="BB401" s="8" t="str">
        <f t="shared" si="99"/>
        <v>+</v>
      </c>
      <c r="BC401" s="2"/>
      <c r="BD401" s="8" t="str">
        <f t="shared" si="100"/>
        <v>+</v>
      </c>
      <c r="BE401" s="2">
        <v>48.7</v>
      </c>
      <c r="BF401" s="8" t="str">
        <f t="shared" si="105"/>
        <v>+</v>
      </c>
      <c r="BG401" s="2"/>
      <c r="BH401" s="8" t="str">
        <f t="shared" si="101"/>
        <v>+</v>
      </c>
      <c r="BI401" s="2"/>
      <c r="BJ401" s="8" t="str">
        <f t="shared" si="102"/>
        <v>+</v>
      </c>
      <c r="BK401" s="2"/>
      <c r="BL401" s="8" t="str">
        <f t="shared" si="103"/>
        <v>+</v>
      </c>
    </row>
    <row r="402" spans="1:64">
      <c r="A402" s="1">
        <v>30437</v>
      </c>
      <c r="B402">
        <v>54.2</v>
      </c>
      <c r="C402">
        <v>59.4</v>
      </c>
      <c r="D402">
        <v>46.4</v>
      </c>
      <c r="E402">
        <v>58.2</v>
      </c>
      <c r="F402">
        <v>52.7</v>
      </c>
      <c r="G402">
        <v>46</v>
      </c>
      <c r="I402">
        <v>55.6</v>
      </c>
      <c r="W402" s="1">
        <v>30437</v>
      </c>
      <c r="X402">
        <v>162.38999899999999</v>
      </c>
      <c r="Y402" s="4">
        <f t="shared" si="104"/>
        <v>-1.2406459203583419E-2</v>
      </c>
      <c r="Z402" s="4">
        <f t="shared" si="106"/>
        <v>0.45146588625668255</v>
      </c>
      <c r="AA402">
        <v>54.2</v>
      </c>
      <c r="AB402">
        <f t="shared" si="107"/>
        <v>37.799999999999997</v>
      </c>
      <c r="AP402" s="3">
        <v>30407</v>
      </c>
      <c r="AQ402" s="2">
        <v>53.9</v>
      </c>
      <c r="AR402" s="2" t="str">
        <f t="shared" si="94"/>
        <v>-</v>
      </c>
      <c r="AS402" s="2">
        <v>60.8</v>
      </c>
      <c r="AT402" s="8" t="str">
        <f t="shared" si="95"/>
        <v>+</v>
      </c>
      <c r="AU402" s="2">
        <v>58.4</v>
      </c>
      <c r="AV402" s="8" t="str">
        <f t="shared" si="96"/>
        <v>-</v>
      </c>
      <c r="AW402" s="2">
        <v>45.1</v>
      </c>
      <c r="AX402" s="8" t="str">
        <f t="shared" si="97"/>
        <v>-</v>
      </c>
      <c r="AY402" s="2">
        <v>50.8</v>
      </c>
      <c r="AZ402" s="8" t="str">
        <f t="shared" si="98"/>
        <v>+</v>
      </c>
      <c r="BA402" s="2">
        <v>44.2</v>
      </c>
      <c r="BB402" s="8" t="str">
        <f t="shared" si="99"/>
        <v>+</v>
      </c>
      <c r="BC402" s="2"/>
      <c r="BD402" s="8" t="str">
        <f t="shared" si="100"/>
        <v>+</v>
      </c>
      <c r="BE402" s="2">
        <v>47.9</v>
      </c>
      <c r="BF402" s="8" t="str">
        <f t="shared" si="105"/>
        <v>-</v>
      </c>
      <c r="BG402" s="2"/>
      <c r="BH402" s="8" t="str">
        <f t="shared" si="101"/>
        <v>+</v>
      </c>
      <c r="BI402" s="2"/>
      <c r="BJ402" s="8" t="str">
        <f t="shared" si="102"/>
        <v>+</v>
      </c>
      <c r="BK402" s="2"/>
      <c r="BL402" s="8" t="str">
        <f t="shared" si="103"/>
        <v>+</v>
      </c>
    </row>
    <row r="403" spans="1:64">
      <c r="A403" s="1">
        <v>30468</v>
      </c>
      <c r="B403">
        <v>56.1</v>
      </c>
      <c r="C403">
        <v>61.8</v>
      </c>
      <c r="D403">
        <v>49.2</v>
      </c>
      <c r="E403">
        <v>61.5</v>
      </c>
      <c r="F403">
        <v>51.9</v>
      </c>
      <c r="G403">
        <v>45.7</v>
      </c>
      <c r="I403">
        <v>60.3</v>
      </c>
      <c r="W403" s="1">
        <v>30468</v>
      </c>
      <c r="X403">
        <v>167.63999899999999</v>
      </c>
      <c r="Y403" s="4">
        <f t="shared" si="104"/>
        <v>3.2329577143479137E-2</v>
      </c>
      <c r="Z403" s="4">
        <f t="shared" si="106"/>
        <v>0.52942247487070082</v>
      </c>
      <c r="AA403">
        <v>56.1</v>
      </c>
      <c r="AB403">
        <f t="shared" si="107"/>
        <v>35.5</v>
      </c>
      <c r="AP403" s="3">
        <v>30437</v>
      </c>
      <c r="AQ403" s="2">
        <v>54.2</v>
      </c>
      <c r="AR403" s="2" t="str">
        <f t="shared" si="94"/>
        <v>+</v>
      </c>
      <c r="AS403" s="2">
        <v>59.4</v>
      </c>
      <c r="AT403" s="8" t="str">
        <f t="shared" si="95"/>
        <v>-</v>
      </c>
      <c r="AU403" s="2">
        <v>58.2</v>
      </c>
      <c r="AV403" s="8" t="str">
        <f t="shared" si="96"/>
        <v>-</v>
      </c>
      <c r="AW403" s="2">
        <v>46.4</v>
      </c>
      <c r="AX403" s="8" t="str">
        <f t="shared" si="97"/>
        <v>+</v>
      </c>
      <c r="AY403" s="2">
        <v>52.7</v>
      </c>
      <c r="AZ403" s="8" t="str">
        <f t="shared" si="98"/>
        <v>+</v>
      </c>
      <c r="BA403" s="2">
        <v>46</v>
      </c>
      <c r="BB403" s="8" t="str">
        <f t="shared" si="99"/>
        <v>+</v>
      </c>
      <c r="BC403" s="2"/>
      <c r="BD403" s="8" t="str">
        <f t="shared" si="100"/>
        <v>+</v>
      </c>
      <c r="BE403" s="2">
        <v>55.6</v>
      </c>
      <c r="BF403" s="8" t="str">
        <f t="shared" si="105"/>
        <v>+</v>
      </c>
      <c r="BG403" s="2"/>
      <c r="BH403" s="8" t="str">
        <f t="shared" si="101"/>
        <v>+</v>
      </c>
      <c r="BI403" s="2"/>
      <c r="BJ403" s="8" t="str">
        <f t="shared" si="102"/>
        <v>+</v>
      </c>
      <c r="BK403" s="2"/>
      <c r="BL403" s="8" t="str">
        <f t="shared" si="103"/>
        <v>+</v>
      </c>
    </row>
    <row r="404" spans="1:64">
      <c r="A404" s="1">
        <v>30498</v>
      </c>
      <c r="B404">
        <v>57.5</v>
      </c>
      <c r="C404">
        <v>62.3</v>
      </c>
      <c r="D404">
        <v>49.7</v>
      </c>
      <c r="E404">
        <v>63.2</v>
      </c>
      <c r="F404">
        <v>56.8</v>
      </c>
      <c r="G404">
        <v>45.7</v>
      </c>
      <c r="I404">
        <v>61.5</v>
      </c>
      <c r="W404" s="1">
        <v>30498</v>
      </c>
      <c r="X404">
        <v>162.55999800000001</v>
      </c>
      <c r="Y404" s="4">
        <f t="shared" si="104"/>
        <v>-3.0303036448956207E-2</v>
      </c>
      <c r="Z404" s="4">
        <f t="shared" si="106"/>
        <v>0.5179755726202474</v>
      </c>
      <c r="AA404">
        <v>57.5</v>
      </c>
      <c r="AB404">
        <f t="shared" si="107"/>
        <v>38.299999999999997</v>
      </c>
      <c r="AP404" s="3">
        <v>30468</v>
      </c>
      <c r="AQ404" s="2">
        <v>56.1</v>
      </c>
      <c r="AR404" s="2" t="str">
        <f t="shared" si="94"/>
        <v>+</v>
      </c>
      <c r="AS404" s="2">
        <v>61.8</v>
      </c>
      <c r="AT404" s="8" t="str">
        <f t="shared" si="95"/>
        <v>+</v>
      </c>
      <c r="AU404" s="2">
        <v>61.5</v>
      </c>
      <c r="AV404" s="8" t="str">
        <f t="shared" si="96"/>
        <v>+</v>
      </c>
      <c r="AW404" s="2">
        <v>49.2</v>
      </c>
      <c r="AX404" s="8" t="str">
        <f t="shared" si="97"/>
        <v>+</v>
      </c>
      <c r="AY404" s="2">
        <v>51.9</v>
      </c>
      <c r="AZ404" s="8" t="str">
        <f t="shared" si="98"/>
        <v>-</v>
      </c>
      <c r="BA404" s="2">
        <v>45.7</v>
      </c>
      <c r="BB404" s="8" t="str">
        <f t="shared" si="99"/>
        <v>-</v>
      </c>
      <c r="BC404" s="2"/>
      <c r="BD404" s="8" t="str">
        <f t="shared" si="100"/>
        <v>+</v>
      </c>
      <c r="BE404" s="2">
        <v>60.3</v>
      </c>
      <c r="BF404" s="8" t="str">
        <f t="shared" si="105"/>
        <v>+</v>
      </c>
      <c r="BG404" s="2"/>
      <c r="BH404" s="8" t="str">
        <f t="shared" si="101"/>
        <v>+</v>
      </c>
      <c r="BI404" s="2"/>
      <c r="BJ404" s="8" t="str">
        <f t="shared" si="102"/>
        <v>+</v>
      </c>
      <c r="BK404" s="2"/>
      <c r="BL404" s="8" t="str">
        <f t="shared" si="103"/>
        <v>+</v>
      </c>
    </row>
    <row r="405" spans="1:64">
      <c r="A405" s="1">
        <v>30529</v>
      </c>
      <c r="B405">
        <v>63.6</v>
      </c>
      <c r="C405">
        <v>70.3</v>
      </c>
      <c r="D405">
        <v>53.7</v>
      </c>
      <c r="E405">
        <v>71.5</v>
      </c>
      <c r="F405">
        <v>58.9</v>
      </c>
      <c r="G405">
        <v>50.8</v>
      </c>
      <c r="I405">
        <v>63.2</v>
      </c>
      <c r="W405" s="1">
        <v>30529</v>
      </c>
      <c r="X405">
        <v>164.39999399999999</v>
      </c>
      <c r="Y405" s="4">
        <f t="shared" si="104"/>
        <v>1.131887317075376E-2</v>
      </c>
      <c r="Z405" s="4">
        <f t="shared" si="106"/>
        <v>0.3756170299453262</v>
      </c>
      <c r="AA405">
        <v>63.6</v>
      </c>
      <c r="AB405">
        <f t="shared" si="107"/>
        <v>38.4</v>
      </c>
      <c r="AP405" s="3">
        <v>30498</v>
      </c>
      <c r="AQ405" s="2">
        <v>57.5</v>
      </c>
      <c r="AR405" s="2" t="str">
        <f t="shared" si="94"/>
        <v>+</v>
      </c>
      <c r="AS405" s="2">
        <v>62.3</v>
      </c>
      <c r="AT405" s="8" t="str">
        <f t="shared" si="95"/>
        <v>+</v>
      </c>
      <c r="AU405" s="2">
        <v>63.2</v>
      </c>
      <c r="AV405" s="8" t="str">
        <f t="shared" si="96"/>
        <v>+</v>
      </c>
      <c r="AW405" s="2">
        <v>49.7</v>
      </c>
      <c r="AX405" s="8" t="str">
        <f t="shared" si="97"/>
        <v>+</v>
      </c>
      <c r="AY405" s="2">
        <v>56.8</v>
      </c>
      <c r="AZ405" s="8" t="str">
        <f t="shared" si="98"/>
        <v>+</v>
      </c>
      <c r="BA405" s="2">
        <v>45.7</v>
      </c>
      <c r="BB405" s="8" t="str">
        <f t="shared" si="99"/>
        <v>+</v>
      </c>
      <c r="BC405" s="2"/>
      <c r="BD405" s="8" t="str">
        <f t="shared" si="100"/>
        <v>+</v>
      </c>
      <c r="BE405" s="2">
        <v>61.5</v>
      </c>
      <c r="BF405" s="8" t="str">
        <f t="shared" si="105"/>
        <v>+</v>
      </c>
      <c r="BG405" s="2"/>
      <c r="BH405" s="8" t="str">
        <f t="shared" si="101"/>
        <v>+</v>
      </c>
      <c r="BI405" s="2"/>
      <c r="BJ405" s="8" t="str">
        <f t="shared" si="102"/>
        <v>+</v>
      </c>
      <c r="BK405" s="2"/>
      <c r="BL405" s="8" t="str">
        <f t="shared" si="103"/>
        <v>+</v>
      </c>
    </row>
    <row r="406" spans="1:64">
      <c r="A406" s="1">
        <v>30560</v>
      </c>
      <c r="B406">
        <v>63.1</v>
      </c>
      <c r="C406">
        <v>68.099999999999994</v>
      </c>
      <c r="D406">
        <v>56</v>
      </c>
      <c r="E406">
        <v>69.900000000000006</v>
      </c>
      <c r="F406">
        <v>60.2</v>
      </c>
      <c r="G406">
        <v>49.3</v>
      </c>
      <c r="I406">
        <v>69.400000000000006</v>
      </c>
      <c r="W406" s="1">
        <v>30560</v>
      </c>
      <c r="X406">
        <v>166.070007</v>
      </c>
      <c r="Y406" s="4">
        <f t="shared" si="104"/>
        <v>1.0158230297745702E-2</v>
      </c>
      <c r="Z406" s="4">
        <f t="shared" si="106"/>
        <v>0.37908993321856721</v>
      </c>
      <c r="AA406">
        <v>63.1</v>
      </c>
      <c r="AB406">
        <f t="shared" si="107"/>
        <v>38.299999999999997</v>
      </c>
      <c r="AP406" s="3">
        <v>30529</v>
      </c>
      <c r="AQ406" s="2">
        <v>63.6</v>
      </c>
      <c r="AR406" s="2" t="str">
        <f t="shared" si="94"/>
        <v>+</v>
      </c>
      <c r="AS406" s="2">
        <v>70.3</v>
      </c>
      <c r="AT406" s="8" t="str">
        <f t="shared" si="95"/>
        <v>+</v>
      </c>
      <c r="AU406" s="2">
        <v>71.5</v>
      </c>
      <c r="AV406" s="8" t="str">
        <f t="shared" si="96"/>
        <v>+</v>
      </c>
      <c r="AW406" s="2">
        <v>53.7</v>
      </c>
      <c r="AX406" s="8" t="str">
        <f t="shared" si="97"/>
        <v>+</v>
      </c>
      <c r="AY406" s="2">
        <v>58.9</v>
      </c>
      <c r="AZ406" s="8" t="str">
        <f t="shared" si="98"/>
        <v>+</v>
      </c>
      <c r="BA406" s="2">
        <v>50.8</v>
      </c>
      <c r="BB406" s="8" t="str">
        <f t="shared" si="99"/>
        <v>+</v>
      </c>
      <c r="BC406" s="2"/>
      <c r="BD406" s="8" t="str">
        <f t="shared" si="100"/>
        <v>+</v>
      </c>
      <c r="BE406" s="2">
        <v>63.2</v>
      </c>
      <c r="BF406" s="8" t="str">
        <f t="shared" si="105"/>
        <v>+</v>
      </c>
      <c r="BG406" s="2"/>
      <c r="BH406" s="8" t="str">
        <f t="shared" si="101"/>
        <v>+</v>
      </c>
      <c r="BI406" s="2"/>
      <c r="BJ406" s="8" t="str">
        <f t="shared" si="102"/>
        <v>+</v>
      </c>
      <c r="BK406" s="2"/>
      <c r="BL406" s="8" t="str">
        <f t="shared" si="103"/>
        <v>+</v>
      </c>
    </row>
    <row r="407" spans="1:64">
      <c r="A407" s="1">
        <v>30590</v>
      </c>
      <c r="B407">
        <v>62.5</v>
      </c>
      <c r="C407">
        <v>66.900000000000006</v>
      </c>
      <c r="D407">
        <v>57.8</v>
      </c>
      <c r="E407">
        <v>67.8</v>
      </c>
      <c r="F407">
        <v>60.7</v>
      </c>
      <c r="G407">
        <v>48.6</v>
      </c>
      <c r="I407">
        <v>68</v>
      </c>
      <c r="W407" s="1">
        <v>30590</v>
      </c>
      <c r="X407">
        <v>163.550003</v>
      </c>
      <c r="Y407" s="4">
        <f t="shared" si="104"/>
        <v>-1.5174347526823432E-2</v>
      </c>
      <c r="Z407" s="4">
        <f t="shared" si="106"/>
        <v>0.22307808687497699</v>
      </c>
      <c r="AA407">
        <v>62.5</v>
      </c>
      <c r="AB407">
        <f t="shared" si="107"/>
        <v>38.799999999999997</v>
      </c>
      <c r="AP407" s="3">
        <v>30560</v>
      </c>
      <c r="AQ407" s="2">
        <v>63.1</v>
      </c>
      <c r="AR407" s="2" t="str">
        <f t="shared" si="94"/>
        <v>-</v>
      </c>
      <c r="AS407" s="2">
        <v>68.099999999999994</v>
      </c>
      <c r="AT407" s="8" t="str">
        <f t="shared" si="95"/>
        <v>-</v>
      </c>
      <c r="AU407" s="2">
        <v>69.900000000000006</v>
      </c>
      <c r="AV407" s="8" t="str">
        <f t="shared" si="96"/>
        <v>-</v>
      </c>
      <c r="AW407" s="2">
        <v>56</v>
      </c>
      <c r="AX407" s="8" t="str">
        <f t="shared" si="97"/>
        <v>+</v>
      </c>
      <c r="AY407" s="2">
        <v>60.2</v>
      </c>
      <c r="AZ407" s="8" t="str">
        <f t="shared" si="98"/>
        <v>+</v>
      </c>
      <c r="BA407" s="2">
        <v>49.3</v>
      </c>
      <c r="BB407" s="8" t="str">
        <f t="shared" si="99"/>
        <v>-</v>
      </c>
      <c r="BC407" s="2"/>
      <c r="BD407" s="8" t="str">
        <f t="shared" si="100"/>
        <v>+</v>
      </c>
      <c r="BE407" s="2">
        <v>69.400000000000006</v>
      </c>
      <c r="BF407" s="8" t="str">
        <f t="shared" si="105"/>
        <v>+</v>
      </c>
      <c r="BG407" s="2"/>
      <c r="BH407" s="8" t="str">
        <f t="shared" si="101"/>
        <v>+</v>
      </c>
      <c r="BI407" s="2"/>
      <c r="BJ407" s="8" t="str">
        <f t="shared" si="102"/>
        <v>+</v>
      </c>
      <c r="BK407" s="2"/>
      <c r="BL407" s="8" t="str">
        <f t="shared" si="103"/>
        <v>+</v>
      </c>
    </row>
    <row r="408" spans="1:64">
      <c r="A408" s="1">
        <v>30621</v>
      </c>
      <c r="B408">
        <v>64.400000000000006</v>
      </c>
      <c r="C408">
        <v>69.5</v>
      </c>
      <c r="D408">
        <v>57.6</v>
      </c>
      <c r="E408">
        <v>69.599999999999994</v>
      </c>
      <c r="F408">
        <v>62.8</v>
      </c>
      <c r="G408">
        <v>52.1</v>
      </c>
      <c r="I408">
        <v>69.3</v>
      </c>
      <c r="W408" s="1">
        <v>30621</v>
      </c>
      <c r="X408">
        <v>166.39999399999999</v>
      </c>
      <c r="Y408" s="4">
        <f t="shared" si="104"/>
        <v>1.7425808301574832E-2</v>
      </c>
      <c r="Z408" s="4">
        <f t="shared" si="106"/>
        <v>0.20118382445090457</v>
      </c>
      <c r="AA408">
        <v>64.400000000000006</v>
      </c>
      <c r="AB408">
        <f t="shared" si="107"/>
        <v>39.4</v>
      </c>
      <c r="AP408" s="3">
        <v>30590</v>
      </c>
      <c r="AQ408" s="2">
        <v>62.5</v>
      </c>
      <c r="AR408" s="2" t="str">
        <f t="shared" si="94"/>
        <v>-</v>
      </c>
      <c r="AS408" s="2">
        <v>66.900000000000006</v>
      </c>
      <c r="AT408" s="8" t="str">
        <f t="shared" si="95"/>
        <v>-</v>
      </c>
      <c r="AU408" s="2">
        <v>67.8</v>
      </c>
      <c r="AV408" s="8" t="str">
        <f t="shared" si="96"/>
        <v>-</v>
      </c>
      <c r="AW408" s="2">
        <v>57.8</v>
      </c>
      <c r="AX408" s="8" t="str">
        <f t="shared" si="97"/>
        <v>+</v>
      </c>
      <c r="AY408" s="2">
        <v>60.7</v>
      </c>
      <c r="AZ408" s="8" t="str">
        <f t="shared" si="98"/>
        <v>+</v>
      </c>
      <c r="BA408" s="2">
        <v>48.6</v>
      </c>
      <c r="BB408" s="8" t="str">
        <f t="shared" si="99"/>
        <v>-</v>
      </c>
      <c r="BC408" s="2"/>
      <c r="BD408" s="8" t="str">
        <f t="shared" si="100"/>
        <v>+</v>
      </c>
      <c r="BE408" s="2">
        <v>68</v>
      </c>
      <c r="BF408" s="8" t="str">
        <f t="shared" si="105"/>
        <v>-</v>
      </c>
      <c r="BG408" s="2"/>
      <c r="BH408" s="8" t="str">
        <f t="shared" si="101"/>
        <v>+</v>
      </c>
      <c r="BI408" s="2"/>
      <c r="BJ408" s="8" t="str">
        <f t="shared" si="102"/>
        <v>+</v>
      </c>
      <c r="BK408" s="2"/>
      <c r="BL408" s="8" t="str">
        <f t="shared" si="103"/>
        <v>+</v>
      </c>
    </row>
    <row r="409" spans="1:64">
      <c r="A409" s="1">
        <v>30651</v>
      </c>
      <c r="B409">
        <v>66</v>
      </c>
      <c r="C409">
        <v>69.2</v>
      </c>
      <c r="D409">
        <v>59.7</v>
      </c>
      <c r="E409">
        <v>70.7</v>
      </c>
      <c r="F409">
        <v>67.5</v>
      </c>
      <c r="G409">
        <v>55</v>
      </c>
      <c r="I409">
        <v>68.099999999999994</v>
      </c>
      <c r="W409" s="1">
        <v>30651</v>
      </c>
      <c r="X409">
        <v>164.929993</v>
      </c>
      <c r="Y409" s="4">
        <f t="shared" si="104"/>
        <v>-8.8341409435387149E-3</v>
      </c>
      <c r="Z409" s="4">
        <f t="shared" si="106"/>
        <v>0.17271042500505143</v>
      </c>
      <c r="AA409">
        <v>66</v>
      </c>
      <c r="AB409">
        <f t="shared" si="107"/>
        <v>39.200000000000003</v>
      </c>
      <c r="AP409" s="3">
        <v>30621</v>
      </c>
      <c r="AQ409" s="2">
        <v>64.400000000000006</v>
      </c>
      <c r="AR409" s="2" t="str">
        <f t="shared" si="94"/>
        <v>+</v>
      </c>
      <c r="AS409" s="2">
        <v>69.5</v>
      </c>
      <c r="AT409" s="8" t="str">
        <f t="shared" si="95"/>
        <v>+</v>
      </c>
      <c r="AU409" s="2">
        <v>69.599999999999994</v>
      </c>
      <c r="AV409" s="8" t="str">
        <f t="shared" si="96"/>
        <v>+</v>
      </c>
      <c r="AW409" s="2">
        <v>57.6</v>
      </c>
      <c r="AX409" s="8" t="str">
        <f t="shared" si="97"/>
        <v>-</v>
      </c>
      <c r="AY409" s="2">
        <v>62.8</v>
      </c>
      <c r="AZ409" s="8" t="str">
        <f t="shared" si="98"/>
        <v>+</v>
      </c>
      <c r="BA409" s="2">
        <v>52.1</v>
      </c>
      <c r="BB409" s="8" t="str">
        <f t="shared" si="99"/>
        <v>+</v>
      </c>
      <c r="BC409" s="2"/>
      <c r="BD409" s="8" t="str">
        <f t="shared" si="100"/>
        <v>+</v>
      </c>
      <c r="BE409" s="2">
        <v>69.3</v>
      </c>
      <c r="BF409" s="8" t="str">
        <f t="shared" si="105"/>
        <v>+</v>
      </c>
      <c r="BG409" s="2"/>
      <c r="BH409" s="8" t="str">
        <f t="shared" si="101"/>
        <v>+</v>
      </c>
      <c r="BI409" s="2"/>
      <c r="BJ409" s="8" t="str">
        <f t="shared" si="102"/>
        <v>+</v>
      </c>
      <c r="BK409" s="2"/>
      <c r="BL409" s="8" t="str">
        <f t="shared" si="103"/>
        <v>+</v>
      </c>
    </row>
    <row r="410" spans="1:64">
      <c r="A410" s="1">
        <v>30682</v>
      </c>
      <c r="B410">
        <v>69.900000000000006</v>
      </c>
      <c r="C410">
        <v>74.8</v>
      </c>
      <c r="D410">
        <v>60.4</v>
      </c>
      <c r="E410">
        <v>80.599999999999994</v>
      </c>
      <c r="F410">
        <v>62.1</v>
      </c>
      <c r="G410">
        <v>59.6</v>
      </c>
      <c r="I410">
        <v>71.400000000000006</v>
      </c>
      <c r="W410" s="1">
        <v>30682</v>
      </c>
      <c r="X410">
        <v>163.41000399999999</v>
      </c>
      <c r="Y410" s="4">
        <f t="shared" si="104"/>
        <v>-9.2159647396578108E-3</v>
      </c>
      <c r="Z410" s="4">
        <f t="shared" si="106"/>
        <v>0.12463868290491352</v>
      </c>
      <c r="AA410">
        <v>69.900000000000006</v>
      </c>
      <c r="AB410">
        <f t="shared" si="107"/>
        <v>42.8</v>
      </c>
      <c r="AP410" s="3">
        <v>30651</v>
      </c>
      <c r="AQ410" s="2">
        <v>66</v>
      </c>
      <c r="AR410" s="2" t="str">
        <f t="shared" si="94"/>
        <v>+</v>
      </c>
      <c r="AS410" s="2">
        <v>69.2</v>
      </c>
      <c r="AT410" s="8" t="str">
        <f t="shared" si="95"/>
        <v>-</v>
      </c>
      <c r="AU410" s="2">
        <v>70.7</v>
      </c>
      <c r="AV410" s="8" t="str">
        <f t="shared" si="96"/>
        <v>+</v>
      </c>
      <c r="AW410" s="2">
        <v>59.7</v>
      </c>
      <c r="AX410" s="8" t="str">
        <f t="shared" si="97"/>
        <v>+</v>
      </c>
      <c r="AY410" s="2">
        <v>67.5</v>
      </c>
      <c r="AZ410" s="8" t="str">
        <f t="shared" si="98"/>
        <v>+</v>
      </c>
      <c r="BA410" s="2">
        <v>55</v>
      </c>
      <c r="BB410" s="8" t="str">
        <f t="shared" si="99"/>
        <v>+</v>
      </c>
      <c r="BC410" s="2"/>
      <c r="BD410" s="8" t="str">
        <f t="shared" si="100"/>
        <v>+</v>
      </c>
      <c r="BE410" s="2">
        <v>68.099999999999994</v>
      </c>
      <c r="BF410" s="8" t="str">
        <f t="shared" si="105"/>
        <v>-</v>
      </c>
      <c r="BG410" s="2"/>
      <c r="BH410" s="8" t="str">
        <f t="shared" si="101"/>
        <v>+</v>
      </c>
      <c r="BI410" s="2"/>
      <c r="BJ410" s="8" t="str">
        <f t="shared" si="102"/>
        <v>+</v>
      </c>
      <c r="BK410" s="2"/>
      <c r="BL410" s="8" t="str">
        <f t="shared" si="103"/>
        <v>+</v>
      </c>
    </row>
    <row r="411" spans="1:64">
      <c r="A411" s="1">
        <v>30713</v>
      </c>
      <c r="B411">
        <v>60.5</v>
      </c>
      <c r="C411">
        <v>63.7</v>
      </c>
      <c r="D411">
        <v>57.6</v>
      </c>
      <c r="E411">
        <v>59.9</v>
      </c>
      <c r="F411">
        <v>64.400000000000006</v>
      </c>
      <c r="G411">
        <v>52.7</v>
      </c>
      <c r="I411">
        <v>64.400000000000006</v>
      </c>
      <c r="W411" s="1">
        <v>30713</v>
      </c>
      <c r="X411">
        <v>157.05999800000001</v>
      </c>
      <c r="Y411" s="4">
        <f t="shared" si="104"/>
        <v>-3.8859346701931294E-2</v>
      </c>
      <c r="Z411" s="4">
        <f t="shared" si="106"/>
        <v>6.0786168590924873E-2</v>
      </c>
      <c r="AA411">
        <v>60.5</v>
      </c>
      <c r="AB411">
        <f t="shared" si="107"/>
        <v>46</v>
      </c>
      <c r="AP411" s="3">
        <v>30682</v>
      </c>
      <c r="AQ411" s="2">
        <v>69.900000000000006</v>
      </c>
      <c r="AR411" s="2" t="str">
        <f t="shared" si="94"/>
        <v>+</v>
      </c>
      <c r="AS411" s="2">
        <v>74.8</v>
      </c>
      <c r="AT411" s="8" t="str">
        <f t="shared" si="95"/>
        <v>+</v>
      </c>
      <c r="AU411" s="2">
        <v>80.599999999999994</v>
      </c>
      <c r="AV411" s="8" t="str">
        <f t="shared" si="96"/>
        <v>+</v>
      </c>
      <c r="AW411" s="2">
        <v>60.4</v>
      </c>
      <c r="AX411" s="8" t="str">
        <f t="shared" si="97"/>
        <v>+</v>
      </c>
      <c r="AY411" s="2">
        <v>62.1</v>
      </c>
      <c r="AZ411" s="8" t="str">
        <f t="shared" si="98"/>
        <v>-</v>
      </c>
      <c r="BA411" s="2">
        <v>59.6</v>
      </c>
      <c r="BB411" s="8" t="str">
        <f t="shared" si="99"/>
        <v>+</v>
      </c>
      <c r="BC411" s="2"/>
      <c r="BD411" s="8" t="str">
        <f t="shared" si="100"/>
        <v>+</v>
      </c>
      <c r="BE411" s="2">
        <v>71.400000000000006</v>
      </c>
      <c r="BF411" s="8" t="str">
        <f t="shared" si="105"/>
        <v>+</v>
      </c>
      <c r="BG411" s="2"/>
      <c r="BH411" s="8" t="str">
        <f t="shared" si="101"/>
        <v>+</v>
      </c>
      <c r="BI411" s="2"/>
      <c r="BJ411" s="8" t="str">
        <f t="shared" si="102"/>
        <v>+</v>
      </c>
      <c r="BK411" s="2"/>
      <c r="BL411" s="8" t="str">
        <f t="shared" si="103"/>
        <v>+</v>
      </c>
    </row>
    <row r="412" spans="1:64">
      <c r="A412" s="1">
        <v>30742</v>
      </c>
      <c r="B412">
        <v>61.3</v>
      </c>
      <c r="C412">
        <v>64.900000000000006</v>
      </c>
      <c r="D412">
        <v>56.4</v>
      </c>
      <c r="E412">
        <v>64</v>
      </c>
      <c r="F412">
        <v>61.5</v>
      </c>
      <c r="G412">
        <v>52.7</v>
      </c>
      <c r="I412">
        <v>71.099999999999994</v>
      </c>
      <c r="W412" s="1">
        <v>30742</v>
      </c>
      <c r="X412">
        <v>159.179993</v>
      </c>
      <c r="Y412" s="4">
        <f t="shared" si="104"/>
        <v>1.3497994568928931E-2</v>
      </c>
      <c r="Z412" s="4">
        <f t="shared" si="106"/>
        <v>4.0664132553288955E-2</v>
      </c>
      <c r="AA412">
        <v>61.3</v>
      </c>
      <c r="AB412">
        <f t="shared" si="107"/>
        <v>54.4</v>
      </c>
      <c r="AP412" s="3">
        <v>30713</v>
      </c>
      <c r="AQ412" s="2">
        <v>60.5</v>
      </c>
      <c r="AR412" s="2" t="str">
        <f t="shared" si="94"/>
        <v>-</v>
      </c>
      <c r="AS412" s="2">
        <v>63.7</v>
      </c>
      <c r="AT412" s="8" t="str">
        <f t="shared" si="95"/>
        <v>-</v>
      </c>
      <c r="AU412" s="2">
        <v>59.9</v>
      </c>
      <c r="AV412" s="8" t="str">
        <f t="shared" si="96"/>
        <v>-</v>
      </c>
      <c r="AW412" s="2">
        <v>57.6</v>
      </c>
      <c r="AX412" s="8" t="str">
        <f t="shared" si="97"/>
        <v>-</v>
      </c>
      <c r="AY412" s="2">
        <v>64.400000000000006</v>
      </c>
      <c r="AZ412" s="8" t="str">
        <f t="shared" si="98"/>
        <v>+</v>
      </c>
      <c r="BA412" s="2">
        <v>52.7</v>
      </c>
      <c r="BB412" s="8" t="str">
        <f t="shared" si="99"/>
        <v>-</v>
      </c>
      <c r="BC412" s="2"/>
      <c r="BD412" s="8" t="str">
        <f t="shared" si="100"/>
        <v>+</v>
      </c>
      <c r="BE412" s="2">
        <v>64.400000000000006</v>
      </c>
      <c r="BF412" s="8" t="str">
        <f t="shared" si="105"/>
        <v>-</v>
      </c>
      <c r="BG412" s="2"/>
      <c r="BH412" s="8" t="str">
        <f t="shared" si="101"/>
        <v>+</v>
      </c>
      <c r="BI412" s="2"/>
      <c r="BJ412" s="8" t="str">
        <f t="shared" si="102"/>
        <v>+</v>
      </c>
      <c r="BK412" s="2"/>
      <c r="BL412" s="8" t="str">
        <f t="shared" si="103"/>
        <v>+</v>
      </c>
    </row>
    <row r="413" spans="1:64">
      <c r="A413" s="1">
        <v>30773</v>
      </c>
      <c r="B413">
        <v>58.9</v>
      </c>
      <c r="C413">
        <v>60.9</v>
      </c>
      <c r="D413">
        <v>51.1</v>
      </c>
      <c r="E413">
        <v>61.5</v>
      </c>
      <c r="F413">
        <v>65.5</v>
      </c>
      <c r="G413">
        <v>52.7</v>
      </c>
      <c r="I413">
        <v>73.599999999999994</v>
      </c>
      <c r="W413" s="1">
        <v>30773</v>
      </c>
      <c r="X413">
        <v>160.050003</v>
      </c>
      <c r="Y413" s="4">
        <f t="shared" si="104"/>
        <v>5.4655738048688552E-3</v>
      </c>
      <c r="Z413" s="4">
        <f t="shared" si="106"/>
        <v>-2.6637415231173744E-2</v>
      </c>
      <c r="AA413">
        <v>58.9</v>
      </c>
      <c r="AB413">
        <f t="shared" si="107"/>
        <v>53.9</v>
      </c>
      <c r="AP413" s="3">
        <v>30742</v>
      </c>
      <c r="AQ413" s="2">
        <v>61.3</v>
      </c>
      <c r="AR413" s="2" t="str">
        <f t="shared" si="94"/>
        <v>+</v>
      </c>
      <c r="AS413" s="2">
        <v>64.900000000000006</v>
      </c>
      <c r="AT413" s="8" t="str">
        <f t="shared" si="95"/>
        <v>+</v>
      </c>
      <c r="AU413" s="2">
        <v>64</v>
      </c>
      <c r="AV413" s="8" t="str">
        <f t="shared" si="96"/>
        <v>+</v>
      </c>
      <c r="AW413" s="2">
        <v>56.4</v>
      </c>
      <c r="AX413" s="8" t="str">
        <f t="shared" si="97"/>
        <v>-</v>
      </c>
      <c r="AY413" s="2">
        <v>61.5</v>
      </c>
      <c r="AZ413" s="8" t="str">
        <f t="shared" si="98"/>
        <v>-</v>
      </c>
      <c r="BA413" s="2">
        <v>52.7</v>
      </c>
      <c r="BB413" s="8" t="str">
        <f t="shared" si="99"/>
        <v>+</v>
      </c>
      <c r="BC413" s="2"/>
      <c r="BD413" s="8" t="str">
        <f t="shared" si="100"/>
        <v>+</v>
      </c>
      <c r="BE413" s="2">
        <v>71.099999999999994</v>
      </c>
      <c r="BF413" s="8" t="str">
        <f t="shared" si="105"/>
        <v>+</v>
      </c>
      <c r="BG413" s="2"/>
      <c r="BH413" s="8" t="str">
        <f t="shared" si="101"/>
        <v>+</v>
      </c>
      <c r="BI413" s="2"/>
      <c r="BJ413" s="8" t="str">
        <f t="shared" si="102"/>
        <v>+</v>
      </c>
      <c r="BK413" s="2"/>
      <c r="BL413" s="8" t="str">
        <f t="shared" si="103"/>
        <v>+</v>
      </c>
    </row>
    <row r="414" spans="1:64">
      <c r="A414" s="1">
        <v>30803</v>
      </c>
      <c r="B414">
        <v>61</v>
      </c>
      <c r="C414">
        <v>63.2</v>
      </c>
      <c r="D414">
        <v>56.8</v>
      </c>
      <c r="E414">
        <v>62.3</v>
      </c>
      <c r="F414">
        <v>64.599999999999994</v>
      </c>
      <c r="G414">
        <v>54</v>
      </c>
      <c r="I414">
        <v>71.900000000000006</v>
      </c>
      <c r="W414" s="1">
        <v>30803</v>
      </c>
      <c r="X414">
        <v>150.550003</v>
      </c>
      <c r="Y414" s="4">
        <f t="shared" si="104"/>
        <v>-5.935644999644267E-2</v>
      </c>
      <c r="Z414" s="4">
        <f t="shared" si="106"/>
        <v>-7.2910869344854093E-2</v>
      </c>
      <c r="AA414">
        <v>61</v>
      </c>
      <c r="AB414">
        <f t="shared" si="107"/>
        <v>54.2</v>
      </c>
      <c r="AP414" s="3">
        <v>30773</v>
      </c>
      <c r="AQ414" s="2">
        <v>58.9</v>
      </c>
      <c r="AR414" s="2" t="str">
        <f t="shared" si="94"/>
        <v>-</v>
      </c>
      <c r="AS414" s="2">
        <v>60.9</v>
      </c>
      <c r="AT414" s="8" t="str">
        <f t="shared" si="95"/>
        <v>-</v>
      </c>
      <c r="AU414" s="2">
        <v>61.5</v>
      </c>
      <c r="AV414" s="8" t="str">
        <f t="shared" si="96"/>
        <v>-</v>
      </c>
      <c r="AW414" s="2">
        <v>51.1</v>
      </c>
      <c r="AX414" s="8" t="str">
        <f t="shared" si="97"/>
        <v>-</v>
      </c>
      <c r="AY414" s="2">
        <v>65.5</v>
      </c>
      <c r="AZ414" s="8" t="str">
        <f t="shared" si="98"/>
        <v>+</v>
      </c>
      <c r="BA414" s="2">
        <v>52.7</v>
      </c>
      <c r="BB414" s="8" t="str">
        <f t="shared" si="99"/>
        <v>+</v>
      </c>
      <c r="BC414" s="2"/>
      <c r="BD414" s="8" t="str">
        <f t="shared" si="100"/>
        <v>+</v>
      </c>
      <c r="BE414" s="2">
        <v>73.599999999999994</v>
      </c>
      <c r="BF414" s="8" t="str">
        <f t="shared" si="105"/>
        <v>+</v>
      </c>
      <c r="BG414" s="2"/>
      <c r="BH414" s="8" t="str">
        <f t="shared" si="101"/>
        <v>+</v>
      </c>
      <c r="BI414" s="2"/>
      <c r="BJ414" s="8" t="str">
        <f t="shared" si="102"/>
        <v>+</v>
      </c>
      <c r="BK414" s="2"/>
      <c r="BL414" s="8" t="str">
        <f t="shared" si="103"/>
        <v>+</v>
      </c>
    </row>
    <row r="415" spans="1:64">
      <c r="A415" s="1">
        <v>30834</v>
      </c>
      <c r="B415">
        <v>58.6</v>
      </c>
      <c r="C415">
        <v>59.2</v>
      </c>
      <c r="D415">
        <v>56.2</v>
      </c>
      <c r="E415">
        <v>59.3</v>
      </c>
      <c r="F415">
        <v>62.5</v>
      </c>
      <c r="G415">
        <v>54.1</v>
      </c>
      <c r="I415">
        <v>62.5</v>
      </c>
      <c r="W415" s="1">
        <v>30834</v>
      </c>
      <c r="X415">
        <v>153.179993</v>
      </c>
      <c r="Y415" s="4">
        <f t="shared" si="104"/>
        <v>1.7469212537976449E-2</v>
      </c>
      <c r="Z415" s="4">
        <f t="shared" si="106"/>
        <v>-8.6256299727131308E-2</v>
      </c>
      <c r="AA415">
        <v>58.6</v>
      </c>
      <c r="AB415">
        <f t="shared" si="107"/>
        <v>56.1</v>
      </c>
      <c r="AP415" s="3">
        <v>30803</v>
      </c>
      <c r="AQ415" s="2">
        <v>61</v>
      </c>
      <c r="AR415" s="2" t="str">
        <f t="shared" si="94"/>
        <v>+</v>
      </c>
      <c r="AS415" s="2">
        <v>63.2</v>
      </c>
      <c r="AT415" s="8" t="str">
        <f t="shared" si="95"/>
        <v>+</v>
      </c>
      <c r="AU415" s="2">
        <v>62.3</v>
      </c>
      <c r="AV415" s="8" t="str">
        <f t="shared" si="96"/>
        <v>+</v>
      </c>
      <c r="AW415" s="2">
        <v>56.8</v>
      </c>
      <c r="AX415" s="8" t="str">
        <f t="shared" si="97"/>
        <v>+</v>
      </c>
      <c r="AY415" s="2">
        <v>64.599999999999994</v>
      </c>
      <c r="AZ415" s="8" t="str">
        <f t="shared" si="98"/>
        <v>-</v>
      </c>
      <c r="BA415" s="2">
        <v>54</v>
      </c>
      <c r="BB415" s="8" t="str">
        <f t="shared" si="99"/>
        <v>+</v>
      </c>
      <c r="BC415" s="2"/>
      <c r="BD415" s="8" t="str">
        <f t="shared" si="100"/>
        <v>+</v>
      </c>
      <c r="BE415" s="2">
        <v>71.900000000000006</v>
      </c>
      <c r="BF415" s="8" t="str">
        <f t="shared" si="105"/>
        <v>-</v>
      </c>
      <c r="BG415" s="2"/>
      <c r="BH415" s="8" t="str">
        <f t="shared" si="101"/>
        <v>+</v>
      </c>
      <c r="BI415" s="2"/>
      <c r="BJ415" s="8" t="str">
        <f t="shared" si="102"/>
        <v>+</v>
      </c>
      <c r="BK415" s="2"/>
      <c r="BL415" s="8" t="str">
        <f t="shared" si="103"/>
        <v>+</v>
      </c>
    </row>
    <row r="416" spans="1:64">
      <c r="A416" s="1">
        <v>30864</v>
      </c>
      <c r="B416">
        <v>58.1</v>
      </c>
      <c r="C416">
        <v>60.5</v>
      </c>
      <c r="D416">
        <v>51.7</v>
      </c>
      <c r="E416">
        <v>62.3</v>
      </c>
      <c r="F416">
        <v>56.2</v>
      </c>
      <c r="G416">
        <v>56.3</v>
      </c>
      <c r="I416">
        <v>64</v>
      </c>
      <c r="W416" s="1">
        <v>30864</v>
      </c>
      <c r="X416">
        <v>150.66000399999999</v>
      </c>
      <c r="Y416" s="4">
        <f t="shared" si="104"/>
        <v>-1.6451162783380005E-2</v>
      </c>
      <c r="Z416" s="4">
        <f t="shared" si="106"/>
        <v>-7.3203704148667739E-2</v>
      </c>
      <c r="AA416">
        <v>58.1</v>
      </c>
      <c r="AB416">
        <f t="shared" si="107"/>
        <v>57.5</v>
      </c>
      <c r="AP416" s="3">
        <v>30834</v>
      </c>
      <c r="AQ416" s="2">
        <v>58.6</v>
      </c>
      <c r="AR416" s="2" t="str">
        <f t="shared" si="94"/>
        <v>-</v>
      </c>
      <c r="AS416" s="2">
        <v>59.2</v>
      </c>
      <c r="AT416" s="8" t="str">
        <f t="shared" si="95"/>
        <v>-</v>
      </c>
      <c r="AU416" s="2">
        <v>59.3</v>
      </c>
      <c r="AV416" s="8" t="str">
        <f t="shared" si="96"/>
        <v>-</v>
      </c>
      <c r="AW416" s="2">
        <v>56.2</v>
      </c>
      <c r="AX416" s="8" t="str">
        <f t="shared" si="97"/>
        <v>-</v>
      </c>
      <c r="AY416" s="2">
        <v>62.5</v>
      </c>
      <c r="AZ416" s="8" t="str">
        <f t="shared" si="98"/>
        <v>-</v>
      </c>
      <c r="BA416" s="2">
        <v>54.1</v>
      </c>
      <c r="BB416" s="8" t="str">
        <f t="shared" si="99"/>
        <v>+</v>
      </c>
      <c r="BC416" s="2"/>
      <c r="BD416" s="8" t="str">
        <f t="shared" si="100"/>
        <v>+</v>
      </c>
      <c r="BE416" s="2">
        <v>62.5</v>
      </c>
      <c r="BF416" s="8" t="str">
        <f t="shared" si="105"/>
        <v>-</v>
      </c>
      <c r="BG416" s="2"/>
      <c r="BH416" s="8" t="str">
        <f t="shared" si="101"/>
        <v>+</v>
      </c>
      <c r="BI416" s="2"/>
      <c r="BJ416" s="8" t="str">
        <f t="shared" si="102"/>
        <v>+</v>
      </c>
      <c r="BK416" s="2"/>
      <c r="BL416" s="8" t="str">
        <f t="shared" si="103"/>
        <v>+</v>
      </c>
    </row>
    <row r="417" spans="1:64">
      <c r="A417" s="1">
        <v>30895</v>
      </c>
      <c r="B417">
        <v>56.1</v>
      </c>
      <c r="C417">
        <v>54.1</v>
      </c>
      <c r="D417">
        <v>53.5</v>
      </c>
      <c r="E417">
        <v>58.2</v>
      </c>
      <c r="F417">
        <v>59.1</v>
      </c>
      <c r="G417">
        <v>57.8</v>
      </c>
      <c r="I417">
        <v>61.3</v>
      </c>
      <c r="W417" s="1">
        <v>30895</v>
      </c>
      <c r="X417">
        <v>166.679993</v>
      </c>
      <c r="Y417" s="4">
        <f t="shared" si="104"/>
        <v>0.10633206275502297</v>
      </c>
      <c r="Z417" s="4">
        <f t="shared" si="106"/>
        <v>1.3868607562114655E-2</v>
      </c>
      <c r="AA417">
        <v>56.1</v>
      </c>
      <c r="AB417">
        <f t="shared" si="107"/>
        <v>63.6</v>
      </c>
      <c r="AP417" s="3">
        <v>30864</v>
      </c>
      <c r="AQ417" s="2">
        <v>58.1</v>
      </c>
      <c r="AR417" s="2" t="str">
        <f t="shared" si="94"/>
        <v>-</v>
      </c>
      <c r="AS417" s="2">
        <v>60.5</v>
      </c>
      <c r="AT417" s="8" t="str">
        <f t="shared" si="95"/>
        <v>+</v>
      </c>
      <c r="AU417" s="2">
        <v>62.3</v>
      </c>
      <c r="AV417" s="8" t="str">
        <f t="shared" si="96"/>
        <v>+</v>
      </c>
      <c r="AW417" s="2">
        <v>51.7</v>
      </c>
      <c r="AX417" s="8" t="str">
        <f t="shared" si="97"/>
        <v>-</v>
      </c>
      <c r="AY417" s="2">
        <v>56.2</v>
      </c>
      <c r="AZ417" s="8" t="str">
        <f t="shared" si="98"/>
        <v>-</v>
      </c>
      <c r="BA417" s="2">
        <v>56.3</v>
      </c>
      <c r="BB417" s="8" t="str">
        <f t="shared" si="99"/>
        <v>+</v>
      </c>
      <c r="BC417" s="2"/>
      <c r="BD417" s="8" t="str">
        <f t="shared" si="100"/>
        <v>+</v>
      </c>
      <c r="BE417" s="2">
        <v>64</v>
      </c>
      <c r="BF417" s="8" t="str">
        <f t="shared" si="105"/>
        <v>+</v>
      </c>
      <c r="BG417" s="2"/>
      <c r="BH417" s="8" t="str">
        <f t="shared" si="101"/>
        <v>+</v>
      </c>
      <c r="BI417" s="2"/>
      <c r="BJ417" s="8" t="str">
        <f t="shared" si="102"/>
        <v>+</v>
      </c>
      <c r="BK417" s="2"/>
      <c r="BL417" s="8" t="str">
        <f t="shared" si="103"/>
        <v>+</v>
      </c>
    </row>
    <row r="418" spans="1:64">
      <c r="A418" s="1">
        <v>30926</v>
      </c>
      <c r="B418">
        <v>53</v>
      </c>
      <c r="C418">
        <v>54</v>
      </c>
      <c r="D418">
        <v>50.4</v>
      </c>
      <c r="E418">
        <v>54.3</v>
      </c>
      <c r="F418">
        <v>55.2</v>
      </c>
      <c r="G418">
        <v>49.1</v>
      </c>
      <c r="I418">
        <v>58.7</v>
      </c>
      <c r="W418" s="1">
        <v>30926</v>
      </c>
      <c r="X418">
        <v>166.10000600000001</v>
      </c>
      <c r="Y418" s="4">
        <f t="shared" si="104"/>
        <v>-3.4796437746429979E-3</v>
      </c>
      <c r="Z418" s="4">
        <f t="shared" si="106"/>
        <v>1.8064068606924103E-4</v>
      </c>
      <c r="AA418">
        <v>53</v>
      </c>
      <c r="AB418">
        <f t="shared" si="107"/>
        <v>63.1</v>
      </c>
      <c r="AP418" s="3">
        <v>30895</v>
      </c>
      <c r="AQ418" s="2">
        <v>56.1</v>
      </c>
      <c r="AR418" s="2" t="str">
        <f t="shared" si="94"/>
        <v>-</v>
      </c>
      <c r="AS418" s="2">
        <v>54.1</v>
      </c>
      <c r="AT418" s="8" t="str">
        <f t="shared" si="95"/>
        <v>-</v>
      </c>
      <c r="AU418" s="2">
        <v>58.2</v>
      </c>
      <c r="AV418" s="8" t="str">
        <f t="shared" si="96"/>
        <v>-</v>
      </c>
      <c r="AW418" s="2">
        <v>53.5</v>
      </c>
      <c r="AX418" s="8" t="str">
        <f t="shared" si="97"/>
        <v>+</v>
      </c>
      <c r="AY418" s="2">
        <v>59.1</v>
      </c>
      <c r="AZ418" s="8" t="str">
        <f t="shared" si="98"/>
        <v>+</v>
      </c>
      <c r="BA418" s="2">
        <v>57.8</v>
      </c>
      <c r="BB418" s="8" t="str">
        <f t="shared" si="99"/>
        <v>+</v>
      </c>
      <c r="BC418" s="2"/>
      <c r="BD418" s="8" t="str">
        <f t="shared" si="100"/>
        <v>+</v>
      </c>
      <c r="BE418" s="2">
        <v>61.3</v>
      </c>
      <c r="BF418" s="8" t="str">
        <f t="shared" si="105"/>
        <v>-</v>
      </c>
      <c r="BG418" s="2"/>
      <c r="BH418" s="8" t="str">
        <f t="shared" si="101"/>
        <v>+</v>
      </c>
      <c r="BI418" s="2"/>
      <c r="BJ418" s="8" t="str">
        <f t="shared" si="102"/>
        <v>+</v>
      </c>
      <c r="BK418" s="2"/>
      <c r="BL418" s="8" t="str">
        <f t="shared" si="103"/>
        <v>+</v>
      </c>
    </row>
    <row r="419" spans="1:64">
      <c r="A419" s="1">
        <v>30956</v>
      </c>
      <c r="B419">
        <v>50</v>
      </c>
      <c r="C419">
        <v>47.2</v>
      </c>
      <c r="D419">
        <v>51.1</v>
      </c>
      <c r="E419">
        <v>52.2</v>
      </c>
      <c r="F419">
        <v>52.8</v>
      </c>
      <c r="G419">
        <v>46.8</v>
      </c>
      <c r="I419">
        <v>53.4</v>
      </c>
      <c r="W419" s="1">
        <v>30956</v>
      </c>
      <c r="X419">
        <v>166.08999600000001</v>
      </c>
      <c r="Y419" s="4">
        <f t="shared" si="104"/>
        <v>-6.0264898485278072E-5</v>
      </c>
      <c r="Z419" s="4">
        <f t="shared" si="106"/>
        <v>1.5530375746920712E-2</v>
      </c>
      <c r="AA419">
        <v>50</v>
      </c>
      <c r="AB419">
        <f t="shared" si="107"/>
        <v>62.5</v>
      </c>
      <c r="AP419" s="3">
        <v>30926</v>
      </c>
      <c r="AQ419" s="2">
        <v>53</v>
      </c>
      <c r="AR419" s="2" t="str">
        <f t="shared" si="94"/>
        <v>-</v>
      </c>
      <c r="AS419" s="2">
        <v>54</v>
      </c>
      <c r="AT419" s="8" t="str">
        <f t="shared" si="95"/>
        <v>-</v>
      </c>
      <c r="AU419" s="2">
        <v>54.3</v>
      </c>
      <c r="AV419" s="8" t="str">
        <f t="shared" si="96"/>
        <v>-</v>
      </c>
      <c r="AW419" s="2">
        <v>50.4</v>
      </c>
      <c r="AX419" s="8" t="str">
        <f t="shared" si="97"/>
        <v>-</v>
      </c>
      <c r="AY419" s="2">
        <v>55.2</v>
      </c>
      <c r="AZ419" s="8" t="str">
        <f t="shared" si="98"/>
        <v>-</v>
      </c>
      <c r="BA419" s="2">
        <v>49.1</v>
      </c>
      <c r="BB419" s="8" t="str">
        <f t="shared" si="99"/>
        <v>-</v>
      </c>
      <c r="BC419" s="2"/>
      <c r="BD419" s="8" t="str">
        <f t="shared" si="100"/>
        <v>+</v>
      </c>
      <c r="BE419" s="2">
        <v>58.7</v>
      </c>
      <c r="BF419" s="8" t="str">
        <f t="shared" si="105"/>
        <v>-</v>
      </c>
      <c r="BG419" s="2"/>
      <c r="BH419" s="8" t="str">
        <f t="shared" si="101"/>
        <v>+</v>
      </c>
      <c r="BI419" s="2"/>
      <c r="BJ419" s="8" t="str">
        <f t="shared" si="102"/>
        <v>+</v>
      </c>
      <c r="BK419" s="2"/>
      <c r="BL419" s="8" t="str">
        <f t="shared" si="103"/>
        <v>+</v>
      </c>
    </row>
    <row r="420" spans="1:64">
      <c r="A420" s="1">
        <v>30987</v>
      </c>
      <c r="B420">
        <v>50.8</v>
      </c>
      <c r="C420">
        <v>52.9</v>
      </c>
      <c r="D420">
        <v>48.1</v>
      </c>
      <c r="E420">
        <v>53.4</v>
      </c>
      <c r="F420">
        <v>49.3</v>
      </c>
      <c r="G420">
        <v>45.6</v>
      </c>
      <c r="I420">
        <v>51.7</v>
      </c>
      <c r="W420" s="1">
        <v>30987</v>
      </c>
      <c r="X420">
        <v>163.58000200000001</v>
      </c>
      <c r="Y420" s="4">
        <f t="shared" si="104"/>
        <v>-1.5112252757234131E-2</v>
      </c>
      <c r="Z420" s="4">
        <f t="shared" si="106"/>
        <v>-1.694706791876438E-2</v>
      </c>
      <c r="AA420">
        <v>50.8</v>
      </c>
      <c r="AB420">
        <f t="shared" si="107"/>
        <v>64.400000000000006</v>
      </c>
      <c r="AP420" s="3">
        <v>30956</v>
      </c>
      <c r="AQ420" s="2">
        <v>50</v>
      </c>
      <c r="AR420" s="2" t="str">
        <f t="shared" si="94"/>
        <v>-</v>
      </c>
      <c r="AS420" s="2">
        <v>47.2</v>
      </c>
      <c r="AT420" s="8" t="str">
        <f t="shared" si="95"/>
        <v>-</v>
      </c>
      <c r="AU420" s="2">
        <v>52.2</v>
      </c>
      <c r="AV420" s="8" t="str">
        <f t="shared" si="96"/>
        <v>-</v>
      </c>
      <c r="AW420" s="2">
        <v>51.1</v>
      </c>
      <c r="AX420" s="8" t="str">
        <f t="shared" si="97"/>
        <v>+</v>
      </c>
      <c r="AY420" s="2">
        <v>52.8</v>
      </c>
      <c r="AZ420" s="8" t="str">
        <f t="shared" si="98"/>
        <v>-</v>
      </c>
      <c r="BA420" s="2">
        <v>46.8</v>
      </c>
      <c r="BB420" s="8" t="str">
        <f t="shared" si="99"/>
        <v>-</v>
      </c>
      <c r="BC420" s="2"/>
      <c r="BD420" s="8" t="str">
        <f t="shared" si="100"/>
        <v>+</v>
      </c>
      <c r="BE420" s="2">
        <v>53.4</v>
      </c>
      <c r="BF420" s="8" t="str">
        <f t="shared" si="105"/>
        <v>-</v>
      </c>
      <c r="BG420" s="2"/>
      <c r="BH420" s="8" t="str">
        <f t="shared" si="101"/>
        <v>+</v>
      </c>
      <c r="BI420" s="2"/>
      <c r="BJ420" s="8" t="str">
        <f t="shared" si="102"/>
        <v>+</v>
      </c>
      <c r="BK420" s="2"/>
      <c r="BL420" s="8" t="str">
        <f t="shared" si="103"/>
        <v>+</v>
      </c>
    </row>
    <row r="421" spans="1:64">
      <c r="A421" s="1">
        <v>31017</v>
      </c>
      <c r="B421">
        <v>50.3</v>
      </c>
      <c r="C421">
        <v>52</v>
      </c>
      <c r="D421">
        <v>47.4</v>
      </c>
      <c r="E421">
        <v>53.8</v>
      </c>
      <c r="F421">
        <v>48.1</v>
      </c>
      <c r="G421">
        <v>45.7</v>
      </c>
      <c r="I421">
        <v>55</v>
      </c>
      <c r="W421" s="1">
        <v>31017</v>
      </c>
      <c r="X421">
        <v>167.240005</v>
      </c>
      <c r="Y421" s="4">
        <f t="shared" si="104"/>
        <v>2.237439146137184E-2</v>
      </c>
      <c r="Z421" s="4">
        <f t="shared" si="106"/>
        <v>1.400601526733831E-2</v>
      </c>
      <c r="AA421">
        <v>50.3</v>
      </c>
      <c r="AB421">
        <f t="shared" si="107"/>
        <v>66</v>
      </c>
      <c r="AP421" s="3">
        <v>30987</v>
      </c>
      <c r="AQ421" s="2">
        <v>50.8</v>
      </c>
      <c r="AR421" s="2" t="str">
        <f t="shared" si="94"/>
        <v>+</v>
      </c>
      <c r="AS421" s="2">
        <v>52.9</v>
      </c>
      <c r="AT421" s="8" t="str">
        <f t="shared" si="95"/>
        <v>+</v>
      </c>
      <c r="AU421" s="2">
        <v>53.4</v>
      </c>
      <c r="AV421" s="8" t="str">
        <f t="shared" si="96"/>
        <v>+</v>
      </c>
      <c r="AW421" s="2">
        <v>48.1</v>
      </c>
      <c r="AX421" s="8" t="str">
        <f t="shared" si="97"/>
        <v>-</v>
      </c>
      <c r="AY421" s="2">
        <v>49.3</v>
      </c>
      <c r="AZ421" s="8" t="str">
        <f t="shared" si="98"/>
        <v>-</v>
      </c>
      <c r="BA421" s="2">
        <v>45.6</v>
      </c>
      <c r="BB421" s="8" t="str">
        <f t="shared" si="99"/>
        <v>-</v>
      </c>
      <c r="BC421" s="2"/>
      <c r="BD421" s="8" t="str">
        <f t="shared" si="100"/>
        <v>+</v>
      </c>
      <c r="BE421" s="2">
        <v>51.7</v>
      </c>
      <c r="BF421" s="8" t="str">
        <f t="shared" si="105"/>
        <v>-</v>
      </c>
      <c r="BG421" s="2"/>
      <c r="BH421" s="8" t="str">
        <f t="shared" si="101"/>
        <v>+</v>
      </c>
      <c r="BI421" s="2"/>
      <c r="BJ421" s="8" t="str">
        <f t="shared" si="102"/>
        <v>+</v>
      </c>
      <c r="BK421" s="2"/>
      <c r="BL421" s="8" t="str">
        <f t="shared" si="103"/>
        <v>+</v>
      </c>
    </row>
    <row r="422" spans="1:64">
      <c r="A422" s="1">
        <v>31048</v>
      </c>
      <c r="B422">
        <v>50.6</v>
      </c>
      <c r="C422">
        <v>52.8</v>
      </c>
      <c r="D422">
        <v>45.2</v>
      </c>
      <c r="E422">
        <v>54.9</v>
      </c>
      <c r="F422">
        <v>48.8</v>
      </c>
      <c r="G422">
        <v>47.3</v>
      </c>
      <c r="I422">
        <v>50.7</v>
      </c>
      <c r="W422" s="1">
        <v>31048</v>
      </c>
      <c r="X422">
        <v>179.63000500000001</v>
      </c>
      <c r="Y422" s="4">
        <f t="shared" si="104"/>
        <v>7.4085144879061773E-2</v>
      </c>
      <c r="Z422" s="4">
        <f t="shared" si="106"/>
        <v>9.9259534930309562E-2</v>
      </c>
      <c r="AA422">
        <v>50.6</v>
      </c>
      <c r="AB422">
        <f t="shared" si="107"/>
        <v>69.900000000000006</v>
      </c>
      <c r="AP422" s="3">
        <v>31017</v>
      </c>
      <c r="AQ422" s="2">
        <v>50.3</v>
      </c>
      <c r="AR422" s="2" t="str">
        <f t="shared" ref="AR422:AR485" si="108">IF(OR(AQ422&gt;AQ421,AQ422=AQ421),"+","-")</f>
        <v>-</v>
      </c>
      <c r="AS422" s="2">
        <v>52</v>
      </c>
      <c r="AT422" s="8" t="str">
        <f t="shared" si="95"/>
        <v>-</v>
      </c>
      <c r="AU422" s="2">
        <v>53.8</v>
      </c>
      <c r="AV422" s="8" t="str">
        <f t="shared" si="96"/>
        <v>+</v>
      </c>
      <c r="AW422" s="2">
        <v>47.4</v>
      </c>
      <c r="AX422" s="8" t="str">
        <f t="shared" si="97"/>
        <v>-</v>
      </c>
      <c r="AY422" s="2">
        <v>48.1</v>
      </c>
      <c r="AZ422" s="8" t="str">
        <f t="shared" si="98"/>
        <v>-</v>
      </c>
      <c r="BA422" s="2">
        <v>45.7</v>
      </c>
      <c r="BB422" s="8" t="str">
        <f t="shared" si="99"/>
        <v>+</v>
      </c>
      <c r="BC422" s="2"/>
      <c r="BD422" s="8" t="str">
        <f t="shared" si="100"/>
        <v>+</v>
      </c>
      <c r="BE422" s="2">
        <v>55</v>
      </c>
      <c r="BF422" s="8" t="str">
        <f t="shared" si="105"/>
        <v>+</v>
      </c>
      <c r="BG422" s="2"/>
      <c r="BH422" s="8" t="str">
        <f t="shared" si="101"/>
        <v>+</v>
      </c>
      <c r="BI422" s="2"/>
      <c r="BJ422" s="8" t="str">
        <f t="shared" si="102"/>
        <v>+</v>
      </c>
      <c r="BK422" s="2"/>
      <c r="BL422" s="8" t="str">
        <f t="shared" si="103"/>
        <v>+</v>
      </c>
    </row>
    <row r="423" spans="1:64">
      <c r="A423" s="1">
        <v>31079</v>
      </c>
      <c r="B423">
        <v>50.3</v>
      </c>
      <c r="C423">
        <v>51.8</v>
      </c>
      <c r="D423">
        <v>44.4</v>
      </c>
      <c r="E423">
        <v>54.9</v>
      </c>
      <c r="F423">
        <v>50.4</v>
      </c>
      <c r="G423">
        <v>45.9</v>
      </c>
      <c r="I423">
        <v>47.6</v>
      </c>
      <c r="W423" s="1">
        <v>31079</v>
      </c>
      <c r="X423">
        <v>181.179993</v>
      </c>
      <c r="Y423" s="4">
        <f t="shared" si="104"/>
        <v>8.6287811437737519E-3</v>
      </c>
      <c r="Z423" s="4">
        <f t="shared" si="106"/>
        <v>0.15357185347729335</v>
      </c>
      <c r="AA423">
        <v>50.3</v>
      </c>
      <c r="AB423">
        <f t="shared" si="107"/>
        <v>60.5</v>
      </c>
      <c r="AP423" s="3">
        <v>31048</v>
      </c>
      <c r="AQ423" s="2">
        <v>50.6</v>
      </c>
      <c r="AR423" s="2" t="str">
        <f t="shared" si="108"/>
        <v>+</v>
      </c>
      <c r="AS423" s="2">
        <v>52.8</v>
      </c>
      <c r="AT423" s="8" t="str">
        <f t="shared" ref="AT423:AT486" si="109">IF(OR(AS423&gt;AS422,AS423=AS422),"+","-")</f>
        <v>+</v>
      </c>
      <c r="AU423" s="2">
        <v>54.9</v>
      </c>
      <c r="AV423" s="8" t="str">
        <f t="shared" ref="AV423:AV486" si="110">IF(OR(AU423&gt;AU422,AU423=AU422),"+","-")</f>
        <v>+</v>
      </c>
      <c r="AW423" s="2">
        <v>45.2</v>
      </c>
      <c r="AX423" s="8" t="str">
        <f t="shared" ref="AX423:AX486" si="111">IF(OR(AW423&gt;AW422,AW423=AW422),"+","-")</f>
        <v>-</v>
      </c>
      <c r="AY423" s="2">
        <v>48.8</v>
      </c>
      <c r="AZ423" s="8" t="str">
        <f t="shared" ref="AZ423:AZ486" si="112">IF(OR(AY423&gt;AY422,AY423=AY422),"+","-")</f>
        <v>+</v>
      </c>
      <c r="BA423" s="2">
        <v>47.3</v>
      </c>
      <c r="BB423" s="8" t="str">
        <f t="shared" ref="BB423:BB486" si="113">IF(OR(BA423&gt;BA422,BA423=BA422),"+","-")</f>
        <v>+</v>
      </c>
      <c r="BC423" s="2"/>
      <c r="BD423" s="8" t="str">
        <f t="shared" ref="BD423:BD486" si="114">IF(OR(BC423&gt;BC422,BC423=BC422),"+","-")</f>
        <v>+</v>
      </c>
      <c r="BE423" s="2">
        <v>50.7</v>
      </c>
      <c r="BF423" s="8" t="str">
        <f t="shared" si="105"/>
        <v>-</v>
      </c>
      <c r="BG423" s="2"/>
      <c r="BH423" s="8" t="str">
        <f t="shared" ref="BH423:BH486" si="115">IF(OR(BG423&gt;BG422,BG423=BG422),"+","-")</f>
        <v>+</v>
      </c>
      <c r="BI423" s="2"/>
      <c r="BJ423" s="8" t="str">
        <f t="shared" ref="BJ423:BJ486" si="116">IF(OR(BI423&gt;BI422,BI423=BI422),"+","-")</f>
        <v>+</v>
      </c>
      <c r="BK423" s="2"/>
      <c r="BL423" s="8" t="str">
        <f t="shared" ref="BL423:BL486" si="117">IF(OR(BK423&gt;BK422,BK423=BK422),"+","-")</f>
        <v>+</v>
      </c>
    </row>
    <row r="424" spans="1:64">
      <c r="A424" s="1">
        <v>31107</v>
      </c>
      <c r="B424">
        <v>49.9</v>
      </c>
      <c r="C424">
        <v>51.8</v>
      </c>
      <c r="D424">
        <v>45.2</v>
      </c>
      <c r="E424">
        <v>54.2</v>
      </c>
      <c r="F424">
        <v>48.6</v>
      </c>
      <c r="G424">
        <v>44.8</v>
      </c>
      <c r="I424">
        <v>44.8</v>
      </c>
      <c r="W424" s="1">
        <v>31107</v>
      </c>
      <c r="X424">
        <v>180.66000399999999</v>
      </c>
      <c r="Y424" s="4">
        <f t="shared" si="104"/>
        <v>-2.8700133573799709E-3</v>
      </c>
      <c r="Z424" s="4">
        <f t="shared" si="106"/>
        <v>0.13494165061308924</v>
      </c>
      <c r="AA424">
        <v>49.9</v>
      </c>
      <c r="AB424">
        <f t="shared" si="107"/>
        <v>61.3</v>
      </c>
      <c r="AP424" s="3">
        <v>31079</v>
      </c>
      <c r="AQ424" s="2">
        <v>50.3</v>
      </c>
      <c r="AR424" s="2" t="str">
        <f t="shared" si="108"/>
        <v>-</v>
      </c>
      <c r="AS424" s="2">
        <v>51.8</v>
      </c>
      <c r="AT424" s="8" t="str">
        <f t="shared" si="109"/>
        <v>-</v>
      </c>
      <c r="AU424" s="2">
        <v>54.9</v>
      </c>
      <c r="AV424" s="8" t="str">
        <f t="shared" si="110"/>
        <v>+</v>
      </c>
      <c r="AW424" s="2">
        <v>44.4</v>
      </c>
      <c r="AX424" s="8" t="str">
        <f t="shared" si="111"/>
        <v>-</v>
      </c>
      <c r="AY424" s="2">
        <v>50.4</v>
      </c>
      <c r="AZ424" s="8" t="str">
        <f t="shared" si="112"/>
        <v>+</v>
      </c>
      <c r="BA424" s="2">
        <v>45.9</v>
      </c>
      <c r="BB424" s="8" t="str">
        <f t="shared" si="113"/>
        <v>-</v>
      </c>
      <c r="BC424" s="2"/>
      <c r="BD424" s="8" t="str">
        <f t="shared" si="114"/>
        <v>+</v>
      </c>
      <c r="BE424" s="2">
        <v>47.6</v>
      </c>
      <c r="BF424" s="8" t="str">
        <f t="shared" si="105"/>
        <v>-</v>
      </c>
      <c r="BG424" s="2"/>
      <c r="BH424" s="8" t="str">
        <f t="shared" si="115"/>
        <v>+</v>
      </c>
      <c r="BI424" s="2"/>
      <c r="BJ424" s="8" t="str">
        <f t="shared" si="116"/>
        <v>+</v>
      </c>
      <c r="BK424" s="2"/>
      <c r="BL424" s="8" t="str">
        <f t="shared" si="117"/>
        <v>+</v>
      </c>
    </row>
    <row r="425" spans="1:64">
      <c r="A425" s="1">
        <v>31138</v>
      </c>
      <c r="B425">
        <v>47.8</v>
      </c>
      <c r="C425">
        <v>49.1</v>
      </c>
      <c r="D425">
        <v>44.2</v>
      </c>
      <c r="E425">
        <v>51.2</v>
      </c>
      <c r="F425">
        <v>46.7</v>
      </c>
      <c r="G425">
        <v>44</v>
      </c>
      <c r="I425">
        <v>46.2</v>
      </c>
      <c r="W425" s="1">
        <v>31138</v>
      </c>
      <c r="X425">
        <v>179.83000200000001</v>
      </c>
      <c r="Y425" s="4">
        <f t="shared" si="104"/>
        <v>-4.5942764398476327E-3</v>
      </c>
      <c r="Z425" s="4">
        <f t="shared" si="106"/>
        <v>0.12358637069191435</v>
      </c>
      <c r="AA425">
        <v>47.8</v>
      </c>
      <c r="AB425">
        <f t="shared" si="107"/>
        <v>58.9</v>
      </c>
      <c r="AP425" s="3">
        <v>31107</v>
      </c>
      <c r="AQ425" s="2">
        <v>49.9</v>
      </c>
      <c r="AR425" s="2" t="str">
        <f t="shared" si="108"/>
        <v>-</v>
      </c>
      <c r="AS425" s="2">
        <v>51.8</v>
      </c>
      <c r="AT425" s="8" t="str">
        <f t="shared" si="109"/>
        <v>+</v>
      </c>
      <c r="AU425" s="2">
        <v>54.2</v>
      </c>
      <c r="AV425" s="8" t="str">
        <f t="shared" si="110"/>
        <v>-</v>
      </c>
      <c r="AW425" s="2">
        <v>45.2</v>
      </c>
      <c r="AX425" s="8" t="str">
        <f t="shared" si="111"/>
        <v>+</v>
      </c>
      <c r="AY425" s="2">
        <v>48.6</v>
      </c>
      <c r="AZ425" s="8" t="str">
        <f t="shared" si="112"/>
        <v>-</v>
      </c>
      <c r="BA425" s="2">
        <v>44.8</v>
      </c>
      <c r="BB425" s="8" t="str">
        <f t="shared" si="113"/>
        <v>-</v>
      </c>
      <c r="BC425" s="2"/>
      <c r="BD425" s="8" t="str">
        <f t="shared" si="114"/>
        <v>+</v>
      </c>
      <c r="BE425" s="2">
        <v>44.8</v>
      </c>
      <c r="BF425" s="8" t="str">
        <f t="shared" si="105"/>
        <v>-</v>
      </c>
      <c r="BG425" s="2"/>
      <c r="BH425" s="8" t="str">
        <f t="shared" si="115"/>
        <v>+</v>
      </c>
      <c r="BI425" s="2"/>
      <c r="BJ425" s="8" t="str">
        <f t="shared" si="116"/>
        <v>+</v>
      </c>
      <c r="BK425" s="2"/>
      <c r="BL425" s="8" t="str">
        <f t="shared" si="117"/>
        <v>+</v>
      </c>
    </row>
    <row r="426" spans="1:64">
      <c r="A426" s="1">
        <v>31168</v>
      </c>
      <c r="B426">
        <v>48.2</v>
      </c>
      <c r="C426">
        <v>51.3</v>
      </c>
      <c r="D426">
        <v>43.2</v>
      </c>
      <c r="E426">
        <v>51.6</v>
      </c>
      <c r="F426">
        <v>46.1</v>
      </c>
      <c r="G426">
        <v>43.8</v>
      </c>
      <c r="I426">
        <v>44.1</v>
      </c>
      <c r="W426" s="1">
        <v>31168</v>
      </c>
      <c r="X426">
        <v>189.550003</v>
      </c>
      <c r="Y426" s="4">
        <f t="shared" si="104"/>
        <v>5.4051053171872823E-2</v>
      </c>
      <c r="Z426" s="4">
        <f t="shared" si="106"/>
        <v>0.259050144289934</v>
      </c>
      <c r="AA426">
        <v>48.2</v>
      </c>
      <c r="AB426">
        <f t="shared" si="107"/>
        <v>61</v>
      </c>
      <c r="AP426" s="3">
        <v>31138</v>
      </c>
      <c r="AQ426" s="2">
        <v>47.8</v>
      </c>
      <c r="AR426" s="2" t="str">
        <f t="shared" si="108"/>
        <v>-</v>
      </c>
      <c r="AS426" s="2">
        <v>49.1</v>
      </c>
      <c r="AT426" s="8" t="str">
        <f t="shared" si="109"/>
        <v>-</v>
      </c>
      <c r="AU426" s="2">
        <v>51.2</v>
      </c>
      <c r="AV426" s="8" t="str">
        <f t="shared" si="110"/>
        <v>-</v>
      </c>
      <c r="AW426" s="2">
        <v>44.2</v>
      </c>
      <c r="AX426" s="8" t="str">
        <f t="shared" si="111"/>
        <v>-</v>
      </c>
      <c r="AY426" s="2">
        <v>46.7</v>
      </c>
      <c r="AZ426" s="8" t="str">
        <f t="shared" si="112"/>
        <v>-</v>
      </c>
      <c r="BA426" s="2">
        <v>44</v>
      </c>
      <c r="BB426" s="8" t="str">
        <f t="shared" si="113"/>
        <v>-</v>
      </c>
      <c r="BC426" s="2"/>
      <c r="BD426" s="8" t="str">
        <f t="shared" si="114"/>
        <v>+</v>
      </c>
      <c r="BE426" s="2">
        <v>46.2</v>
      </c>
      <c r="BF426" s="8" t="str">
        <f t="shared" si="105"/>
        <v>+</v>
      </c>
      <c r="BG426" s="2"/>
      <c r="BH426" s="8" t="str">
        <f t="shared" si="115"/>
        <v>+</v>
      </c>
      <c r="BI426" s="2"/>
      <c r="BJ426" s="8" t="str">
        <f t="shared" si="116"/>
        <v>+</v>
      </c>
      <c r="BK426" s="2"/>
      <c r="BL426" s="8" t="str">
        <f t="shared" si="117"/>
        <v>+</v>
      </c>
    </row>
    <row r="427" spans="1:64">
      <c r="A427" s="1">
        <v>31199</v>
      </c>
      <c r="B427">
        <v>47.1</v>
      </c>
      <c r="C427">
        <v>49.5</v>
      </c>
      <c r="D427">
        <v>40.4</v>
      </c>
      <c r="E427">
        <v>51.9</v>
      </c>
      <c r="F427">
        <v>48</v>
      </c>
      <c r="G427">
        <v>40.4</v>
      </c>
      <c r="I427">
        <v>48.7</v>
      </c>
      <c r="W427" s="1">
        <v>31199</v>
      </c>
      <c r="X427">
        <v>191.85000600000001</v>
      </c>
      <c r="Y427" s="4">
        <f t="shared" si="104"/>
        <v>1.2134017217609877E-2</v>
      </c>
      <c r="Z427" s="4">
        <f t="shared" si="106"/>
        <v>0.25244819667800883</v>
      </c>
      <c r="AA427">
        <v>47.1</v>
      </c>
      <c r="AB427">
        <f t="shared" si="107"/>
        <v>58.6</v>
      </c>
      <c r="AP427" s="3">
        <v>31168</v>
      </c>
      <c r="AQ427" s="2">
        <v>48.2</v>
      </c>
      <c r="AR427" s="2" t="str">
        <f t="shared" si="108"/>
        <v>+</v>
      </c>
      <c r="AS427" s="2">
        <v>51.3</v>
      </c>
      <c r="AT427" s="8" t="str">
        <f t="shared" si="109"/>
        <v>+</v>
      </c>
      <c r="AU427" s="2">
        <v>51.6</v>
      </c>
      <c r="AV427" s="8" t="str">
        <f t="shared" si="110"/>
        <v>+</v>
      </c>
      <c r="AW427" s="2">
        <v>43.2</v>
      </c>
      <c r="AX427" s="8" t="str">
        <f t="shared" si="111"/>
        <v>-</v>
      </c>
      <c r="AY427" s="2">
        <v>46.1</v>
      </c>
      <c r="AZ427" s="8" t="str">
        <f t="shared" si="112"/>
        <v>-</v>
      </c>
      <c r="BA427" s="2">
        <v>43.8</v>
      </c>
      <c r="BB427" s="8" t="str">
        <f t="shared" si="113"/>
        <v>-</v>
      </c>
      <c r="BC427" s="2"/>
      <c r="BD427" s="8" t="str">
        <f t="shared" si="114"/>
        <v>+</v>
      </c>
      <c r="BE427" s="2">
        <v>44.1</v>
      </c>
      <c r="BF427" s="8" t="str">
        <f t="shared" si="105"/>
        <v>-</v>
      </c>
      <c r="BG427" s="2"/>
      <c r="BH427" s="8" t="str">
        <f t="shared" si="115"/>
        <v>+</v>
      </c>
      <c r="BI427" s="2"/>
      <c r="BJ427" s="8" t="str">
        <f t="shared" si="116"/>
        <v>+</v>
      </c>
      <c r="BK427" s="2"/>
      <c r="BL427" s="8" t="str">
        <f t="shared" si="117"/>
        <v>+</v>
      </c>
    </row>
    <row r="428" spans="1:64">
      <c r="A428" s="1">
        <v>31229</v>
      </c>
      <c r="B428">
        <v>47.8</v>
      </c>
      <c r="C428">
        <v>50.7</v>
      </c>
      <c r="D428">
        <v>44.5</v>
      </c>
      <c r="E428">
        <v>50.5</v>
      </c>
      <c r="F428">
        <v>47.1</v>
      </c>
      <c r="G428">
        <v>40.200000000000003</v>
      </c>
      <c r="I428">
        <v>42.4</v>
      </c>
      <c r="W428" s="1">
        <v>31229</v>
      </c>
      <c r="X428">
        <v>190.91999799999999</v>
      </c>
      <c r="Y428" s="4">
        <f t="shared" si="104"/>
        <v>-4.8475786860283704E-3</v>
      </c>
      <c r="Z428" s="4">
        <f t="shared" si="106"/>
        <v>0.26722416654124082</v>
      </c>
      <c r="AA428">
        <v>47.8</v>
      </c>
      <c r="AB428">
        <f t="shared" si="107"/>
        <v>58.1</v>
      </c>
      <c r="AP428" s="3">
        <v>31199</v>
      </c>
      <c r="AQ428" s="2">
        <v>47.1</v>
      </c>
      <c r="AR428" s="2" t="str">
        <f t="shared" si="108"/>
        <v>-</v>
      </c>
      <c r="AS428" s="2">
        <v>49.5</v>
      </c>
      <c r="AT428" s="8" t="str">
        <f t="shared" si="109"/>
        <v>-</v>
      </c>
      <c r="AU428" s="2">
        <v>51.9</v>
      </c>
      <c r="AV428" s="8" t="str">
        <f t="shared" si="110"/>
        <v>+</v>
      </c>
      <c r="AW428" s="2">
        <v>40.4</v>
      </c>
      <c r="AX428" s="8" t="str">
        <f t="shared" si="111"/>
        <v>-</v>
      </c>
      <c r="AY428" s="2">
        <v>48</v>
      </c>
      <c r="AZ428" s="8" t="str">
        <f t="shared" si="112"/>
        <v>+</v>
      </c>
      <c r="BA428" s="2">
        <v>40.4</v>
      </c>
      <c r="BB428" s="8" t="str">
        <f t="shared" si="113"/>
        <v>-</v>
      </c>
      <c r="BC428" s="2"/>
      <c r="BD428" s="8" t="str">
        <f t="shared" si="114"/>
        <v>+</v>
      </c>
      <c r="BE428" s="2">
        <v>48.7</v>
      </c>
      <c r="BF428" s="8" t="str">
        <f t="shared" si="105"/>
        <v>+</v>
      </c>
      <c r="BG428" s="2"/>
      <c r="BH428" s="8" t="str">
        <f t="shared" si="115"/>
        <v>+</v>
      </c>
      <c r="BI428" s="2"/>
      <c r="BJ428" s="8" t="str">
        <f t="shared" si="116"/>
        <v>+</v>
      </c>
      <c r="BK428" s="2"/>
      <c r="BL428" s="8" t="str">
        <f t="shared" si="117"/>
        <v>+</v>
      </c>
    </row>
    <row r="429" spans="1:64">
      <c r="A429" s="1">
        <v>31260</v>
      </c>
      <c r="B429">
        <v>47.9</v>
      </c>
      <c r="C429">
        <v>52.5</v>
      </c>
      <c r="D429">
        <v>45.2</v>
      </c>
      <c r="E429">
        <v>48.2</v>
      </c>
      <c r="F429">
        <v>45.7</v>
      </c>
      <c r="G429">
        <v>41.8</v>
      </c>
      <c r="I429">
        <v>45.6</v>
      </c>
      <c r="W429" s="1">
        <v>31260</v>
      </c>
      <c r="X429">
        <v>188.63000500000001</v>
      </c>
      <c r="Y429" s="4">
        <f t="shared" si="104"/>
        <v>-1.1994516153305121E-2</v>
      </c>
      <c r="Z429" s="4">
        <f t="shared" si="106"/>
        <v>0.13168954236757147</v>
      </c>
      <c r="AA429">
        <v>47.9</v>
      </c>
      <c r="AB429">
        <f t="shared" si="107"/>
        <v>56.1</v>
      </c>
      <c r="AP429" s="3">
        <v>31229</v>
      </c>
      <c r="AQ429" s="2">
        <v>47.8</v>
      </c>
      <c r="AR429" s="2" t="str">
        <f t="shared" si="108"/>
        <v>+</v>
      </c>
      <c r="AS429" s="2">
        <v>50.7</v>
      </c>
      <c r="AT429" s="8" t="str">
        <f t="shared" si="109"/>
        <v>+</v>
      </c>
      <c r="AU429" s="2">
        <v>50.5</v>
      </c>
      <c r="AV429" s="8" t="str">
        <f t="shared" si="110"/>
        <v>-</v>
      </c>
      <c r="AW429" s="2">
        <v>44.5</v>
      </c>
      <c r="AX429" s="8" t="str">
        <f t="shared" si="111"/>
        <v>+</v>
      </c>
      <c r="AY429" s="2">
        <v>47.1</v>
      </c>
      <c r="AZ429" s="8" t="str">
        <f t="shared" si="112"/>
        <v>-</v>
      </c>
      <c r="BA429" s="2">
        <v>40.200000000000003</v>
      </c>
      <c r="BB429" s="8" t="str">
        <f t="shared" si="113"/>
        <v>-</v>
      </c>
      <c r="BC429" s="2"/>
      <c r="BD429" s="8" t="str">
        <f t="shared" si="114"/>
        <v>+</v>
      </c>
      <c r="BE429" s="2">
        <v>42.4</v>
      </c>
      <c r="BF429" s="8" t="str">
        <f t="shared" si="105"/>
        <v>-</v>
      </c>
      <c r="BG429" s="2"/>
      <c r="BH429" s="8" t="str">
        <f t="shared" si="115"/>
        <v>+</v>
      </c>
      <c r="BI429" s="2"/>
      <c r="BJ429" s="8" t="str">
        <f t="shared" si="116"/>
        <v>+</v>
      </c>
      <c r="BK429" s="2"/>
      <c r="BL429" s="8" t="str">
        <f t="shared" si="117"/>
        <v>+</v>
      </c>
    </row>
    <row r="430" spans="1:64">
      <c r="A430" s="1">
        <v>31291</v>
      </c>
      <c r="B430">
        <v>47.7</v>
      </c>
      <c r="C430">
        <v>51.8</v>
      </c>
      <c r="D430">
        <v>41.1</v>
      </c>
      <c r="E430">
        <v>50.6</v>
      </c>
      <c r="F430">
        <v>46.6</v>
      </c>
      <c r="G430">
        <v>43</v>
      </c>
      <c r="I430">
        <v>44</v>
      </c>
      <c r="W430" s="1">
        <v>31291</v>
      </c>
      <c r="X430">
        <v>182.08000200000001</v>
      </c>
      <c r="Y430" s="4">
        <f t="shared" si="104"/>
        <v>-3.4724077964160598E-2</v>
      </c>
      <c r="Z430" s="4">
        <f t="shared" si="106"/>
        <v>9.6207076596974958E-2</v>
      </c>
      <c r="AA430">
        <v>47.7</v>
      </c>
      <c r="AB430">
        <f t="shared" si="107"/>
        <v>53</v>
      </c>
      <c r="AP430" s="3">
        <v>31260</v>
      </c>
      <c r="AQ430" s="2">
        <v>47.9</v>
      </c>
      <c r="AR430" s="2" t="str">
        <f t="shared" si="108"/>
        <v>+</v>
      </c>
      <c r="AS430" s="2">
        <v>52.5</v>
      </c>
      <c r="AT430" s="8" t="str">
        <f t="shared" si="109"/>
        <v>+</v>
      </c>
      <c r="AU430" s="2">
        <v>48.2</v>
      </c>
      <c r="AV430" s="8" t="str">
        <f t="shared" si="110"/>
        <v>-</v>
      </c>
      <c r="AW430" s="2">
        <v>45.2</v>
      </c>
      <c r="AX430" s="8" t="str">
        <f t="shared" si="111"/>
        <v>+</v>
      </c>
      <c r="AY430" s="2">
        <v>45.7</v>
      </c>
      <c r="AZ430" s="8" t="str">
        <f t="shared" si="112"/>
        <v>-</v>
      </c>
      <c r="BA430" s="2">
        <v>41.8</v>
      </c>
      <c r="BB430" s="8" t="str">
        <f t="shared" si="113"/>
        <v>+</v>
      </c>
      <c r="BC430" s="2"/>
      <c r="BD430" s="8" t="str">
        <f t="shared" si="114"/>
        <v>+</v>
      </c>
      <c r="BE430" s="2">
        <v>45.6</v>
      </c>
      <c r="BF430" s="8" t="str">
        <f t="shared" si="105"/>
        <v>+</v>
      </c>
      <c r="BG430" s="2"/>
      <c r="BH430" s="8" t="str">
        <f t="shared" si="115"/>
        <v>+</v>
      </c>
      <c r="BI430" s="2"/>
      <c r="BJ430" s="8" t="str">
        <f t="shared" si="116"/>
        <v>+</v>
      </c>
      <c r="BK430" s="2"/>
      <c r="BL430" s="8" t="str">
        <f t="shared" si="117"/>
        <v>+</v>
      </c>
    </row>
    <row r="431" spans="1:64">
      <c r="A431" s="1">
        <v>31321</v>
      </c>
      <c r="B431">
        <v>49.9</v>
      </c>
      <c r="C431">
        <v>54.6</v>
      </c>
      <c r="D431">
        <v>41.8</v>
      </c>
      <c r="E431">
        <v>52.8</v>
      </c>
      <c r="F431">
        <v>49.5</v>
      </c>
      <c r="G431">
        <v>45.5</v>
      </c>
      <c r="I431">
        <v>44.3</v>
      </c>
      <c r="W431" s="1">
        <v>31321</v>
      </c>
      <c r="X431">
        <v>189.820007</v>
      </c>
      <c r="Y431" s="4">
        <f t="shared" si="104"/>
        <v>4.2508814339753773E-2</v>
      </c>
      <c r="Z431" s="4">
        <f t="shared" si="106"/>
        <v>0.14287441490455566</v>
      </c>
      <c r="AA431">
        <v>49.9</v>
      </c>
      <c r="AB431">
        <f t="shared" si="107"/>
        <v>50</v>
      </c>
      <c r="AP431" s="3">
        <v>31291</v>
      </c>
      <c r="AQ431" s="2">
        <v>47.7</v>
      </c>
      <c r="AR431" s="2" t="str">
        <f t="shared" si="108"/>
        <v>-</v>
      </c>
      <c r="AS431" s="2">
        <v>51.8</v>
      </c>
      <c r="AT431" s="8" t="str">
        <f t="shared" si="109"/>
        <v>-</v>
      </c>
      <c r="AU431" s="2">
        <v>50.6</v>
      </c>
      <c r="AV431" s="8" t="str">
        <f t="shared" si="110"/>
        <v>+</v>
      </c>
      <c r="AW431" s="2">
        <v>41.1</v>
      </c>
      <c r="AX431" s="8" t="str">
        <f t="shared" si="111"/>
        <v>-</v>
      </c>
      <c r="AY431" s="2">
        <v>46.6</v>
      </c>
      <c r="AZ431" s="8" t="str">
        <f t="shared" si="112"/>
        <v>+</v>
      </c>
      <c r="BA431" s="2">
        <v>43</v>
      </c>
      <c r="BB431" s="8" t="str">
        <f t="shared" si="113"/>
        <v>+</v>
      </c>
      <c r="BC431" s="2"/>
      <c r="BD431" s="8" t="str">
        <f t="shared" si="114"/>
        <v>+</v>
      </c>
      <c r="BE431" s="2">
        <v>44</v>
      </c>
      <c r="BF431" s="8" t="str">
        <f t="shared" si="105"/>
        <v>-</v>
      </c>
      <c r="BG431" s="2"/>
      <c r="BH431" s="8" t="str">
        <f t="shared" si="115"/>
        <v>+</v>
      </c>
      <c r="BI431" s="2"/>
      <c r="BJ431" s="8" t="str">
        <f t="shared" si="116"/>
        <v>+</v>
      </c>
      <c r="BK431" s="2"/>
      <c r="BL431" s="8" t="str">
        <f t="shared" si="117"/>
        <v>+</v>
      </c>
    </row>
    <row r="432" spans="1:64">
      <c r="A432" s="1">
        <v>31352</v>
      </c>
      <c r="B432">
        <v>50.9</v>
      </c>
      <c r="C432">
        <v>53.4</v>
      </c>
      <c r="D432">
        <v>45.2</v>
      </c>
      <c r="E432">
        <v>54.9</v>
      </c>
      <c r="F432">
        <v>50</v>
      </c>
      <c r="G432">
        <v>45.9</v>
      </c>
      <c r="I432">
        <v>46.4</v>
      </c>
      <c r="W432" s="1">
        <v>31352</v>
      </c>
      <c r="X432">
        <v>202.16999799999999</v>
      </c>
      <c r="Y432" s="4">
        <f t="shared" si="104"/>
        <v>6.5061587528020631E-2</v>
      </c>
      <c r="Z432" s="4">
        <f t="shared" si="106"/>
        <v>0.23590900799719994</v>
      </c>
      <c r="AA432">
        <v>50.9</v>
      </c>
      <c r="AB432">
        <f t="shared" si="107"/>
        <v>50.8</v>
      </c>
      <c r="AP432" s="3">
        <v>31321</v>
      </c>
      <c r="AQ432" s="2">
        <v>49.9</v>
      </c>
      <c r="AR432" s="2" t="str">
        <f t="shared" si="108"/>
        <v>+</v>
      </c>
      <c r="AS432" s="2">
        <v>54.6</v>
      </c>
      <c r="AT432" s="8" t="str">
        <f t="shared" si="109"/>
        <v>+</v>
      </c>
      <c r="AU432" s="2">
        <v>52.8</v>
      </c>
      <c r="AV432" s="8" t="str">
        <f t="shared" si="110"/>
        <v>+</v>
      </c>
      <c r="AW432" s="2">
        <v>41.8</v>
      </c>
      <c r="AX432" s="8" t="str">
        <f t="shared" si="111"/>
        <v>+</v>
      </c>
      <c r="AY432" s="2">
        <v>49.5</v>
      </c>
      <c r="AZ432" s="8" t="str">
        <f t="shared" si="112"/>
        <v>+</v>
      </c>
      <c r="BA432" s="2">
        <v>45.5</v>
      </c>
      <c r="BB432" s="8" t="str">
        <f t="shared" si="113"/>
        <v>+</v>
      </c>
      <c r="BC432" s="2"/>
      <c r="BD432" s="8" t="str">
        <f t="shared" si="114"/>
        <v>+</v>
      </c>
      <c r="BE432" s="2">
        <v>44.3</v>
      </c>
      <c r="BF432" s="8" t="str">
        <f t="shared" si="105"/>
        <v>+</v>
      </c>
      <c r="BG432" s="2"/>
      <c r="BH432" s="8" t="str">
        <f t="shared" si="115"/>
        <v>+</v>
      </c>
      <c r="BI432" s="2"/>
      <c r="BJ432" s="8" t="str">
        <f t="shared" si="116"/>
        <v>+</v>
      </c>
      <c r="BK432" s="2"/>
      <c r="BL432" s="8" t="str">
        <f t="shared" si="117"/>
        <v>+</v>
      </c>
    </row>
    <row r="433" spans="1:64">
      <c r="A433" s="1">
        <v>31382</v>
      </c>
      <c r="B433">
        <v>52</v>
      </c>
      <c r="C433">
        <v>57.2</v>
      </c>
      <c r="D433">
        <v>44.5</v>
      </c>
      <c r="E433">
        <v>56.5</v>
      </c>
      <c r="F433">
        <v>48.5</v>
      </c>
      <c r="G433">
        <v>45.2</v>
      </c>
      <c r="I433">
        <v>45.7</v>
      </c>
      <c r="W433" s="1">
        <v>31382</v>
      </c>
      <c r="X433">
        <v>211.279999</v>
      </c>
      <c r="Y433" s="4">
        <f t="shared" si="104"/>
        <v>4.5061092595944978E-2</v>
      </c>
      <c r="Z433" s="4">
        <f t="shared" si="106"/>
        <v>0.26333408684124354</v>
      </c>
      <c r="AA433">
        <v>52</v>
      </c>
      <c r="AB433">
        <f t="shared" si="107"/>
        <v>50.3</v>
      </c>
      <c r="AP433" s="3">
        <v>31352</v>
      </c>
      <c r="AQ433" s="2">
        <v>50.9</v>
      </c>
      <c r="AR433" s="2" t="str">
        <f t="shared" si="108"/>
        <v>+</v>
      </c>
      <c r="AS433" s="2">
        <v>53.4</v>
      </c>
      <c r="AT433" s="8" t="str">
        <f t="shared" si="109"/>
        <v>-</v>
      </c>
      <c r="AU433" s="2">
        <v>54.9</v>
      </c>
      <c r="AV433" s="8" t="str">
        <f t="shared" si="110"/>
        <v>+</v>
      </c>
      <c r="AW433" s="2">
        <v>45.2</v>
      </c>
      <c r="AX433" s="8" t="str">
        <f t="shared" si="111"/>
        <v>+</v>
      </c>
      <c r="AY433" s="2">
        <v>50</v>
      </c>
      <c r="AZ433" s="8" t="str">
        <f t="shared" si="112"/>
        <v>+</v>
      </c>
      <c r="BA433" s="2">
        <v>45.9</v>
      </c>
      <c r="BB433" s="8" t="str">
        <f t="shared" si="113"/>
        <v>+</v>
      </c>
      <c r="BC433" s="2"/>
      <c r="BD433" s="8" t="str">
        <f t="shared" si="114"/>
        <v>+</v>
      </c>
      <c r="BE433" s="2">
        <v>46.4</v>
      </c>
      <c r="BF433" s="8" t="str">
        <f t="shared" si="105"/>
        <v>+</v>
      </c>
      <c r="BG433" s="2"/>
      <c r="BH433" s="8" t="str">
        <f t="shared" si="115"/>
        <v>+</v>
      </c>
      <c r="BI433" s="2"/>
      <c r="BJ433" s="8" t="str">
        <f t="shared" si="116"/>
        <v>+</v>
      </c>
      <c r="BK433" s="2"/>
      <c r="BL433" s="8" t="str">
        <f t="shared" si="117"/>
        <v>+</v>
      </c>
    </row>
    <row r="434" spans="1:64">
      <c r="A434" s="1">
        <v>31413</v>
      </c>
      <c r="B434">
        <v>50.7</v>
      </c>
      <c r="C434">
        <v>54.8</v>
      </c>
      <c r="D434">
        <v>42.6</v>
      </c>
      <c r="E434">
        <v>55.3</v>
      </c>
      <c r="F434">
        <v>49.3</v>
      </c>
      <c r="G434">
        <v>45.2</v>
      </c>
      <c r="I434">
        <v>48.7</v>
      </c>
      <c r="W434" s="1">
        <v>31413</v>
      </c>
      <c r="X434">
        <v>211.779999</v>
      </c>
      <c r="Y434" s="4">
        <f t="shared" si="104"/>
        <v>2.366527841568193E-3</v>
      </c>
      <c r="Z434" s="4">
        <f t="shared" si="106"/>
        <v>0.17897897403053567</v>
      </c>
      <c r="AA434">
        <v>50.7</v>
      </c>
      <c r="AB434">
        <f t="shared" si="107"/>
        <v>50.6</v>
      </c>
      <c r="AP434" s="3">
        <v>31382</v>
      </c>
      <c r="AQ434" s="2">
        <v>52</v>
      </c>
      <c r="AR434" s="2" t="str">
        <f t="shared" si="108"/>
        <v>+</v>
      </c>
      <c r="AS434" s="2">
        <v>57.2</v>
      </c>
      <c r="AT434" s="8" t="str">
        <f t="shared" si="109"/>
        <v>+</v>
      </c>
      <c r="AU434" s="2">
        <v>56.5</v>
      </c>
      <c r="AV434" s="8" t="str">
        <f t="shared" si="110"/>
        <v>+</v>
      </c>
      <c r="AW434" s="2">
        <v>44.5</v>
      </c>
      <c r="AX434" s="8" t="str">
        <f t="shared" si="111"/>
        <v>-</v>
      </c>
      <c r="AY434" s="2">
        <v>48.5</v>
      </c>
      <c r="AZ434" s="8" t="str">
        <f t="shared" si="112"/>
        <v>-</v>
      </c>
      <c r="BA434" s="2">
        <v>45.2</v>
      </c>
      <c r="BB434" s="8" t="str">
        <f t="shared" si="113"/>
        <v>-</v>
      </c>
      <c r="BC434" s="2"/>
      <c r="BD434" s="8" t="str">
        <f t="shared" si="114"/>
        <v>+</v>
      </c>
      <c r="BE434" s="2">
        <v>45.7</v>
      </c>
      <c r="BF434" s="8" t="str">
        <f t="shared" si="105"/>
        <v>-</v>
      </c>
      <c r="BG434" s="2"/>
      <c r="BH434" s="8" t="str">
        <f t="shared" si="115"/>
        <v>+</v>
      </c>
      <c r="BI434" s="2"/>
      <c r="BJ434" s="8" t="str">
        <f t="shared" si="116"/>
        <v>+</v>
      </c>
      <c r="BK434" s="2"/>
      <c r="BL434" s="8" t="str">
        <f t="shared" si="117"/>
        <v>+</v>
      </c>
    </row>
    <row r="435" spans="1:64">
      <c r="A435" s="1">
        <v>31444</v>
      </c>
      <c r="B435">
        <v>51.2</v>
      </c>
      <c r="C435">
        <v>56.7</v>
      </c>
      <c r="D435">
        <v>45.1</v>
      </c>
      <c r="E435">
        <v>52.9</v>
      </c>
      <c r="F435">
        <v>50.1</v>
      </c>
      <c r="G435">
        <v>44.9</v>
      </c>
      <c r="I435">
        <v>48.4</v>
      </c>
      <c r="W435" s="1">
        <v>31444</v>
      </c>
      <c r="X435">
        <v>226.91999799999999</v>
      </c>
      <c r="Y435" s="4">
        <f t="shared" si="104"/>
        <v>7.1489276945364361E-2</v>
      </c>
      <c r="Z435" s="4">
        <f t="shared" si="106"/>
        <v>0.25245615833531904</v>
      </c>
      <c r="AA435">
        <v>51.2</v>
      </c>
      <c r="AB435">
        <f t="shared" si="107"/>
        <v>50.3</v>
      </c>
      <c r="AP435" s="3">
        <v>31413</v>
      </c>
      <c r="AQ435" s="2">
        <v>50.7</v>
      </c>
      <c r="AR435" s="2" t="str">
        <f t="shared" si="108"/>
        <v>-</v>
      </c>
      <c r="AS435" s="2">
        <v>54.8</v>
      </c>
      <c r="AT435" s="8" t="str">
        <f t="shared" si="109"/>
        <v>-</v>
      </c>
      <c r="AU435" s="2">
        <v>55.3</v>
      </c>
      <c r="AV435" s="8" t="str">
        <f t="shared" si="110"/>
        <v>-</v>
      </c>
      <c r="AW435" s="2">
        <v>42.6</v>
      </c>
      <c r="AX435" s="8" t="str">
        <f t="shared" si="111"/>
        <v>-</v>
      </c>
      <c r="AY435" s="2">
        <v>49.3</v>
      </c>
      <c r="AZ435" s="8" t="str">
        <f t="shared" si="112"/>
        <v>+</v>
      </c>
      <c r="BA435" s="2">
        <v>45.2</v>
      </c>
      <c r="BB435" s="8" t="str">
        <f t="shared" si="113"/>
        <v>+</v>
      </c>
      <c r="BC435" s="2"/>
      <c r="BD435" s="8" t="str">
        <f t="shared" si="114"/>
        <v>+</v>
      </c>
      <c r="BE435" s="2">
        <v>48.7</v>
      </c>
      <c r="BF435" s="8" t="str">
        <f t="shared" si="105"/>
        <v>+</v>
      </c>
      <c r="BG435" s="2"/>
      <c r="BH435" s="8" t="str">
        <f t="shared" si="115"/>
        <v>+</v>
      </c>
      <c r="BI435" s="2"/>
      <c r="BJ435" s="8" t="str">
        <f t="shared" si="116"/>
        <v>+</v>
      </c>
      <c r="BK435" s="2"/>
      <c r="BL435" s="8" t="str">
        <f t="shared" si="117"/>
        <v>+</v>
      </c>
    </row>
    <row r="436" spans="1:64">
      <c r="A436" s="1">
        <v>31472</v>
      </c>
      <c r="B436">
        <v>51</v>
      </c>
      <c r="C436">
        <v>57.1</v>
      </c>
      <c r="D436">
        <v>43</v>
      </c>
      <c r="E436">
        <v>53.6</v>
      </c>
      <c r="F436">
        <v>49.8</v>
      </c>
      <c r="G436">
        <v>44.7</v>
      </c>
      <c r="I436">
        <v>49.7</v>
      </c>
      <c r="W436" s="1">
        <v>31472</v>
      </c>
      <c r="X436">
        <v>238.89999399999999</v>
      </c>
      <c r="Y436" s="4">
        <f t="shared" si="104"/>
        <v>5.2793919026916263E-2</v>
      </c>
      <c r="Z436" s="4">
        <f t="shared" si="106"/>
        <v>0.32237345682777696</v>
      </c>
      <c r="AA436">
        <v>51</v>
      </c>
      <c r="AB436">
        <f t="shared" si="107"/>
        <v>49.9</v>
      </c>
      <c r="AP436" s="3">
        <v>31444</v>
      </c>
      <c r="AQ436" s="2">
        <v>51.2</v>
      </c>
      <c r="AR436" s="2" t="str">
        <f t="shared" si="108"/>
        <v>+</v>
      </c>
      <c r="AS436" s="2">
        <v>56.7</v>
      </c>
      <c r="AT436" s="8" t="str">
        <f t="shared" si="109"/>
        <v>+</v>
      </c>
      <c r="AU436" s="2">
        <v>52.9</v>
      </c>
      <c r="AV436" s="8" t="str">
        <f t="shared" si="110"/>
        <v>-</v>
      </c>
      <c r="AW436" s="2">
        <v>45.1</v>
      </c>
      <c r="AX436" s="8" t="str">
        <f t="shared" si="111"/>
        <v>+</v>
      </c>
      <c r="AY436" s="2">
        <v>50.1</v>
      </c>
      <c r="AZ436" s="8" t="str">
        <f t="shared" si="112"/>
        <v>+</v>
      </c>
      <c r="BA436" s="2">
        <v>44.9</v>
      </c>
      <c r="BB436" s="8" t="str">
        <f t="shared" si="113"/>
        <v>-</v>
      </c>
      <c r="BC436" s="2"/>
      <c r="BD436" s="8" t="str">
        <f t="shared" si="114"/>
        <v>+</v>
      </c>
      <c r="BE436" s="2">
        <v>48.4</v>
      </c>
      <c r="BF436" s="8" t="str">
        <f t="shared" si="105"/>
        <v>-</v>
      </c>
      <c r="BG436" s="2"/>
      <c r="BH436" s="8" t="str">
        <f t="shared" si="115"/>
        <v>+</v>
      </c>
      <c r="BI436" s="2"/>
      <c r="BJ436" s="8" t="str">
        <f t="shared" si="116"/>
        <v>+</v>
      </c>
      <c r="BK436" s="2"/>
      <c r="BL436" s="8" t="str">
        <f t="shared" si="117"/>
        <v>+</v>
      </c>
    </row>
    <row r="437" spans="1:64">
      <c r="A437" s="1">
        <v>31503</v>
      </c>
      <c r="B437">
        <v>51</v>
      </c>
      <c r="C437">
        <v>54.5</v>
      </c>
      <c r="D437">
        <v>43.4</v>
      </c>
      <c r="E437">
        <v>56</v>
      </c>
      <c r="F437">
        <v>50.5</v>
      </c>
      <c r="G437">
        <v>43.7</v>
      </c>
      <c r="I437">
        <v>49</v>
      </c>
      <c r="W437" s="1">
        <v>31503</v>
      </c>
      <c r="X437">
        <v>235.520004</v>
      </c>
      <c r="Y437" s="4">
        <f t="shared" si="104"/>
        <v>-1.4148137651271738E-2</v>
      </c>
      <c r="Z437" s="4">
        <f t="shared" si="106"/>
        <v>0.30968137341176244</v>
      </c>
      <c r="AA437">
        <v>51</v>
      </c>
      <c r="AB437">
        <f t="shared" si="107"/>
        <v>47.8</v>
      </c>
      <c r="AP437" s="3">
        <v>31472</v>
      </c>
      <c r="AQ437" s="2">
        <v>51</v>
      </c>
      <c r="AR437" s="2" t="str">
        <f t="shared" si="108"/>
        <v>-</v>
      </c>
      <c r="AS437" s="2">
        <v>57.1</v>
      </c>
      <c r="AT437" s="8" t="str">
        <f t="shared" si="109"/>
        <v>+</v>
      </c>
      <c r="AU437" s="2">
        <v>53.6</v>
      </c>
      <c r="AV437" s="8" t="str">
        <f t="shared" si="110"/>
        <v>+</v>
      </c>
      <c r="AW437" s="2">
        <v>43</v>
      </c>
      <c r="AX437" s="8" t="str">
        <f t="shared" si="111"/>
        <v>-</v>
      </c>
      <c r="AY437" s="2">
        <v>49.8</v>
      </c>
      <c r="AZ437" s="8" t="str">
        <f t="shared" si="112"/>
        <v>-</v>
      </c>
      <c r="BA437" s="2">
        <v>44.7</v>
      </c>
      <c r="BB437" s="8" t="str">
        <f t="shared" si="113"/>
        <v>-</v>
      </c>
      <c r="BC437" s="2"/>
      <c r="BD437" s="8" t="str">
        <f t="shared" si="114"/>
        <v>+</v>
      </c>
      <c r="BE437" s="2">
        <v>49.7</v>
      </c>
      <c r="BF437" s="8" t="str">
        <f t="shared" si="105"/>
        <v>+</v>
      </c>
      <c r="BG437" s="2"/>
      <c r="BH437" s="8" t="str">
        <f t="shared" si="115"/>
        <v>+</v>
      </c>
      <c r="BI437" s="2"/>
      <c r="BJ437" s="8" t="str">
        <f t="shared" si="116"/>
        <v>+</v>
      </c>
      <c r="BK437" s="2"/>
      <c r="BL437" s="8" t="str">
        <f t="shared" si="117"/>
        <v>+</v>
      </c>
    </row>
    <row r="438" spans="1:64">
      <c r="A438" s="1">
        <v>31533</v>
      </c>
      <c r="B438">
        <v>49.7</v>
      </c>
      <c r="C438">
        <v>54.4</v>
      </c>
      <c r="D438">
        <v>42.2</v>
      </c>
      <c r="E438">
        <v>52.5</v>
      </c>
      <c r="F438">
        <v>50.7</v>
      </c>
      <c r="G438">
        <v>42.5</v>
      </c>
      <c r="I438">
        <v>42.8</v>
      </c>
      <c r="W438" s="1">
        <v>31533</v>
      </c>
      <c r="X438">
        <v>247.35000600000001</v>
      </c>
      <c r="Y438" s="4">
        <f t="shared" si="104"/>
        <v>5.0229287530073274E-2</v>
      </c>
      <c r="Z438" s="4">
        <f t="shared" si="106"/>
        <v>0.30493274642680962</v>
      </c>
      <c r="AA438">
        <v>49.7</v>
      </c>
      <c r="AB438">
        <f t="shared" si="107"/>
        <v>48.2</v>
      </c>
      <c r="AP438" s="3">
        <v>31503</v>
      </c>
      <c r="AQ438" s="2">
        <v>51</v>
      </c>
      <c r="AR438" s="2" t="str">
        <f t="shared" si="108"/>
        <v>+</v>
      </c>
      <c r="AS438" s="2">
        <v>54.5</v>
      </c>
      <c r="AT438" s="8" t="str">
        <f t="shared" si="109"/>
        <v>-</v>
      </c>
      <c r="AU438" s="2">
        <v>56</v>
      </c>
      <c r="AV438" s="8" t="str">
        <f t="shared" si="110"/>
        <v>+</v>
      </c>
      <c r="AW438" s="2">
        <v>43.4</v>
      </c>
      <c r="AX438" s="8" t="str">
        <f t="shared" si="111"/>
        <v>+</v>
      </c>
      <c r="AY438" s="2">
        <v>50.5</v>
      </c>
      <c r="AZ438" s="8" t="str">
        <f t="shared" si="112"/>
        <v>+</v>
      </c>
      <c r="BA438" s="2">
        <v>43.7</v>
      </c>
      <c r="BB438" s="8" t="str">
        <f t="shared" si="113"/>
        <v>-</v>
      </c>
      <c r="BC438" s="2"/>
      <c r="BD438" s="8" t="str">
        <f t="shared" si="114"/>
        <v>+</v>
      </c>
      <c r="BE438" s="2">
        <v>49</v>
      </c>
      <c r="BF438" s="8" t="str">
        <f t="shared" si="105"/>
        <v>-</v>
      </c>
      <c r="BG438" s="2"/>
      <c r="BH438" s="8" t="str">
        <f t="shared" si="115"/>
        <v>+</v>
      </c>
      <c r="BI438" s="2"/>
      <c r="BJ438" s="8" t="str">
        <f t="shared" si="116"/>
        <v>+</v>
      </c>
      <c r="BK438" s="2"/>
      <c r="BL438" s="8" t="str">
        <f t="shared" si="117"/>
        <v>+</v>
      </c>
    </row>
    <row r="439" spans="1:64">
      <c r="A439" s="1">
        <v>31564</v>
      </c>
      <c r="B439">
        <v>53.4</v>
      </c>
      <c r="C439">
        <v>61.1</v>
      </c>
      <c r="D439">
        <v>45.4</v>
      </c>
      <c r="E439">
        <v>55.1</v>
      </c>
      <c r="F439">
        <v>50.2</v>
      </c>
      <c r="G439">
        <v>46.9</v>
      </c>
      <c r="I439">
        <v>49.5</v>
      </c>
      <c r="W439" s="1">
        <v>31564</v>
      </c>
      <c r="X439">
        <v>250.83999600000001</v>
      </c>
      <c r="Y439" s="4">
        <f t="shared" si="104"/>
        <v>1.4109520579514381E-2</v>
      </c>
      <c r="Z439" s="4">
        <f t="shared" si="106"/>
        <v>0.30747974018828023</v>
      </c>
      <c r="AA439">
        <v>53.4</v>
      </c>
      <c r="AB439">
        <f t="shared" si="107"/>
        <v>47.1</v>
      </c>
      <c r="AP439" s="3">
        <v>31533</v>
      </c>
      <c r="AQ439" s="2">
        <v>49.7</v>
      </c>
      <c r="AR439" s="2" t="str">
        <f t="shared" si="108"/>
        <v>-</v>
      </c>
      <c r="AS439" s="2">
        <v>54.4</v>
      </c>
      <c r="AT439" s="8" t="str">
        <f t="shared" si="109"/>
        <v>-</v>
      </c>
      <c r="AU439" s="2">
        <v>52.5</v>
      </c>
      <c r="AV439" s="8" t="str">
        <f t="shared" si="110"/>
        <v>-</v>
      </c>
      <c r="AW439" s="2">
        <v>42.2</v>
      </c>
      <c r="AX439" s="8" t="str">
        <f t="shared" si="111"/>
        <v>-</v>
      </c>
      <c r="AY439" s="2">
        <v>50.7</v>
      </c>
      <c r="AZ439" s="8" t="str">
        <f t="shared" si="112"/>
        <v>+</v>
      </c>
      <c r="BA439" s="2">
        <v>42.5</v>
      </c>
      <c r="BB439" s="8" t="str">
        <f t="shared" si="113"/>
        <v>-</v>
      </c>
      <c r="BC439" s="2"/>
      <c r="BD439" s="8" t="str">
        <f t="shared" si="114"/>
        <v>+</v>
      </c>
      <c r="BE439" s="2">
        <v>42.8</v>
      </c>
      <c r="BF439" s="8" t="str">
        <f t="shared" si="105"/>
        <v>-</v>
      </c>
      <c r="BG439" s="2"/>
      <c r="BH439" s="8" t="str">
        <f t="shared" si="115"/>
        <v>+</v>
      </c>
      <c r="BI439" s="2"/>
      <c r="BJ439" s="8" t="str">
        <f t="shared" si="116"/>
        <v>+</v>
      </c>
      <c r="BK439" s="2"/>
      <c r="BL439" s="8" t="str">
        <f t="shared" si="117"/>
        <v>+</v>
      </c>
    </row>
    <row r="440" spans="1:64">
      <c r="A440" s="1">
        <v>31594</v>
      </c>
      <c r="B440">
        <v>50.5</v>
      </c>
      <c r="C440">
        <v>55.3</v>
      </c>
      <c r="D440">
        <v>43.3</v>
      </c>
      <c r="E440">
        <v>53.5</v>
      </c>
      <c r="F440">
        <v>49.9</v>
      </c>
      <c r="G440">
        <v>44.4</v>
      </c>
      <c r="I440">
        <v>51.3</v>
      </c>
      <c r="W440" s="1">
        <v>31594</v>
      </c>
      <c r="X440">
        <v>236.11999499999999</v>
      </c>
      <c r="Y440" s="4">
        <f t="shared" si="104"/>
        <v>-5.8682830628015256E-2</v>
      </c>
      <c r="Z440" s="4">
        <f t="shared" si="106"/>
        <v>0.23674836304995142</v>
      </c>
      <c r="AA440">
        <v>50.5</v>
      </c>
      <c r="AB440">
        <f t="shared" si="107"/>
        <v>47.8</v>
      </c>
      <c r="AP440" s="3">
        <v>31564</v>
      </c>
      <c r="AQ440" s="2">
        <v>53.4</v>
      </c>
      <c r="AR440" s="2" t="str">
        <f t="shared" si="108"/>
        <v>+</v>
      </c>
      <c r="AS440" s="2">
        <v>61.1</v>
      </c>
      <c r="AT440" s="8" t="str">
        <f t="shared" si="109"/>
        <v>+</v>
      </c>
      <c r="AU440" s="2">
        <v>55.1</v>
      </c>
      <c r="AV440" s="8" t="str">
        <f t="shared" si="110"/>
        <v>+</v>
      </c>
      <c r="AW440" s="2">
        <v>45.4</v>
      </c>
      <c r="AX440" s="8" t="str">
        <f t="shared" si="111"/>
        <v>+</v>
      </c>
      <c r="AY440" s="2">
        <v>50.2</v>
      </c>
      <c r="AZ440" s="8" t="str">
        <f t="shared" si="112"/>
        <v>-</v>
      </c>
      <c r="BA440" s="2">
        <v>46.9</v>
      </c>
      <c r="BB440" s="8" t="str">
        <f t="shared" si="113"/>
        <v>+</v>
      </c>
      <c r="BC440" s="2"/>
      <c r="BD440" s="8" t="str">
        <f t="shared" si="114"/>
        <v>+</v>
      </c>
      <c r="BE440" s="2">
        <v>49.5</v>
      </c>
      <c r="BF440" s="8" t="str">
        <f t="shared" si="105"/>
        <v>+</v>
      </c>
      <c r="BG440" s="2"/>
      <c r="BH440" s="8" t="str">
        <f t="shared" si="115"/>
        <v>+</v>
      </c>
      <c r="BI440" s="2"/>
      <c r="BJ440" s="8" t="str">
        <f t="shared" si="116"/>
        <v>+</v>
      </c>
      <c r="BK440" s="2"/>
      <c r="BL440" s="8" t="str">
        <f t="shared" si="117"/>
        <v>+</v>
      </c>
    </row>
    <row r="441" spans="1:64">
      <c r="A441" s="1">
        <v>31625</v>
      </c>
      <c r="B441">
        <v>48</v>
      </c>
      <c r="C441">
        <v>51.2</v>
      </c>
      <c r="D441">
        <v>41.9</v>
      </c>
      <c r="E441">
        <v>49.3</v>
      </c>
      <c r="F441">
        <v>49.9</v>
      </c>
      <c r="G441">
        <v>43.9</v>
      </c>
      <c r="I441">
        <v>49.3</v>
      </c>
      <c r="W441" s="1">
        <v>31625</v>
      </c>
      <c r="X441">
        <v>252.929993</v>
      </c>
      <c r="Y441" s="4">
        <f t="shared" si="104"/>
        <v>7.1192606962404897E-2</v>
      </c>
      <c r="Z441" s="4">
        <f t="shared" si="106"/>
        <v>0.34087889675876315</v>
      </c>
      <c r="AA441">
        <v>48</v>
      </c>
      <c r="AB441">
        <f t="shared" si="107"/>
        <v>47.9</v>
      </c>
      <c r="AP441" s="3">
        <v>31594</v>
      </c>
      <c r="AQ441" s="2">
        <v>50.5</v>
      </c>
      <c r="AR441" s="2" t="str">
        <f t="shared" si="108"/>
        <v>-</v>
      </c>
      <c r="AS441" s="2">
        <v>55.3</v>
      </c>
      <c r="AT441" s="8" t="str">
        <f t="shared" si="109"/>
        <v>-</v>
      </c>
      <c r="AU441" s="2">
        <v>53.5</v>
      </c>
      <c r="AV441" s="8" t="str">
        <f t="shared" si="110"/>
        <v>-</v>
      </c>
      <c r="AW441" s="2">
        <v>43.3</v>
      </c>
      <c r="AX441" s="8" t="str">
        <f t="shared" si="111"/>
        <v>-</v>
      </c>
      <c r="AY441" s="2">
        <v>49.9</v>
      </c>
      <c r="AZ441" s="8" t="str">
        <f t="shared" si="112"/>
        <v>-</v>
      </c>
      <c r="BA441" s="2">
        <v>44.4</v>
      </c>
      <c r="BB441" s="8" t="str">
        <f t="shared" si="113"/>
        <v>-</v>
      </c>
      <c r="BC441" s="2"/>
      <c r="BD441" s="8" t="str">
        <f t="shared" si="114"/>
        <v>+</v>
      </c>
      <c r="BE441" s="2">
        <v>51.3</v>
      </c>
      <c r="BF441" s="8" t="str">
        <f t="shared" si="105"/>
        <v>+</v>
      </c>
      <c r="BG441" s="2"/>
      <c r="BH441" s="8" t="str">
        <f t="shared" si="115"/>
        <v>+</v>
      </c>
      <c r="BI441" s="2"/>
      <c r="BJ441" s="8" t="str">
        <f t="shared" si="116"/>
        <v>+</v>
      </c>
      <c r="BK441" s="2"/>
      <c r="BL441" s="8" t="str">
        <f t="shared" si="117"/>
        <v>+</v>
      </c>
    </row>
    <row r="442" spans="1:64">
      <c r="A442" s="1">
        <v>31656</v>
      </c>
      <c r="B442">
        <v>52.6</v>
      </c>
      <c r="C442">
        <v>58.4</v>
      </c>
      <c r="D442">
        <v>44.5</v>
      </c>
      <c r="E442">
        <v>56</v>
      </c>
      <c r="F442">
        <v>50.8</v>
      </c>
      <c r="G442">
        <v>45.9</v>
      </c>
      <c r="I442">
        <v>51.5</v>
      </c>
      <c r="W442" s="1">
        <v>31656</v>
      </c>
      <c r="X442">
        <v>231.320007</v>
      </c>
      <c r="Y442" s="4">
        <f t="shared" si="104"/>
        <v>-8.5438605930772279E-2</v>
      </c>
      <c r="Z442" s="4">
        <f t="shared" si="106"/>
        <v>0.27043060445484834</v>
      </c>
      <c r="AA442">
        <v>52.6</v>
      </c>
      <c r="AB442">
        <f t="shared" si="107"/>
        <v>47.7</v>
      </c>
      <c r="AP442" s="3">
        <v>31625</v>
      </c>
      <c r="AQ442" s="2">
        <v>48</v>
      </c>
      <c r="AR442" s="2" t="str">
        <f t="shared" si="108"/>
        <v>-</v>
      </c>
      <c r="AS442" s="2">
        <v>51.2</v>
      </c>
      <c r="AT442" s="8" t="str">
        <f t="shared" si="109"/>
        <v>-</v>
      </c>
      <c r="AU442" s="2">
        <v>49.3</v>
      </c>
      <c r="AV442" s="8" t="str">
        <f t="shared" si="110"/>
        <v>-</v>
      </c>
      <c r="AW442" s="2">
        <v>41.9</v>
      </c>
      <c r="AX442" s="8" t="str">
        <f t="shared" si="111"/>
        <v>-</v>
      </c>
      <c r="AY442" s="2">
        <v>49.9</v>
      </c>
      <c r="AZ442" s="8" t="str">
        <f t="shared" si="112"/>
        <v>+</v>
      </c>
      <c r="BA442" s="2">
        <v>43.9</v>
      </c>
      <c r="BB442" s="8" t="str">
        <f t="shared" si="113"/>
        <v>-</v>
      </c>
      <c r="BC442" s="2"/>
      <c r="BD442" s="8" t="str">
        <f t="shared" si="114"/>
        <v>+</v>
      </c>
      <c r="BE442" s="2">
        <v>49.3</v>
      </c>
      <c r="BF442" s="8" t="str">
        <f t="shared" si="105"/>
        <v>-</v>
      </c>
      <c r="BG442" s="2"/>
      <c r="BH442" s="8" t="str">
        <f t="shared" si="115"/>
        <v>+</v>
      </c>
      <c r="BI442" s="2"/>
      <c r="BJ442" s="8" t="str">
        <f t="shared" si="116"/>
        <v>+</v>
      </c>
      <c r="BK442" s="2"/>
      <c r="BL442" s="8" t="str">
        <f t="shared" si="117"/>
        <v>+</v>
      </c>
    </row>
    <row r="443" spans="1:64">
      <c r="A443" s="1">
        <v>31686</v>
      </c>
      <c r="B443">
        <v>52.4</v>
      </c>
      <c r="C443">
        <v>57.3</v>
      </c>
      <c r="D443">
        <v>43.9</v>
      </c>
      <c r="E443">
        <v>56.5</v>
      </c>
      <c r="F443">
        <v>49.6</v>
      </c>
      <c r="G443">
        <v>48.2</v>
      </c>
      <c r="I443">
        <v>57.1</v>
      </c>
      <c r="W443" s="1">
        <v>31686</v>
      </c>
      <c r="X443">
        <v>243.979996</v>
      </c>
      <c r="Y443" s="4">
        <f t="shared" si="104"/>
        <v>5.4729330005596946E-2</v>
      </c>
      <c r="Z443" s="4">
        <f t="shared" si="106"/>
        <v>0.28532286904825577</v>
      </c>
      <c r="AA443">
        <v>52.4</v>
      </c>
      <c r="AB443">
        <f t="shared" si="107"/>
        <v>49.9</v>
      </c>
      <c r="AP443" s="3">
        <v>31656</v>
      </c>
      <c r="AQ443" s="2">
        <v>52.6</v>
      </c>
      <c r="AR443" s="2" t="str">
        <f t="shared" si="108"/>
        <v>+</v>
      </c>
      <c r="AS443" s="2">
        <v>58.4</v>
      </c>
      <c r="AT443" s="8" t="str">
        <f t="shared" si="109"/>
        <v>+</v>
      </c>
      <c r="AU443" s="2">
        <v>56</v>
      </c>
      <c r="AV443" s="8" t="str">
        <f t="shared" si="110"/>
        <v>+</v>
      </c>
      <c r="AW443" s="2">
        <v>44.5</v>
      </c>
      <c r="AX443" s="8" t="str">
        <f t="shared" si="111"/>
        <v>+</v>
      </c>
      <c r="AY443" s="2">
        <v>50.8</v>
      </c>
      <c r="AZ443" s="8" t="str">
        <f t="shared" si="112"/>
        <v>+</v>
      </c>
      <c r="BA443" s="2">
        <v>45.9</v>
      </c>
      <c r="BB443" s="8" t="str">
        <f t="shared" si="113"/>
        <v>+</v>
      </c>
      <c r="BC443" s="2"/>
      <c r="BD443" s="8" t="str">
        <f t="shared" si="114"/>
        <v>+</v>
      </c>
      <c r="BE443" s="2">
        <v>51.5</v>
      </c>
      <c r="BF443" s="8" t="str">
        <f t="shared" si="105"/>
        <v>+</v>
      </c>
      <c r="BG443" s="2"/>
      <c r="BH443" s="8" t="str">
        <f t="shared" si="115"/>
        <v>+</v>
      </c>
      <c r="BI443" s="2"/>
      <c r="BJ443" s="8" t="str">
        <f t="shared" si="116"/>
        <v>+</v>
      </c>
      <c r="BK443" s="2"/>
      <c r="BL443" s="8" t="str">
        <f t="shared" si="117"/>
        <v>+</v>
      </c>
    </row>
    <row r="444" spans="1:64">
      <c r="A444" s="1">
        <v>31717</v>
      </c>
      <c r="B444">
        <v>51.2</v>
      </c>
      <c r="C444">
        <v>54.5</v>
      </c>
      <c r="D444">
        <v>43.7</v>
      </c>
      <c r="E444">
        <v>54.2</v>
      </c>
      <c r="F444">
        <v>51.3</v>
      </c>
      <c r="G444">
        <v>48.2</v>
      </c>
      <c r="I444">
        <v>56.9</v>
      </c>
      <c r="W444" s="1">
        <v>31717</v>
      </c>
      <c r="X444">
        <v>249.220001</v>
      </c>
      <c r="Y444" s="4">
        <f t="shared" si="104"/>
        <v>2.1477191105454384E-2</v>
      </c>
      <c r="Z444" s="4">
        <f t="shared" si="106"/>
        <v>0.23272495160236389</v>
      </c>
      <c r="AA444">
        <v>51.2</v>
      </c>
      <c r="AB444">
        <f t="shared" si="107"/>
        <v>50.9</v>
      </c>
      <c r="AP444" s="3">
        <v>31686</v>
      </c>
      <c r="AQ444" s="2">
        <v>52.4</v>
      </c>
      <c r="AR444" s="2" t="str">
        <f t="shared" si="108"/>
        <v>-</v>
      </c>
      <c r="AS444" s="2">
        <v>57.3</v>
      </c>
      <c r="AT444" s="8" t="str">
        <f t="shared" si="109"/>
        <v>-</v>
      </c>
      <c r="AU444" s="2">
        <v>56.5</v>
      </c>
      <c r="AV444" s="8" t="str">
        <f t="shared" si="110"/>
        <v>+</v>
      </c>
      <c r="AW444" s="2">
        <v>43.9</v>
      </c>
      <c r="AX444" s="8" t="str">
        <f t="shared" si="111"/>
        <v>-</v>
      </c>
      <c r="AY444" s="2">
        <v>49.6</v>
      </c>
      <c r="AZ444" s="8" t="str">
        <f t="shared" si="112"/>
        <v>-</v>
      </c>
      <c r="BA444" s="2">
        <v>48.2</v>
      </c>
      <c r="BB444" s="8" t="str">
        <f t="shared" si="113"/>
        <v>+</v>
      </c>
      <c r="BC444" s="2"/>
      <c r="BD444" s="8" t="str">
        <f t="shared" si="114"/>
        <v>+</v>
      </c>
      <c r="BE444" s="2">
        <v>57.1</v>
      </c>
      <c r="BF444" s="8" t="str">
        <f t="shared" si="105"/>
        <v>+</v>
      </c>
      <c r="BG444" s="2"/>
      <c r="BH444" s="8" t="str">
        <f t="shared" si="115"/>
        <v>+</v>
      </c>
      <c r="BI444" s="2"/>
      <c r="BJ444" s="8" t="str">
        <f t="shared" si="116"/>
        <v>+</v>
      </c>
      <c r="BK444" s="2"/>
      <c r="BL444" s="8" t="str">
        <f t="shared" si="117"/>
        <v>+</v>
      </c>
    </row>
    <row r="445" spans="1:64">
      <c r="A445" s="1">
        <v>31747</v>
      </c>
      <c r="B445">
        <v>51.2</v>
      </c>
      <c r="C445">
        <v>57</v>
      </c>
      <c r="D445">
        <v>42.2</v>
      </c>
      <c r="E445">
        <v>54.7</v>
      </c>
      <c r="F445">
        <v>52</v>
      </c>
      <c r="G445">
        <v>42.2</v>
      </c>
      <c r="I445">
        <v>57.1</v>
      </c>
      <c r="W445" s="1">
        <v>31747</v>
      </c>
      <c r="X445">
        <v>242.16999799999999</v>
      </c>
      <c r="Y445" s="4">
        <f t="shared" si="104"/>
        <v>-2.8288271293281972E-2</v>
      </c>
      <c r="Z445" s="4">
        <f t="shared" si="106"/>
        <v>0.14620408531902723</v>
      </c>
      <c r="AA445">
        <v>51.2</v>
      </c>
      <c r="AB445">
        <f t="shared" si="107"/>
        <v>52</v>
      </c>
      <c r="AP445" s="3">
        <v>31717</v>
      </c>
      <c r="AQ445" s="2">
        <v>51.2</v>
      </c>
      <c r="AR445" s="2" t="str">
        <f t="shared" si="108"/>
        <v>-</v>
      </c>
      <c r="AS445" s="2">
        <v>54.5</v>
      </c>
      <c r="AT445" s="8" t="str">
        <f t="shared" si="109"/>
        <v>-</v>
      </c>
      <c r="AU445" s="2">
        <v>54.2</v>
      </c>
      <c r="AV445" s="8" t="str">
        <f t="shared" si="110"/>
        <v>-</v>
      </c>
      <c r="AW445" s="2">
        <v>43.7</v>
      </c>
      <c r="AX445" s="8" t="str">
        <f t="shared" si="111"/>
        <v>-</v>
      </c>
      <c r="AY445" s="2">
        <v>51.3</v>
      </c>
      <c r="AZ445" s="8" t="str">
        <f t="shared" si="112"/>
        <v>+</v>
      </c>
      <c r="BA445" s="2">
        <v>48.2</v>
      </c>
      <c r="BB445" s="8" t="str">
        <f t="shared" si="113"/>
        <v>+</v>
      </c>
      <c r="BC445" s="2"/>
      <c r="BD445" s="8" t="str">
        <f t="shared" si="114"/>
        <v>+</v>
      </c>
      <c r="BE445" s="2">
        <v>56.9</v>
      </c>
      <c r="BF445" s="8" t="str">
        <f t="shared" si="105"/>
        <v>-</v>
      </c>
      <c r="BG445" s="2"/>
      <c r="BH445" s="8" t="str">
        <f t="shared" si="115"/>
        <v>+</v>
      </c>
      <c r="BI445" s="2"/>
      <c r="BJ445" s="8" t="str">
        <f t="shared" si="116"/>
        <v>+</v>
      </c>
      <c r="BK445" s="2"/>
      <c r="BL445" s="8" t="str">
        <f t="shared" si="117"/>
        <v>+</v>
      </c>
    </row>
    <row r="446" spans="1:64">
      <c r="A446" s="1">
        <v>31778</v>
      </c>
      <c r="B446">
        <v>50.5</v>
      </c>
      <c r="C446">
        <v>55.4</v>
      </c>
      <c r="D446">
        <v>44.5</v>
      </c>
      <c r="E446">
        <v>53</v>
      </c>
      <c r="F446">
        <v>52.8</v>
      </c>
      <c r="G446">
        <v>38.4</v>
      </c>
      <c r="I446">
        <v>57</v>
      </c>
      <c r="W446" s="1">
        <v>31778</v>
      </c>
      <c r="X446">
        <v>274.07998700000002</v>
      </c>
      <c r="Y446" s="4">
        <f t="shared" si="104"/>
        <v>0.13176689624451343</v>
      </c>
      <c r="Z446" s="4">
        <f t="shared" si="106"/>
        <v>0.29417314332879951</v>
      </c>
      <c r="AA446">
        <v>50.5</v>
      </c>
      <c r="AB446">
        <f t="shared" si="107"/>
        <v>50.7</v>
      </c>
      <c r="AP446" s="3">
        <v>31747</v>
      </c>
      <c r="AQ446" s="2">
        <v>51.2</v>
      </c>
      <c r="AR446" s="2" t="str">
        <f t="shared" si="108"/>
        <v>+</v>
      </c>
      <c r="AS446" s="2">
        <v>57</v>
      </c>
      <c r="AT446" s="8" t="str">
        <f t="shared" si="109"/>
        <v>+</v>
      </c>
      <c r="AU446" s="2">
        <v>54.7</v>
      </c>
      <c r="AV446" s="8" t="str">
        <f t="shared" si="110"/>
        <v>+</v>
      </c>
      <c r="AW446" s="2">
        <v>42.2</v>
      </c>
      <c r="AX446" s="8" t="str">
        <f t="shared" si="111"/>
        <v>-</v>
      </c>
      <c r="AY446" s="2">
        <v>52</v>
      </c>
      <c r="AZ446" s="8" t="str">
        <f t="shared" si="112"/>
        <v>+</v>
      </c>
      <c r="BA446" s="2">
        <v>42.2</v>
      </c>
      <c r="BB446" s="8" t="str">
        <f t="shared" si="113"/>
        <v>-</v>
      </c>
      <c r="BC446" s="2"/>
      <c r="BD446" s="8" t="str">
        <f t="shared" si="114"/>
        <v>+</v>
      </c>
      <c r="BE446" s="2">
        <v>57.1</v>
      </c>
      <c r="BF446" s="8" t="str">
        <f t="shared" si="105"/>
        <v>+</v>
      </c>
      <c r="BG446" s="2"/>
      <c r="BH446" s="8" t="str">
        <f t="shared" si="115"/>
        <v>+</v>
      </c>
      <c r="BI446" s="2"/>
      <c r="BJ446" s="8" t="str">
        <f t="shared" si="116"/>
        <v>+</v>
      </c>
      <c r="BK446" s="2"/>
      <c r="BL446" s="8" t="str">
        <f t="shared" si="117"/>
        <v>+</v>
      </c>
    </row>
    <row r="447" spans="1:64">
      <c r="A447" s="1">
        <v>31809</v>
      </c>
      <c r="B447">
        <v>54.9</v>
      </c>
      <c r="C447">
        <v>59.8</v>
      </c>
      <c r="D447">
        <v>47.3</v>
      </c>
      <c r="E447">
        <v>60.7</v>
      </c>
      <c r="F447">
        <v>51.5</v>
      </c>
      <c r="G447">
        <v>46.3</v>
      </c>
      <c r="I447">
        <v>61.1</v>
      </c>
      <c r="W447" s="1">
        <v>31809</v>
      </c>
      <c r="X447">
        <v>284.20001200000002</v>
      </c>
      <c r="Y447" s="4">
        <f t="shared" si="104"/>
        <v>3.6923618943399898E-2</v>
      </c>
      <c r="Z447" s="4">
        <f t="shared" si="106"/>
        <v>0.25242382559865889</v>
      </c>
      <c r="AA447">
        <v>54.9</v>
      </c>
      <c r="AB447">
        <f t="shared" si="107"/>
        <v>51.2</v>
      </c>
      <c r="AP447" s="3">
        <v>31778</v>
      </c>
      <c r="AQ447" s="2">
        <v>50.5</v>
      </c>
      <c r="AR447" s="2" t="str">
        <f t="shared" si="108"/>
        <v>-</v>
      </c>
      <c r="AS447" s="2">
        <v>55.4</v>
      </c>
      <c r="AT447" s="8" t="str">
        <f t="shared" si="109"/>
        <v>-</v>
      </c>
      <c r="AU447" s="2">
        <v>53</v>
      </c>
      <c r="AV447" s="8" t="str">
        <f t="shared" si="110"/>
        <v>-</v>
      </c>
      <c r="AW447" s="2">
        <v>44.5</v>
      </c>
      <c r="AX447" s="8" t="str">
        <f t="shared" si="111"/>
        <v>+</v>
      </c>
      <c r="AY447" s="2">
        <v>52.8</v>
      </c>
      <c r="AZ447" s="8" t="str">
        <f t="shared" si="112"/>
        <v>+</v>
      </c>
      <c r="BA447" s="2">
        <v>38.4</v>
      </c>
      <c r="BB447" s="8" t="str">
        <f t="shared" si="113"/>
        <v>-</v>
      </c>
      <c r="BC447" s="2"/>
      <c r="BD447" s="8" t="str">
        <f t="shared" si="114"/>
        <v>+</v>
      </c>
      <c r="BE447" s="2">
        <v>57</v>
      </c>
      <c r="BF447" s="8" t="str">
        <f t="shared" si="105"/>
        <v>-</v>
      </c>
      <c r="BG447" s="2"/>
      <c r="BH447" s="8" t="str">
        <f t="shared" si="115"/>
        <v>+</v>
      </c>
      <c r="BI447" s="2"/>
      <c r="BJ447" s="8" t="str">
        <f t="shared" si="116"/>
        <v>+</v>
      </c>
      <c r="BK447" s="2"/>
      <c r="BL447" s="8" t="str">
        <f t="shared" si="117"/>
        <v>+</v>
      </c>
    </row>
    <row r="448" spans="1:64">
      <c r="A448" s="1">
        <v>31837</v>
      </c>
      <c r="B448">
        <v>52.6</v>
      </c>
      <c r="C448">
        <v>55.4</v>
      </c>
      <c r="D448">
        <v>46.6</v>
      </c>
      <c r="E448">
        <v>57.3</v>
      </c>
      <c r="F448">
        <v>51.2</v>
      </c>
      <c r="G448">
        <v>46.7</v>
      </c>
      <c r="I448">
        <v>62.5</v>
      </c>
      <c r="W448" s="1">
        <v>31837</v>
      </c>
      <c r="X448">
        <v>291.70001200000002</v>
      </c>
      <c r="Y448" s="4">
        <f t="shared" si="104"/>
        <v>2.6389865177064101E-2</v>
      </c>
      <c r="Z448" s="4">
        <f t="shared" si="106"/>
        <v>0.22101305703674495</v>
      </c>
      <c r="AA448">
        <v>52.6</v>
      </c>
      <c r="AB448">
        <f t="shared" si="107"/>
        <v>51</v>
      </c>
      <c r="AP448" s="3">
        <v>31809</v>
      </c>
      <c r="AQ448" s="2">
        <v>54.9</v>
      </c>
      <c r="AR448" s="2" t="str">
        <f t="shared" si="108"/>
        <v>+</v>
      </c>
      <c r="AS448" s="2">
        <v>59.8</v>
      </c>
      <c r="AT448" s="8" t="str">
        <f t="shared" si="109"/>
        <v>+</v>
      </c>
      <c r="AU448" s="2">
        <v>60.7</v>
      </c>
      <c r="AV448" s="8" t="str">
        <f t="shared" si="110"/>
        <v>+</v>
      </c>
      <c r="AW448" s="2">
        <v>47.3</v>
      </c>
      <c r="AX448" s="8" t="str">
        <f t="shared" si="111"/>
        <v>+</v>
      </c>
      <c r="AY448" s="2">
        <v>51.5</v>
      </c>
      <c r="AZ448" s="8" t="str">
        <f t="shared" si="112"/>
        <v>-</v>
      </c>
      <c r="BA448" s="2">
        <v>46.3</v>
      </c>
      <c r="BB448" s="8" t="str">
        <f t="shared" si="113"/>
        <v>+</v>
      </c>
      <c r="BC448" s="2"/>
      <c r="BD448" s="8" t="str">
        <f t="shared" si="114"/>
        <v>+</v>
      </c>
      <c r="BE448" s="2">
        <v>61.1</v>
      </c>
      <c r="BF448" s="8" t="str">
        <f t="shared" si="105"/>
        <v>+</v>
      </c>
      <c r="BG448" s="2"/>
      <c r="BH448" s="8" t="str">
        <f t="shared" si="115"/>
        <v>+</v>
      </c>
      <c r="BI448" s="2"/>
      <c r="BJ448" s="8" t="str">
        <f t="shared" si="116"/>
        <v>+</v>
      </c>
      <c r="BK448" s="2"/>
      <c r="BL448" s="8" t="str">
        <f t="shared" si="117"/>
        <v>+</v>
      </c>
    </row>
    <row r="449" spans="1:64">
      <c r="A449" s="1">
        <v>31868</v>
      </c>
      <c r="B449">
        <v>55</v>
      </c>
      <c r="C449">
        <v>61.6</v>
      </c>
      <c r="D449">
        <v>48.3</v>
      </c>
      <c r="E449">
        <v>57.6</v>
      </c>
      <c r="F449">
        <v>51.9</v>
      </c>
      <c r="G449">
        <v>46.5</v>
      </c>
      <c r="I449">
        <v>62.7</v>
      </c>
      <c r="W449" s="1">
        <v>31868</v>
      </c>
      <c r="X449">
        <v>288.35998499999999</v>
      </c>
      <c r="Y449" s="4">
        <f t="shared" si="104"/>
        <v>-1.1450212076096934E-2</v>
      </c>
      <c r="Z449" s="4">
        <f t="shared" si="106"/>
        <v>0.22435453508229389</v>
      </c>
      <c r="AA449">
        <v>55</v>
      </c>
      <c r="AB449">
        <f t="shared" si="107"/>
        <v>51</v>
      </c>
      <c r="AP449" s="3">
        <v>31837</v>
      </c>
      <c r="AQ449" s="2">
        <v>52.6</v>
      </c>
      <c r="AR449" s="2" t="str">
        <f t="shared" si="108"/>
        <v>-</v>
      </c>
      <c r="AS449" s="2">
        <v>55.4</v>
      </c>
      <c r="AT449" s="8" t="str">
        <f t="shared" si="109"/>
        <v>-</v>
      </c>
      <c r="AU449" s="2">
        <v>57.3</v>
      </c>
      <c r="AV449" s="8" t="str">
        <f t="shared" si="110"/>
        <v>-</v>
      </c>
      <c r="AW449" s="2">
        <v>46.6</v>
      </c>
      <c r="AX449" s="8" t="str">
        <f t="shared" si="111"/>
        <v>-</v>
      </c>
      <c r="AY449" s="2">
        <v>51.2</v>
      </c>
      <c r="AZ449" s="8" t="str">
        <f t="shared" si="112"/>
        <v>-</v>
      </c>
      <c r="BA449" s="2">
        <v>46.7</v>
      </c>
      <c r="BB449" s="8" t="str">
        <f t="shared" si="113"/>
        <v>+</v>
      </c>
      <c r="BC449" s="2"/>
      <c r="BD449" s="8" t="str">
        <f t="shared" si="114"/>
        <v>+</v>
      </c>
      <c r="BE449" s="2">
        <v>62.5</v>
      </c>
      <c r="BF449" s="8" t="str">
        <f t="shared" si="105"/>
        <v>+</v>
      </c>
      <c r="BG449" s="2"/>
      <c r="BH449" s="8" t="str">
        <f t="shared" si="115"/>
        <v>+</v>
      </c>
      <c r="BI449" s="2"/>
      <c r="BJ449" s="8" t="str">
        <f t="shared" si="116"/>
        <v>+</v>
      </c>
      <c r="BK449" s="2"/>
      <c r="BL449" s="8" t="str">
        <f t="shared" si="117"/>
        <v>+</v>
      </c>
    </row>
    <row r="450" spans="1:64">
      <c r="A450" s="1">
        <v>31898</v>
      </c>
      <c r="B450">
        <v>55.5</v>
      </c>
      <c r="C450">
        <v>59.8</v>
      </c>
      <c r="D450">
        <v>51.3</v>
      </c>
      <c r="E450">
        <v>59.3</v>
      </c>
      <c r="F450">
        <v>52.8</v>
      </c>
      <c r="G450">
        <v>45.9</v>
      </c>
      <c r="I450">
        <v>65.599999999999994</v>
      </c>
      <c r="W450" s="1">
        <v>31898</v>
      </c>
      <c r="X450">
        <v>290.10000600000001</v>
      </c>
      <c r="Y450" s="4">
        <f t="shared" si="104"/>
        <v>6.0341971511755103E-3</v>
      </c>
      <c r="Z450" s="4">
        <f t="shared" si="106"/>
        <v>0.17283201521329253</v>
      </c>
      <c r="AA450">
        <v>55.5</v>
      </c>
      <c r="AB450">
        <f t="shared" si="107"/>
        <v>49.7</v>
      </c>
      <c r="AP450" s="3">
        <v>31868</v>
      </c>
      <c r="AQ450" s="2">
        <v>55</v>
      </c>
      <c r="AR450" s="2" t="str">
        <f t="shared" si="108"/>
        <v>+</v>
      </c>
      <c r="AS450" s="2">
        <v>61.6</v>
      </c>
      <c r="AT450" s="8" t="str">
        <f t="shared" si="109"/>
        <v>+</v>
      </c>
      <c r="AU450" s="2">
        <v>57.6</v>
      </c>
      <c r="AV450" s="8" t="str">
        <f t="shared" si="110"/>
        <v>+</v>
      </c>
      <c r="AW450" s="2">
        <v>48.3</v>
      </c>
      <c r="AX450" s="8" t="str">
        <f t="shared" si="111"/>
        <v>+</v>
      </c>
      <c r="AY450" s="2">
        <v>51.9</v>
      </c>
      <c r="AZ450" s="8" t="str">
        <f t="shared" si="112"/>
        <v>+</v>
      </c>
      <c r="BA450" s="2">
        <v>46.5</v>
      </c>
      <c r="BB450" s="8" t="str">
        <f t="shared" si="113"/>
        <v>-</v>
      </c>
      <c r="BC450" s="2"/>
      <c r="BD450" s="8" t="str">
        <f t="shared" si="114"/>
        <v>+</v>
      </c>
      <c r="BE450" s="2">
        <v>62.7</v>
      </c>
      <c r="BF450" s="8" t="str">
        <f t="shared" si="105"/>
        <v>+</v>
      </c>
      <c r="BG450" s="2"/>
      <c r="BH450" s="8" t="str">
        <f t="shared" si="115"/>
        <v>+</v>
      </c>
      <c r="BI450" s="2"/>
      <c r="BJ450" s="8" t="str">
        <f t="shared" si="116"/>
        <v>+</v>
      </c>
      <c r="BK450" s="2"/>
      <c r="BL450" s="8" t="str">
        <f t="shared" si="117"/>
        <v>+</v>
      </c>
    </row>
    <row r="451" spans="1:64">
      <c r="A451" s="1">
        <v>31929</v>
      </c>
      <c r="B451">
        <v>57.2</v>
      </c>
      <c r="C451">
        <v>63.4</v>
      </c>
      <c r="D451">
        <v>50.9</v>
      </c>
      <c r="E451">
        <v>60.6</v>
      </c>
      <c r="F451">
        <v>54</v>
      </c>
      <c r="G451">
        <v>47.5</v>
      </c>
      <c r="I451">
        <v>67.599999999999994</v>
      </c>
      <c r="W451" s="1">
        <v>31929</v>
      </c>
      <c r="X451">
        <v>304</v>
      </c>
      <c r="Y451" s="4">
        <f t="shared" si="104"/>
        <v>4.791449056364374E-2</v>
      </c>
      <c r="Z451" s="4">
        <f t="shared" si="106"/>
        <v>0.2119279415073822</v>
      </c>
      <c r="AA451">
        <v>57.2</v>
      </c>
      <c r="AB451">
        <f t="shared" si="107"/>
        <v>53.4</v>
      </c>
      <c r="AP451" s="3">
        <v>31898</v>
      </c>
      <c r="AQ451" s="2">
        <v>55.5</v>
      </c>
      <c r="AR451" s="2" t="str">
        <f t="shared" si="108"/>
        <v>+</v>
      </c>
      <c r="AS451" s="2">
        <v>59.8</v>
      </c>
      <c r="AT451" s="8" t="str">
        <f t="shared" si="109"/>
        <v>-</v>
      </c>
      <c r="AU451" s="2">
        <v>59.3</v>
      </c>
      <c r="AV451" s="8" t="str">
        <f t="shared" si="110"/>
        <v>+</v>
      </c>
      <c r="AW451" s="2">
        <v>51.3</v>
      </c>
      <c r="AX451" s="8" t="str">
        <f t="shared" si="111"/>
        <v>+</v>
      </c>
      <c r="AY451" s="2">
        <v>52.8</v>
      </c>
      <c r="AZ451" s="8" t="str">
        <f t="shared" si="112"/>
        <v>+</v>
      </c>
      <c r="BA451" s="2">
        <v>45.9</v>
      </c>
      <c r="BB451" s="8" t="str">
        <f t="shared" si="113"/>
        <v>-</v>
      </c>
      <c r="BC451" s="2"/>
      <c r="BD451" s="8" t="str">
        <f t="shared" si="114"/>
        <v>+</v>
      </c>
      <c r="BE451" s="2">
        <v>65.599999999999994</v>
      </c>
      <c r="BF451" s="8" t="str">
        <f t="shared" si="105"/>
        <v>+</v>
      </c>
      <c r="BG451" s="2"/>
      <c r="BH451" s="8" t="str">
        <f t="shared" si="115"/>
        <v>+</v>
      </c>
      <c r="BI451" s="2"/>
      <c r="BJ451" s="8" t="str">
        <f t="shared" si="116"/>
        <v>+</v>
      </c>
      <c r="BK451" s="2"/>
      <c r="BL451" s="8" t="str">
        <f t="shared" si="117"/>
        <v>+</v>
      </c>
    </row>
    <row r="452" spans="1:64">
      <c r="A452" s="1">
        <v>31959</v>
      </c>
      <c r="B452">
        <v>57.4</v>
      </c>
      <c r="C452">
        <v>61.2</v>
      </c>
      <c r="D452">
        <v>51.4</v>
      </c>
      <c r="E452">
        <v>60.1</v>
      </c>
      <c r="F452">
        <v>56.8</v>
      </c>
      <c r="G452">
        <v>52.4</v>
      </c>
      <c r="I452">
        <v>72.599999999999994</v>
      </c>
      <c r="W452" s="1">
        <v>31959</v>
      </c>
      <c r="X452">
        <v>318.66000400000001</v>
      </c>
      <c r="Y452" s="4">
        <f t="shared" ref="Y452:Y515" si="118">(X452-X451)/X451</f>
        <v>4.8223697368421102E-2</v>
      </c>
      <c r="Z452" s="4">
        <f t="shared" si="106"/>
        <v>0.34956806178146849</v>
      </c>
      <c r="AA452">
        <v>57.4</v>
      </c>
      <c r="AB452">
        <f t="shared" si="107"/>
        <v>50.5</v>
      </c>
      <c r="AP452" s="3">
        <v>31929</v>
      </c>
      <c r="AQ452" s="2">
        <v>57.2</v>
      </c>
      <c r="AR452" s="2" t="str">
        <f t="shared" si="108"/>
        <v>+</v>
      </c>
      <c r="AS452" s="2">
        <v>63.4</v>
      </c>
      <c r="AT452" s="8" t="str">
        <f t="shared" si="109"/>
        <v>+</v>
      </c>
      <c r="AU452" s="2">
        <v>60.6</v>
      </c>
      <c r="AV452" s="8" t="str">
        <f t="shared" si="110"/>
        <v>+</v>
      </c>
      <c r="AW452" s="2">
        <v>50.9</v>
      </c>
      <c r="AX452" s="8" t="str">
        <f t="shared" si="111"/>
        <v>-</v>
      </c>
      <c r="AY452" s="2">
        <v>54</v>
      </c>
      <c r="AZ452" s="8" t="str">
        <f t="shared" si="112"/>
        <v>+</v>
      </c>
      <c r="BA452" s="2">
        <v>47.5</v>
      </c>
      <c r="BB452" s="8" t="str">
        <f t="shared" si="113"/>
        <v>+</v>
      </c>
      <c r="BC452" s="2"/>
      <c r="BD452" s="8" t="str">
        <f t="shared" si="114"/>
        <v>+</v>
      </c>
      <c r="BE452" s="2">
        <v>67.599999999999994</v>
      </c>
      <c r="BF452" s="8" t="str">
        <f t="shared" si="105"/>
        <v>+</v>
      </c>
      <c r="BG452" s="2"/>
      <c r="BH452" s="8" t="str">
        <f t="shared" si="115"/>
        <v>+</v>
      </c>
      <c r="BI452" s="2"/>
      <c r="BJ452" s="8" t="str">
        <f t="shared" si="116"/>
        <v>+</v>
      </c>
      <c r="BK452" s="2"/>
      <c r="BL452" s="8" t="str">
        <f t="shared" si="117"/>
        <v>+</v>
      </c>
    </row>
    <row r="453" spans="1:64">
      <c r="A453" s="1">
        <v>31990</v>
      </c>
      <c r="B453">
        <v>57.5</v>
      </c>
      <c r="C453">
        <v>64</v>
      </c>
      <c r="D453">
        <v>46.6</v>
      </c>
      <c r="E453">
        <v>62.5</v>
      </c>
      <c r="F453">
        <v>58.9</v>
      </c>
      <c r="G453">
        <v>44.7</v>
      </c>
      <c r="I453">
        <v>74.3</v>
      </c>
      <c r="W453" s="1">
        <v>31990</v>
      </c>
      <c r="X453">
        <v>329.79998799999998</v>
      </c>
      <c r="Y453" s="4">
        <f t="shared" si="118"/>
        <v>3.4958839704276067E-2</v>
      </c>
      <c r="Z453" s="4">
        <f t="shared" si="106"/>
        <v>0.30391806874402588</v>
      </c>
      <c r="AA453">
        <v>57.5</v>
      </c>
      <c r="AB453">
        <f t="shared" si="107"/>
        <v>48</v>
      </c>
      <c r="AP453" s="3">
        <v>31959</v>
      </c>
      <c r="AQ453" s="2">
        <v>57.4</v>
      </c>
      <c r="AR453" s="2" t="str">
        <f t="shared" si="108"/>
        <v>+</v>
      </c>
      <c r="AS453" s="2">
        <v>61.2</v>
      </c>
      <c r="AT453" s="8" t="str">
        <f t="shared" si="109"/>
        <v>-</v>
      </c>
      <c r="AU453" s="2">
        <v>60.1</v>
      </c>
      <c r="AV453" s="8" t="str">
        <f t="shared" si="110"/>
        <v>-</v>
      </c>
      <c r="AW453" s="2">
        <v>51.4</v>
      </c>
      <c r="AX453" s="8" t="str">
        <f t="shared" si="111"/>
        <v>+</v>
      </c>
      <c r="AY453" s="2">
        <v>56.8</v>
      </c>
      <c r="AZ453" s="8" t="str">
        <f t="shared" si="112"/>
        <v>+</v>
      </c>
      <c r="BA453" s="2">
        <v>52.4</v>
      </c>
      <c r="BB453" s="8" t="str">
        <f t="shared" si="113"/>
        <v>+</v>
      </c>
      <c r="BC453" s="2"/>
      <c r="BD453" s="8" t="str">
        <f t="shared" si="114"/>
        <v>+</v>
      </c>
      <c r="BE453" s="2">
        <v>72.599999999999994</v>
      </c>
      <c r="BF453" s="8" t="str">
        <f t="shared" si="105"/>
        <v>+</v>
      </c>
      <c r="BG453" s="2"/>
      <c r="BH453" s="8" t="str">
        <f t="shared" si="115"/>
        <v>+</v>
      </c>
      <c r="BI453" s="2"/>
      <c r="BJ453" s="8" t="str">
        <f t="shared" si="116"/>
        <v>+</v>
      </c>
      <c r="BK453" s="2"/>
      <c r="BL453" s="8" t="str">
        <f t="shared" si="117"/>
        <v>+</v>
      </c>
    </row>
    <row r="454" spans="1:64">
      <c r="A454" s="1">
        <v>32021</v>
      </c>
      <c r="B454">
        <v>59.3</v>
      </c>
      <c r="C454">
        <v>62.7</v>
      </c>
      <c r="D454">
        <v>52.4</v>
      </c>
      <c r="E454">
        <v>64.2</v>
      </c>
      <c r="F454">
        <v>60.3</v>
      </c>
      <c r="G454">
        <v>49.3</v>
      </c>
      <c r="I454">
        <v>77.400000000000006</v>
      </c>
      <c r="W454" s="1">
        <v>32021</v>
      </c>
      <c r="X454">
        <v>321.82998700000002</v>
      </c>
      <c r="Y454" s="4">
        <f t="shared" si="118"/>
        <v>-2.4166165221327928E-2</v>
      </c>
      <c r="Z454" s="4">
        <f t="shared" si="106"/>
        <v>0.39127605594443898</v>
      </c>
      <c r="AA454">
        <v>59.3</v>
      </c>
      <c r="AB454">
        <f t="shared" si="107"/>
        <v>52.6</v>
      </c>
      <c r="AP454" s="3">
        <v>31990</v>
      </c>
      <c r="AQ454" s="2">
        <v>57.5</v>
      </c>
      <c r="AR454" s="2" t="str">
        <f t="shared" si="108"/>
        <v>+</v>
      </c>
      <c r="AS454" s="2">
        <v>64</v>
      </c>
      <c r="AT454" s="8" t="str">
        <f t="shared" si="109"/>
        <v>+</v>
      </c>
      <c r="AU454" s="2">
        <v>62.5</v>
      </c>
      <c r="AV454" s="8" t="str">
        <f t="shared" si="110"/>
        <v>+</v>
      </c>
      <c r="AW454" s="2">
        <v>46.6</v>
      </c>
      <c r="AX454" s="8" t="str">
        <f t="shared" si="111"/>
        <v>-</v>
      </c>
      <c r="AY454" s="2">
        <v>58.9</v>
      </c>
      <c r="AZ454" s="8" t="str">
        <f t="shared" si="112"/>
        <v>+</v>
      </c>
      <c r="BA454" s="2">
        <v>44.7</v>
      </c>
      <c r="BB454" s="8" t="str">
        <f t="shared" si="113"/>
        <v>-</v>
      </c>
      <c r="BC454" s="2"/>
      <c r="BD454" s="8" t="str">
        <f t="shared" si="114"/>
        <v>+</v>
      </c>
      <c r="BE454" s="2">
        <v>74.3</v>
      </c>
      <c r="BF454" s="8" t="str">
        <f t="shared" ref="BF454:BF517" si="119">IF(OR(BE454&gt;BE453,BE454=BE453),"+","-")</f>
        <v>+</v>
      </c>
      <c r="BG454" s="2"/>
      <c r="BH454" s="8" t="str">
        <f t="shared" si="115"/>
        <v>+</v>
      </c>
      <c r="BI454" s="2"/>
      <c r="BJ454" s="8" t="str">
        <f t="shared" si="116"/>
        <v>+</v>
      </c>
      <c r="BK454" s="2"/>
      <c r="BL454" s="8" t="str">
        <f t="shared" si="117"/>
        <v>+</v>
      </c>
    </row>
    <row r="455" spans="1:64">
      <c r="A455" s="1">
        <v>32051</v>
      </c>
      <c r="B455">
        <v>60</v>
      </c>
      <c r="C455">
        <v>62.1</v>
      </c>
      <c r="D455">
        <v>54.5</v>
      </c>
      <c r="E455">
        <v>65.5</v>
      </c>
      <c r="F455">
        <v>61.5</v>
      </c>
      <c r="G455">
        <v>49.2</v>
      </c>
      <c r="I455">
        <v>77.3</v>
      </c>
      <c r="W455" s="1">
        <v>32051</v>
      </c>
      <c r="X455">
        <v>251.78999300000001</v>
      </c>
      <c r="Y455" s="4">
        <f t="shared" si="118"/>
        <v>-0.21763041614888423</v>
      </c>
      <c r="Z455" s="4">
        <f t="shared" si="106"/>
        <v>3.2010808787782792E-2</v>
      </c>
      <c r="AA455">
        <v>60</v>
      </c>
      <c r="AB455">
        <f t="shared" si="107"/>
        <v>52.4</v>
      </c>
      <c r="AP455" s="3">
        <v>32021</v>
      </c>
      <c r="AQ455" s="2">
        <v>59.3</v>
      </c>
      <c r="AR455" s="2" t="str">
        <f t="shared" si="108"/>
        <v>+</v>
      </c>
      <c r="AS455" s="2">
        <v>62.7</v>
      </c>
      <c r="AT455" s="8" t="str">
        <f t="shared" si="109"/>
        <v>-</v>
      </c>
      <c r="AU455" s="2">
        <v>64.2</v>
      </c>
      <c r="AV455" s="8" t="str">
        <f t="shared" si="110"/>
        <v>+</v>
      </c>
      <c r="AW455" s="2">
        <v>52.4</v>
      </c>
      <c r="AX455" s="8" t="str">
        <f t="shared" si="111"/>
        <v>+</v>
      </c>
      <c r="AY455" s="2">
        <v>60.3</v>
      </c>
      <c r="AZ455" s="8" t="str">
        <f t="shared" si="112"/>
        <v>+</v>
      </c>
      <c r="BA455" s="2">
        <v>49.3</v>
      </c>
      <c r="BB455" s="8" t="str">
        <f t="shared" si="113"/>
        <v>+</v>
      </c>
      <c r="BC455" s="2"/>
      <c r="BD455" s="8" t="str">
        <f t="shared" si="114"/>
        <v>+</v>
      </c>
      <c r="BE455" s="2">
        <v>77.400000000000006</v>
      </c>
      <c r="BF455" s="8" t="str">
        <f t="shared" si="119"/>
        <v>+</v>
      </c>
      <c r="BG455" s="2"/>
      <c r="BH455" s="8" t="str">
        <f t="shared" si="115"/>
        <v>+</v>
      </c>
      <c r="BI455" s="2"/>
      <c r="BJ455" s="8" t="str">
        <f t="shared" si="116"/>
        <v>+</v>
      </c>
      <c r="BK455" s="2"/>
      <c r="BL455" s="8" t="str">
        <f t="shared" si="117"/>
        <v>+</v>
      </c>
    </row>
    <row r="456" spans="1:64">
      <c r="A456" s="1">
        <v>32082</v>
      </c>
      <c r="B456">
        <v>60.7</v>
      </c>
      <c r="C456">
        <v>65.3</v>
      </c>
      <c r="D456">
        <v>54.6</v>
      </c>
      <c r="E456">
        <v>63.2</v>
      </c>
      <c r="F456">
        <v>62.2</v>
      </c>
      <c r="G456">
        <v>50.7</v>
      </c>
      <c r="I456">
        <v>78.099999999999994</v>
      </c>
      <c r="W456" s="1">
        <v>32082</v>
      </c>
      <c r="X456">
        <v>230.300003</v>
      </c>
      <c r="Y456" s="4">
        <f t="shared" si="118"/>
        <v>-8.5348864519806417E-2</v>
      </c>
      <c r="Z456" s="4">
        <f t="shared" si="106"/>
        <v>-7.5916852275431906E-2</v>
      </c>
      <c r="AA456">
        <v>60.7</v>
      </c>
      <c r="AB456">
        <f t="shared" si="107"/>
        <v>51.2</v>
      </c>
      <c r="AP456" s="3">
        <v>32051</v>
      </c>
      <c r="AQ456" s="2">
        <v>60</v>
      </c>
      <c r="AR456" s="2" t="str">
        <f t="shared" si="108"/>
        <v>+</v>
      </c>
      <c r="AS456" s="2">
        <v>62.1</v>
      </c>
      <c r="AT456" s="8" t="str">
        <f t="shared" si="109"/>
        <v>-</v>
      </c>
      <c r="AU456" s="2">
        <v>65.5</v>
      </c>
      <c r="AV456" s="8" t="str">
        <f t="shared" si="110"/>
        <v>+</v>
      </c>
      <c r="AW456" s="2">
        <v>54.5</v>
      </c>
      <c r="AX456" s="8" t="str">
        <f t="shared" si="111"/>
        <v>+</v>
      </c>
      <c r="AY456" s="2">
        <v>61.5</v>
      </c>
      <c r="AZ456" s="8" t="str">
        <f t="shared" si="112"/>
        <v>+</v>
      </c>
      <c r="BA456" s="2">
        <v>49.2</v>
      </c>
      <c r="BB456" s="8" t="str">
        <f t="shared" si="113"/>
        <v>-</v>
      </c>
      <c r="BC456" s="2"/>
      <c r="BD456" s="8" t="str">
        <f t="shared" si="114"/>
        <v>+</v>
      </c>
      <c r="BE456" s="2">
        <v>77.3</v>
      </c>
      <c r="BF456" s="8" t="str">
        <f t="shared" si="119"/>
        <v>-</v>
      </c>
      <c r="BG456" s="2"/>
      <c r="BH456" s="8" t="str">
        <f t="shared" si="115"/>
        <v>+</v>
      </c>
      <c r="BI456" s="2"/>
      <c r="BJ456" s="8" t="str">
        <f t="shared" si="116"/>
        <v>+</v>
      </c>
      <c r="BK456" s="2"/>
      <c r="BL456" s="8" t="str">
        <f t="shared" si="117"/>
        <v>+</v>
      </c>
    </row>
    <row r="457" spans="1:64">
      <c r="A457" s="1">
        <v>32112</v>
      </c>
      <c r="B457">
        <v>58.8</v>
      </c>
      <c r="C457">
        <v>59.3</v>
      </c>
      <c r="D457">
        <v>53.7</v>
      </c>
      <c r="E457">
        <v>61.9</v>
      </c>
      <c r="F457">
        <v>64.900000000000006</v>
      </c>
      <c r="G457">
        <v>51.2</v>
      </c>
      <c r="I457">
        <v>79.2</v>
      </c>
      <c r="W457" s="1">
        <v>32112</v>
      </c>
      <c r="X457">
        <v>247.08000200000001</v>
      </c>
      <c r="Y457" s="4">
        <f t="shared" si="118"/>
        <v>7.2861479728248219E-2</v>
      </c>
      <c r="Z457" s="4">
        <f t="shared" si="106"/>
        <v>2.0275030105091775E-2</v>
      </c>
      <c r="AA457">
        <v>58.8</v>
      </c>
      <c r="AB457">
        <f t="shared" si="107"/>
        <v>51.2</v>
      </c>
      <c r="AP457" s="3">
        <v>32082</v>
      </c>
      <c r="AQ457" s="2">
        <v>60.7</v>
      </c>
      <c r="AR457" s="2" t="str">
        <f t="shared" si="108"/>
        <v>+</v>
      </c>
      <c r="AS457" s="2">
        <v>65.3</v>
      </c>
      <c r="AT457" s="8" t="str">
        <f t="shared" si="109"/>
        <v>+</v>
      </c>
      <c r="AU457" s="2">
        <v>63.2</v>
      </c>
      <c r="AV457" s="8" t="str">
        <f t="shared" si="110"/>
        <v>-</v>
      </c>
      <c r="AW457" s="2">
        <v>54.6</v>
      </c>
      <c r="AX457" s="8" t="str">
        <f t="shared" si="111"/>
        <v>+</v>
      </c>
      <c r="AY457" s="2">
        <v>62.2</v>
      </c>
      <c r="AZ457" s="8" t="str">
        <f t="shared" si="112"/>
        <v>+</v>
      </c>
      <c r="BA457" s="2">
        <v>50.7</v>
      </c>
      <c r="BB457" s="8" t="str">
        <f t="shared" si="113"/>
        <v>+</v>
      </c>
      <c r="BC457" s="2"/>
      <c r="BD457" s="8" t="str">
        <f t="shared" si="114"/>
        <v>+</v>
      </c>
      <c r="BE457" s="2">
        <v>78.099999999999994</v>
      </c>
      <c r="BF457" s="8" t="str">
        <f t="shared" si="119"/>
        <v>+</v>
      </c>
      <c r="BG457" s="2"/>
      <c r="BH457" s="8" t="str">
        <f t="shared" si="115"/>
        <v>+</v>
      </c>
      <c r="BI457" s="2"/>
      <c r="BJ457" s="8" t="str">
        <f t="shared" si="116"/>
        <v>+</v>
      </c>
      <c r="BK457" s="2"/>
      <c r="BL457" s="8" t="str">
        <f t="shared" si="117"/>
        <v>+</v>
      </c>
    </row>
    <row r="458" spans="1:64">
      <c r="A458" s="1">
        <v>32143</v>
      </c>
      <c r="B458">
        <v>61</v>
      </c>
      <c r="C458">
        <v>61.5</v>
      </c>
      <c r="D458">
        <v>59.1</v>
      </c>
      <c r="E458">
        <v>65.099999999999994</v>
      </c>
      <c r="F458">
        <v>62.7</v>
      </c>
      <c r="G458">
        <v>50.8</v>
      </c>
      <c r="I458">
        <v>80.2</v>
      </c>
      <c r="W458" s="1">
        <v>32143</v>
      </c>
      <c r="X458">
        <v>257.07000699999998</v>
      </c>
      <c r="Y458" s="4">
        <f t="shared" si="118"/>
        <v>4.0432268573479965E-2</v>
      </c>
      <c r="Z458" s="4">
        <f t="shared" si="106"/>
        <v>-6.2062101601019271E-2</v>
      </c>
      <c r="AA458">
        <v>61</v>
      </c>
      <c r="AB458">
        <f t="shared" si="107"/>
        <v>50.5</v>
      </c>
      <c r="AP458" s="3">
        <v>32112</v>
      </c>
      <c r="AQ458" s="2">
        <v>58.8</v>
      </c>
      <c r="AR458" s="2" t="str">
        <f t="shared" si="108"/>
        <v>-</v>
      </c>
      <c r="AS458" s="2">
        <v>59.3</v>
      </c>
      <c r="AT458" s="8" t="str">
        <f t="shared" si="109"/>
        <v>-</v>
      </c>
      <c r="AU458" s="2">
        <v>61.9</v>
      </c>
      <c r="AV458" s="8" t="str">
        <f t="shared" si="110"/>
        <v>-</v>
      </c>
      <c r="AW458" s="2">
        <v>53.7</v>
      </c>
      <c r="AX458" s="8" t="str">
        <f t="shared" si="111"/>
        <v>-</v>
      </c>
      <c r="AY458" s="2">
        <v>64.900000000000006</v>
      </c>
      <c r="AZ458" s="8" t="str">
        <f t="shared" si="112"/>
        <v>+</v>
      </c>
      <c r="BA458" s="2">
        <v>51.2</v>
      </c>
      <c r="BB458" s="8" t="str">
        <f t="shared" si="113"/>
        <v>+</v>
      </c>
      <c r="BC458" s="2"/>
      <c r="BD458" s="8" t="str">
        <f t="shared" si="114"/>
        <v>+</v>
      </c>
      <c r="BE458" s="2">
        <v>79.2</v>
      </c>
      <c r="BF458" s="8" t="str">
        <f t="shared" si="119"/>
        <v>+</v>
      </c>
      <c r="BG458" s="2"/>
      <c r="BH458" s="8" t="str">
        <f t="shared" si="115"/>
        <v>+</v>
      </c>
      <c r="BI458" s="2"/>
      <c r="BJ458" s="8" t="str">
        <f t="shared" si="116"/>
        <v>+</v>
      </c>
      <c r="BK458" s="2"/>
      <c r="BL458" s="8" t="str">
        <f t="shared" si="117"/>
        <v>+</v>
      </c>
    </row>
    <row r="459" spans="1:64">
      <c r="A459" s="1">
        <v>32174</v>
      </c>
      <c r="B459">
        <v>57.5</v>
      </c>
      <c r="C459">
        <v>60.3</v>
      </c>
      <c r="D459">
        <v>51.2</v>
      </c>
      <c r="E459">
        <v>59.3</v>
      </c>
      <c r="F459">
        <v>62</v>
      </c>
      <c r="G459">
        <v>50.7</v>
      </c>
      <c r="I459">
        <v>78.7</v>
      </c>
      <c r="K459">
        <v>66</v>
      </c>
      <c r="W459" s="1">
        <v>32174</v>
      </c>
      <c r="X459">
        <v>267.82000699999998</v>
      </c>
      <c r="Y459" s="4">
        <f t="shared" si="118"/>
        <v>4.1817402681285962E-2</v>
      </c>
      <c r="Z459" s="4">
        <f t="shared" si="106"/>
        <v>-5.7635483139951586E-2</v>
      </c>
      <c r="AA459">
        <v>57.5</v>
      </c>
      <c r="AB459">
        <f t="shared" si="107"/>
        <v>54.9</v>
      </c>
      <c r="AP459" s="3">
        <v>32143</v>
      </c>
      <c r="AQ459" s="2">
        <v>61</v>
      </c>
      <c r="AR459" s="2" t="str">
        <f t="shared" si="108"/>
        <v>+</v>
      </c>
      <c r="AS459" s="2">
        <v>61.5</v>
      </c>
      <c r="AT459" s="8" t="str">
        <f t="shared" si="109"/>
        <v>+</v>
      </c>
      <c r="AU459" s="2">
        <v>65.099999999999994</v>
      </c>
      <c r="AV459" s="8" t="str">
        <f t="shared" si="110"/>
        <v>+</v>
      </c>
      <c r="AW459" s="2">
        <v>59.1</v>
      </c>
      <c r="AX459" s="8" t="str">
        <f t="shared" si="111"/>
        <v>+</v>
      </c>
      <c r="AY459" s="2">
        <v>62.7</v>
      </c>
      <c r="AZ459" s="8" t="str">
        <f t="shared" si="112"/>
        <v>-</v>
      </c>
      <c r="BA459" s="2">
        <v>50.8</v>
      </c>
      <c r="BB459" s="8" t="str">
        <f t="shared" si="113"/>
        <v>-</v>
      </c>
      <c r="BC459" s="2"/>
      <c r="BD459" s="8" t="str">
        <f t="shared" si="114"/>
        <v>+</v>
      </c>
      <c r="BE459" s="2">
        <v>80.2</v>
      </c>
      <c r="BF459" s="8" t="str">
        <f t="shared" si="119"/>
        <v>+</v>
      </c>
      <c r="BG459" s="2"/>
      <c r="BH459" s="8" t="str">
        <f t="shared" si="115"/>
        <v>+</v>
      </c>
      <c r="BI459" s="2"/>
      <c r="BJ459" s="8" t="str">
        <f t="shared" si="116"/>
        <v>+</v>
      </c>
      <c r="BK459" s="2"/>
      <c r="BL459" s="8" t="str">
        <f t="shared" si="117"/>
        <v>+</v>
      </c>
    </row>
    <row r="460" spans="1:64">
      <c r="A460" s="1">
        <v>32203</v>
      </c>
      <c r="B460">
        <v>56.2</v>
      </c>
      <c r="C460">
        <v>57</v>
      </c>
      <c r="D460">
        <v>52.5</v>
      </c>
      <c r="E460">
        <v>58.6</v>
      </c>
      <c r="F460">
        <v>61.2</v>
      </c>
      <c r="G460">
        <v>48.1</v>
      </c>
      <c r="I460">
        <v>81.2</v>
      </c>
      <c r="K460">
        <v>65.7</v>
      </c>
      <c r="W460" s="1">
        <v>32203</v>
      </c>
      <c r="X460">
        <v>258.89001500000001</v>
      </c>
      <c r="Y460" s="4">
        <f t="shared" si="118"/>
        <v>-3.3343259527283828E-2</v>
      </c>
      <c r="Z460" s="4">
        <f t="shared" si="106"/>
        <v>-0.11247855896557182</v>
      </c>
      <c r="AA460">
        <v>56.2</v>
      </c>
      <c r="AB460">
        <f t="shared" si="107"/>
        <v>52.6</v>
      </c>
      <c r="AP460" s="3">
        <v>32174</v>
      </c>
      <c r="AQ460" s="2">
        <v>57.5</v>
      </c>
      <c r="AR460" s="2" t="str">
        <f t="shared" si="108"/>
        <v>-</v>
      </c>
      <c r="AS460" s="2">
        <v>60.3</v>
      </c>
      <c r="AT460" s="8" t="str">
        <f t="shared" si="109"/>
        <v>-</v>
      </c>
      <c r="AU460" s="2">
        <v>59.3</v>
      </c>
      <c r="AV460" s="8" t="str">
        <f t="shared" si="110"/>
        <v>-</v>
      </c>
      <c r="AW460" s="2">
        <v>51.2</v>
      </c>
      <c r="AX460" s="8" t="str">
        <f t="shared" si="111"/>
        <v>-</v>
      </c>
      <c r="AY460" s="2">
        <v>62</v>
      </c>
      <c r="AZ460" s="8" t="str">
        <f t="shared" si="112"/>
        <v>-</v>
      </c>
      <c r="BA460" s="2">
        <v>50.7</v>
      </c>
      <c r="BB460" s="8" t="str">
        <f t="shared" si="113"/>
        <v>-</v>
      </c>
      <c r="BC460" s="2"/>
      <c r="BD460" s="8" t="str">
        <f t="shared" si="114"/>
        <v>+</v>
      </c>
      <c r="BE460" s="2">
        <v>78.7</v>
      </c>
      <c r="BF460" s="8" t="str">
        <f t="shared" si="119"/>
        <v>-</v>
      </c>
      <c r="BG460" s="2"/>
      <c r="BH460" s="8" t="str">
        <f t="shared" si="115"/>
        <v>+</v>
      </c>
      <c r="BI460" s="2">
        <v>66</v>
      </c>
      <c r="BJ460" s="8" t="str">
        <f t="shared" si="116"/>
        <v>+</v>
      </c>
      <c r="BK460" s="2"/>
      <c r="BL460" s="8" t="str">
        <f t="shared" si="117"/>
        <v>+</v>
      </c>
    </row>
    <row r="461" spans="1:64">
      <c r="A461" s="1">
        <v>32234</v>
      </c>
      <c r="B461">
        <v>54.6</v>
      </c>
      <c r="C461">
        <v>57.9</v>
      </c>
      <c r="D461">
        <v>50.2</v>
      </c>
      <c r="E461">
        <v>57.7</v>
      </c>
      <c r="F461">
        <v>57.3</v>
      </c>
      <c r="G461">
        <v>41.9</v>
      </c>
      <c r="I461">
        <v>74.5</v>
      </c>
      <c r="K461">
        <v>64.5</v>
      </c>
      <c r="W461" s="1">
        <v>32234</v>
      </c>
      <c r="X461">
        <v>261.32998700000002</v>
      </c>
      <c r="Y461" s="4">
        <f t="shared" si="118"/>
        <v>9.4247435537442859E-3</v>
      </c>
      <c r="Z461" s="4">
        <f t="shared" si="106"/>
        <v>-9.3736993362653898E-2</v>
      </c>
      <c r="AA461">
        <v>54.6</v>
      </c>
      <c r="AB461">
        <f t="shared" si="107"/>
        <v>55</v>
      </c>
      <c r="AP461" s="3">
        <v>32203</v>
      </c>
      <c r="AQ461" s="2">
        <v>56.2</v>
      </c>
      <c r="AR461" s="2" t="str">
        <f t="shared" si="108"/>
        <v>-</v>
      </c>
      <c r="AS461" s="2">
        <v>57</v>
      </c>
      <c r="AT461" s="8" t="str">
        <f t="shared" si="109"/>
        <v>-</v>
      </c>
      <c r="AU461" s="2">
        <v>58.6</v>
      </c>
      <c r="AV461" s="8" t="str">
        <f t="shared" si="110"/>
        <v>-</v>
      </c>
      <c r="AW461" s="2">
        <v>52.5</v>
      </c>
      <c r="AX461" s="8" t="str">
        <f t="shared" si="111"/>
        <v>+</v>
      </c>
      <c r="AY461" s="2">
        <v>61.2</v>
      </c>
      <c r="AZ461" s="8" t="str">
        <f t="shared" si="112"/>
        <v>-</v>
      </c>
      <c r="BA461" s="2">
        <v>48.1</v>
      </c>
      <c r="BB461" s="8" t="str">
        <f t="shared" si="113"/>
        <v>-</v>
      </c>
      <c r="BC461" s="2"/>
      <c r="BD461" s="8" t="str">
        <f t="shared" si="114"/>
        <v>+</v>
      </c>
      <c r="BE461" s="2">
        <v>81.2</v>
      </c>
      <c r="BF461" s="8" t="str">
        <f t="shared" si="119"/>
        <v>+</v>
      </c>
      <c r="BG461" s="2"/>
      <c r="BH461" s="8" t="str">
        <f t="shared" si="115"/>
        <v>+</v>
      </c>
      <c r="BI461" s="2">
        <v>65.7</v>
      </c>
      <c r="BJ461" s="8" t="str">
        <f t="shared" si="116"/>
        <v>-</v>
      </c>
      <c r="BK461" s="2"/>
      <c r="BL461" s="8" t="str">
        <f t="shared" si="117"/>
        <v>+</v>
      </c>
    </row>
    <row r="462" spans="1:64">
      <c r="A462" s="1">
        <v>32264</v>
      </c>
      <c r="B462">
        <v>55.8</v>
      </c>
      <c r="C462">
        <v>57.6</v>
      </c>
      <c r="D462">
        <v>49.2</v>
      </c>
      <c r="E462">
        <v>59.1</v>
      </c>
      <c r="F462">
        <v>58.6</v>
      </c>
      <c r="G462">
        <v>51</v>
      </c>
      <c r="I462">
        <v>81</v>
      </c>
      <c r="K462">
        <v>64</v>
      </c>
      <c r="W462" s="1">
        <v>32264</v>
      </c>
      <c r="X462">
        <v>262.16000400000001</v>
      </c>
      <c r="Y462" s="4">
        <f t="shared" si="118"/>
        <v>3.1761261289926057E-3</v>
      </c>
      <c r="Z462" s="4">
        <f t="shared" si="106"/>
        <v>-9.6311621586109147E-2</v>
      </c>
      <c r="AA462">
        <v>55.8</v>
      </c>
      <c r="AB462">
        <f t="shared" si="107"/>
        <v>55.5</v>
      </c>
      <c r="AP462" s="3">
        <v>32234</v>
      </c>
      <c r="AQ462" s="2">
        <v>54.6</v>
      </c>
      <c r="AR462" s="2" t="str">
        <f t="shared" si="108"/>
        <v>-</v>
      </c>
      <c r="AS462" s="2">
        <v>57.9</v>
      </c>
      <c r="AT462" s="8" t="str">
        <f t="shared" si="109"/>
        <v>+</v>
      </c>
      <c r="AU462" s="2">
        <v>57.7</v>
      </c>
      <c r="AV462" s="8" t="str">
        <f t="shared" si="110"/>
        <v>-</v>
      </c>
      <c r="AW462" s="2">
        <v>50.2</v>
      </c>
      <c r="AX462" s="8" t="str">
        <f t="shared" si="111"/>
        <v>-</v>
      </c>
      <c r="AY462" s="2">
        <v>57.3</v>
      </c>
      <c r="AZ462" s="8" t="str">
        <f t="shared" si="112"/>
        <v>-</v>
      </c>
      <c r="BA462" s="2">
        <v>41.9</v>
      </c>
      <c r="BB462" s="8" t="str">
        <f t="shared" si="113"/>
        <v>-</v>
      </c>
      <c r="BC462" s="2"/>
      <c r="BD462" s="8" t="str">
        <f t="shared" si="114"/>
        <v>+</v>
      </c>
      <c r="BE462" s="2">
        <v>74.5</v>
      </c>
      <c r="BF462" s="8" t="str">
        <f t="shared" si="119"/>
        <v>-</v>
      </c>
      <c r="BG462" s="2"/>
      <c r="BH462" s="8" t="str">
        <f t="shared" si="115"/>
        <v>+</v>
      </c>
      <c r="BI462" s="2">
        <v>64.5</v>
      </c>
      <c r="BJ462" s="8" t="str">
        <f t="shared" si="116"/>
        <v>-</v>
      </c>
      <c r="BK462" s="2"/>
      <c r="BL462" s="8" t="str">
        <f t="shared" si="117"/>
        <v>+</v>
      </c>
    </row>
    <row r="463" spans="1:64">
      <c r="A463" s="1">
        <v>32295</v>
      </c>
      <c r="B463">
        <v>55.5</v>
      </c>
      <c r="C463">
        <v>57.7</v>
      </c>
      <c r="D463">
        <v>50.4</v>
      </c>
      <c r="E463">
        <v>58</v>
      </c>
      <c r="F463">
        <v>56.9</v>
      </c>
      <c r="G463">
        <v>51.2</v>
      </c>
      <c r="I463">
        <v>81.5</v>
      </c>
      <c r="K463">
        <v>65.5</v>
      </c>
      <c r="W463" s="1">
        <v>32295</v>
      </c>
      <c r="X463">
        <v>273.5</v>
      </c>
      <c r="Y463" s="4">
        <f t="shared" si="118"/>
        <v>4.32560109359778E-2</v>
      </c>
      <c r="Z463" s="4">
        <f t="shared" ref="Z463:Z526" si="120">(X463-X451)/X451</f>
        <v>-0.10032894736842106</v>
      </c>
      <c r="AA463">
        <v>55.5</v>
      </c>
      <c r="AB463">
        <f t="shared" ref="AB463:AB526" si="121">AA451</f>
        <v>57.2</v>
      </c>
      <c r="AP463" s="3">
        <v>32264</v>
      </c>
      <c r="AQ463" s="2">
        <v>55.8</v>
      </c>
      <c r="AR463" s="2" t="str">
        <f t="shared" si="108"/>
        <v>+</v>
      </c>
      <c r="AS463" s="2">
        <v>57.6</v>
      </c>
      <c r="AT463" s="8" t="str">
        <f t="shared" si="109"/>
        <v>-</v>
      </c>
      <c r="AU463" s="2">
        <v>59.1</v>
      </c>
      <c r="AV463" s="8" t="str">
        <f t="shared" si="110"/>
        <v>+</v>
      </c>
      <c r="AW463" s="2">
        <v>49.2</v>
      </c>
      <c r="AX463" s="8" t="str">
        <f t="shared" si="111"/>
        <v>-</v>
      </c>
      <c r="AY463" s="2">
        <v>58.6</v>
      </c>
      <c r="AZ463" s="8" t="str">
        <f t="shared" si="112"/>
        <v>+</v>
      </c>
      <c r="BA463" s="2">
        <v>51</v>
      </c>
      <c r="BB463" s="8" t="str">
        <f t="shared" si="113"/>
        <v>+</v>
      </c>
      <c r="BC463" s="2"/>
      <c r="BD463" s="8" t="str">
        <f t="shared" si="114"/>
        <v>+</v>
      </c>
      <c r="BE463" s="2">
        <v>81</v>
      </c>
      <c r="BF463" s="8" t="str">
        <f t="shared" si="119"/>
        <v>+</v>
      </c>
      <c r="BG463" s="2"/>
      <c r="BH463" s="8" t="str">
        <f t="shared" si="115"/>
        <v>+</v>
      </c>
      <c r="BI463" s="2">
        <v>64</v>
      </c>
      <c r="BJ463" s="8" t="str">
        <f t="shared" si="116"/>
        <v>-</v>
      </c>
      <c r="BK463" s="2"/>
      <c r="BL463" s="8" t="str">
        <f t="shared" si="117"/>
        <v>+</v>
      </c>
    </row>
    <row r="464" spans="1:64">
      <c r="A464" s="1">
        <v>32325</v>
      </c>
      <c r="B464">
        <v>59.3</v>
      </c>
      <c r="C464">
        <v>63.6</v>
      </c>
      <c r="D464">
        <v>50.5</v>
      </c>
      <c r="E464">
        <v>61.7</v>
      </c>
      <c r="F464">
        <v>65.599999999999994</v>
      </c>
      <c r="G464">
        <v>48.2</v>
      </c>
      <c r="I464">
        <v>80.7</v>
      </c>
      <c r="K464">
        <v>66</v>
      </c>
      <c r="W464" s="1">
        <v>32325</v>
      </c>
      <c r="X464">
        <v>272.01998900000001</v>
      </c>
      <c r="Y464" s="4">
        <f t="shared" si="118"/>
        <v>-5.4113747714807691E-3</v>
      </c>
      <c r="Z464" s="4">
        <f t="shared" si="120"/>
        <v>-0.14636293985611074</v>
      </c>
      <c r="AA464">
        <v>59.3</v>
      </c>
      <c r="AB464">
        <f t="shared" si="121"/>
        <v>57.4</v>
      </c>
      <c r="AP464" s="3">
        <v>32295</v>
      </c>
      <c r="AQ464" s="2">
        <v>55.5</v>
      </c>
      <c r="AR464" s="2" t="str">
        <f t="shared" si="108"/>
        <v>-</v>
      </c>
      <c r="AS464" s="2">
        <v>57.7</v>
      </c>
      <c r="AT464" s="8" t="str">
        <f t="shared" si="109"/>
        <v>+</v>
      </c>
      <c r="AU464" s="2">
        <v>58</v>
      </c>
      <c r="AV464" s="8" t="str">
        <f t="shared" si="110"/>
        <v>-</v>
      </c>
      <c r="AW464" s="2">
        <v>50.4</v>
      </c>
      <c r="AX464" s="8" t="str">
        <f t="shared" si="111"/>
        <v>+</v>
      </c>
      <c r="AY464" s="2">
        <v>56.9</v>
      </c>
      <c r="AZ464" s="8" t="str">
        <f t="shared" si="112"/>
        <v>-</v>
      </c>
      <c r="BA464" s="2">
        <v>51.2</v>
      </c>
      <c r="BB464" s="8" t="str">
        <f t="shared" si="113"/>
        <v>+</v>
      </c>
      <c r="BC464" s="2"/>
      <c r="BD464" s="8" t="str">
        <f t="shared" si="114"/>
        <v>+</v>
      </c>
      <c r="BE464" s="2">
        <v>81.5</v>
      </c>
      <c r="BF464" s="8" t="str">
        <f t="shared" si="119"/>
        <v>+</v>
      </c>
      <c r="BG464" s="2"/>
      <c r="BH464" s="8" t="str">
        <f t="shared" si="115"/>
        <v>+</v>
      </c>
      <c r="BI464" s="2">
        <v>65.5</v>
      </c>
      <c r="BJ464" s="8" t="str">
        <f t="shared" si="116"/>
        <v>+</v>
      </c>
      <c r="BK464" s="2"/>
      <c r="BL464" s="8" t="str">
        <f t="shared" si="117"/>
        <v>+</v>
      </c>
    </row>
    <row r="465" spans="1:64">
      <c r="A465" s="1">
        <v>32356</v>
      </c>
      <c r="B465">
        <v>58.2</v>
      </c>
      <c r="C465">
        <v>60.6</v>
      </c>
      <c r="D465">
        <v>52.5</v>
      </c>
      <c r="E465">
        <v>61.2</v>
      </c>
      <c r="F465">
        <v>58.4</v>
      </c>
      <c r="G465">
        <v>54.5</v>
      </c>
      <c r="I465">
        <v>81</v>
      </c>
      <c r="K465">
        <v>67.5</v>
      </c>
      <c r="W465" s="1">
        <v>32356</v>
      </c>
      <c r="X465">
        <v>261.51998900000001</v>
      </c>
      <c r="Y465" s="4">
        <f t="shared" si="118"/>
        <v>-3.8600104494526687E-2</v>
      </c>
      <c r="Z465" s="4">
        <f t="shared" si="120"/>
        <v>-0.20703457090483574</v>
      </c>
      <c r="AA465">
        <v>58.2</v>
      </c>
      <c r="AB465">
        <f t="shared" si="121"/>
        <v>57.5</v>
      </c>
      <c r="AP465" s="3">
        <v>32325</v>
      </c>
      <c r="AQ465" s="2">
        <v>59.3</v>
      </c>
      <c r="AR465" s="2" t="str">
        <f t="shared" si="108"/>
        <v>+</v>
      </c>
      <c r="AS465" s="2">
        <v>63.6</v>
      </c>
      <c r="AT465" s="8" t="str">
        <f t="shared" si="109"/>
        <v>+</v>
      </c>
      <c r="AU465" s="2">
        <v>61.7</v>
      </c>
      <c r="AV465" s="8" t="str">
        <f t="shared" si="110"/>
        <v>+</v>
      </c>
      <c r="AW465" s="2">
        <v>50.5</v>
      </c>
      <c r="AX465" s="8" t="str">
        <f t="shared" si="111"/>
        <v>+</v>
      </c>
      <c r="AY465" s="2">
        <v>65.599999999999994</v>
      </c>
      <c r="AZ465" s="8" t="str">
        <f t="shared" si="112"/>
        <v>+</v>
      </c>
      <c r="BA465" s="2">
        <v>48.2</v>
      </c>
      <c r="BB465" s="8" t="str">
        <f t="shared" si="113"/>
        <v>-</v>
      </c>
      <c r="BC465" s="2"/>
      <c r="BD465" s="8" t="str">
        <f t="shared" si="114"/>
        <v>+</v>
      </c>
      <c r="BE465" s="2">
        <v>80.7</v>
      </c>
      <c r="BF465" s="8" t="str">
        <f t="shared" si="119"/>
        <v>-</v>
      </c>
      <c r="BG465" s="2"/>
      <c r="BH465" s="8" t="str">
        <f t="shared" si="115"/>
        <v>+</v>
      </c>
      <c r="BI465" s="2">
        <v>66</v>
      </c>
      <c r="BJ465" s="8" t="str">
        <f t="shared" si="116"/>
        <v>+</v>
      </c>
      <c r="BK465" s="2"/>
      <c r="BL465" s="8" t="str">
        <f t="shared" si="117"/>
        <v>+</v>
      </c>
    </row>
    <row r="466" spans="1:64">
      <c r="A466" s="1">
        <v>32387</v>
      </c>
      <c r="B466">
        <v>56</v>
      </c>
      <c r="C466">
        <v>59.2</v>
      </c>
      <c r="D466">
        <v>51.2</v>
      </c>
      <c r="E466">
        <v>57.8</v>
      </c>
      <c r="F466">
        <v>57.4</v>
      </c>
      <c r="G466">
        <v>49.4</v>
      </c>
      <c r="I466">
        <v>78.2</v>
      </c>
      <c r="K466">
        <v>59.9</v>
      </c>
      <c r="W466" s="1">
        <v>32387</v>
      </c>
      <c r="X466">
        <v>271.91000400000001</v>
      </c>
      <c r="Y466" s="4">
        <f t="shared" si="118"/>
        <v>3.9729334035724533E-2</v>
      </c>
      <c r="Z466" s="4">
        <f t="shared" si="120"/>
        <v>-0.15511290127231059</v>
      </c>
      <c r="AA466">
        <v>56</v>
      </c>
      <c r="AB466">
        <f t="shared" si="121"/>
        <v>59.3</v>
      </c>
      <c r="AP466" s="3">
        <v>32356</v>
      </c>
      <c r="AQ466" s="2">
        <v>58.2</v>
      </c>
      <c r="AR466" s="2" t="str">
        <f t="shared" si="108"/>
        <v>-</v>
      </c>
      <c r="AS466" s="2">
        <v>60.6</v>
      </c>
      <c r="AT466" s="8" t="str">
        <f t="shared" si="109"/>
        <v>-</v>
      </c>
      <c r="AU466" s="2">
        <v>61.2</v>
      </c>
      <c r="AV466" s="8" t="str">
        <f t="shared" si="110"/>
        <v>-</v>
      </c>
      <c r="AW466" s="2">
        <v>52.5</v>
      </c>
      <c r="AX466" s="8" t="str">
        <f t="shared" si="111"/>
        <v>+</v>
      </c>
      <c r="AY466" s="2">
        <v>58.4</v>
      </c>
      <c r="AZ466" s="8" t="str">
        <f t="shared" si="112"/>
        <v>-</v>
      </c>
      <c r="BA466" s="2">
        <v>54.5</v>
      </c>
      <c r="BB466" s="8" t="str">
        <f t="shared" si="113"/>
        <v>+</v>
      </c>
      <c r="BC466" s="2"/>
      <c r="BD466" s="8" t="str">
        <f t="shared" si="114"/>
        <v>+</v>
      </c>
      <c r="BE466" s="2">
        <v>81</v>
      </c>
      <c r="BF466" s="8" t="str">
        <f t="shared" si="119"/>
        <v>+</v>
      </c>
      <c r="BG466" s="2"/>
      <c r="BH466" s="8" t="str">
        <f t="shared" si="115"/>
        <v>+</v>
      </c>
      <c r="BI466" s="2">
        <v>67.5</v>
      </c>
      <c r="BJ466" s="8" t="str">
        <f t="shared" si="116"/>
        <v>+</v>
      </c>
      <c r="BK466" s="2"/>
      <c r="BL466" s="8" t="str">
        <f t="shared" si="117"/>
        <v>+</v>
      </c>
    </row>
    <row r="467" spans="1:64">
      <c r="A467" s="1">
        <v>32417</v>
      </c>
      <c r="B467">
        <v>54.5</v>
      </c>
      <c r="C467">
        <v>58.6</v>
      </c>
      <c r="D467">
        <v>50.2</v>
      </c>
      <c r="E467">
        <v>54.8</v>
      </c>
      <c r="F467">
        <v>55.2</v>
      </c>
      <c r="G467">
        <v>49.5</v>
      </c>
      <c r="I467">
        <v>72.8</v>
      </c>
      <c r="K467">
        <v>61.7</v>
      </c>
      <c r="W467" s="1">
        <v>32417</v>
      </c>
      <c r="X467">
        <v>278.97000100000002</v>
      </c>
      <c r="Y467" s="4">
        <f t="shared" si="118"/>
        <v>2.596446212401957E-2</v>
      </c>
      <c r="Z467" s="4">
        <f t="shared" si="120"/>
        <v>0.10794713354632808</v>
      </c>
      <c r="AA467">
        <v>54.5</v>
      </c>
      <c r="AB467">
        <f t="shared" si="121"/>
        <v>60</v>
      </c>
      <c r="AP467" s="3">
        <v>32387</v>
      </c>
      <c r="AQ467" s="2">
        <v>56</v>
      </c>
      <c r="AR467" s="2" t="str">
        <f t="shared" si="108"/>
        <v>-</v>
      </c>
      <c r="AS467" s="2">
        <v>59.2</v>
      </c>
      <c r="AT467" s="8" t="str">
        <f t="shared" si="109"/>
        <v>-</v>
      </c>
      <c r="AU467" s="2">
        <v>57.8</v>
      </c>
      <c r="AV467" s="8" t="str">
        <f t="shared" si="110"/>
        <v>-</v>
      </c>
      <c r="AW467" s="2">
        <v>51.2</v>
      </c>
      <c r="AX467" s="8" t="str">
        <f t="shared" si="111"/>
        <v>-</v>
      </c>
      <c r="AY467" s="2">
        <v>57.4</v>
      </c>
      <c r="AZ467" s="8" t="str">
        <f t="shared" si="112"/>
        <v>-</v>
      </c>
      <c r="BA467" s="2">
        <v>49.4</v>
      </c>
      <c r="BB467" s="8" t="str">
        <f t="shared" si="113"/>
        <v>-</v>
      </c>
      <c r="BC467" s="2"/>
      <c r="BD467" s="8" t="str">
        <f t="shared" si="114"/>
        <v>+</v>
      </c>
      <c r="BE467" s="2">
        <v>78.2</v>
      </c>
      <c r="BF467" s="8" t="str">
        <f t="shared" si="119"/>
        <v>-</v>
      </c>
      <c r="BG467" s="2"/>
      <c r="BH467" s="8" t="str">
        <f t="shared" si="115"/>
        <v>+</v>
      </c>
      <c r="BI467" s="2">
        <v>59.9</v>
      </c>
      <c r="BJ467" s="8" t="str">
        <f t="shared" si="116"/>
        <v>-</v>
      </c>
      <c r="BK467" s="2"/>
      <c r="BL467" s="8" t="str">
        <f t="shared" si="117"/>
        <v>+</v>
      </c>
    </row>
    <row r="468" spans="1:64">
      <c r="A468" s="1">
        <v>32448</v>
      </c>
      <c r="B468">
        <v>55.4</v>
      </c>
      <c r="C468">
        <v>57.2</v>
      </c>
      <c r="D468">
        <v>52.4</v>
      </c>
      <c r="E468">
        <v>58.7</v>
      </c>
      <c r="F468">
        <v>54.8</v>
      </c>
      <c r="G468">
        <v>49.2</v>
      </c>
      <c r="I468">
        <v>71.5</v>
      </c>
      <c r="K468">
        <v>60.8</v>
      </c>
      <c r="W468" s="1">
        <v>32448</v>
      </c>
      <c r="X468">
        <v>273.70001200000002</v>
      </c>
      <c r="Y468" s="4">
        <f t="shared" si="118"/>
        <v>-1.8890880672148003E-2</v>
      </c>
      <c r="Z468" s="4">
        <f t="shared" si="120"/>
        <v>0.18844988464893772</v>
      </c>
      <c r="AA468">
        <v>55.4</v>
      </c>
      <c r="AB468">
        <f t="shared" si="121"/>
        <v>60.7</v>
      </c>
      <c r="AP468" s="3">
        <v>32417</v>
      </c>
      <c r="AQ468" s="2">
        <v>54.5</v>
      </c>
      <c r="AR468" s="2" t="str">
        <f t="shared" si="108"/>
        <v>-</v>
      </c>
      <c r="AS468" s="2">
        <v>58.6</v>
      </c>
      <c r="AT468" s="8" t="str">
        <f t="shared" si="109"/>
        <v>-</v>
      </c>
      <c r="AU468" s="2">
        <v>54.8</v>
      </c>
      <c r="AV468" s="8" t="str">
        <f t="shared" si="110"/>
        <v>-</v>
      </c>
      <c r="AW468" s="2">
        <v>50.2</v>
      </c>
      <c r="AX468" s="8" t="str">
        <f t="shared" si="111"/>
        <v>-</v>
      </c>
      <c r="AY468" s="2">
        <v>55.2</v>
      </c>
      <c r="AZ468" s="8" t="str">
        <f t="shared" si="112"/>
        <v>-</v>
      </c>
      <c r="BA468" s="2">
        <v>49.5</v>
      </c>
      <c r="BB468" s="8" t="str">
        <f t="shared" si="113"/>
        <v>+</v>
      </c>
      <c r="BC468" s="2"/>
      <c r="BD468" s="8" t="str">
        <f t="shared" si="114"/>
        <v>+</v>
      </c>
      <c r="BE468" s="2">
        <v>72.8</v>
      </c>
      <c r="BF468" s="8" t="str">
        <f t="shared" si="119"/>
        <v>-</v>
      </c>
      <c r="BG468" s="2"/>
      <c r="BH468" s="8" t="str">
        <f t="shared" si="115"/>
        <v>+</v>
      </c>
      <c r="BI468" s="2">
        <v>61.7</v>
      </c>
      <c r="BJ468" s="8" t="str">
        <f t="shared" si="116"/>
        <v>+</v>
      </c>
      <c r="BK468" s="2"/>
      <c r="BL468" s="8" t="str">
        <f t="shared" si="117"/>
        <v>+</v>
      </c>
    </row>
    <row r="469" spans="1:64">
      <c r="A469" s="1">
        <v>32478</v>
      </c>
      <c r="B469">
        <v>55.6</v>
      </c>
      <c r="C469">
        <v>58.4</v>
      </c>
      <c r="D469">
        <v>53.8</v>
      </c>
      <c r="E469">
        <v>57.5</v>
      </c>
      <c r="F469">
        <v>52.1</v>
      </c>
      <c r="G469">
        <v>51.6</v>
      </c>
      <c r="I469">
        <v>70.900000000000006</v>
      </c>
      <c r="K469">
        <v>58.1</v>
      </c>
      <c r="W469" s="1">
        <v>32478</v>
      </c>
      <c r="X469">
        <v>277.72000100000002</v>
      </c>
      <c r="Y469" s="4">
        <f t="shared" si="118"/>
        <v>1.468757334215977E-2</v>
      </c>
      <c r="Z469" s="4">
        <f t="shared" si="120"/>
        <v>0.12400841327498457</v>
      </c>
      <c r="AA469">
        <v>55.6</v>
      </c>
      <c r="AB469">
        <f t="shared" si="121"/>
        <v>58.8</v>
      </c>
      <c r="AP469" s="3">
        <v>32448</v>
      </c>
      <c r="AQ469" s="2">
        <v>55.4</v>
      </c>
      <c r="AR469" s="2" t="str">
        <f t="shared" si="108"/>
        <v>+</v>
      </c>
      <c r="AS469" s="2">
        <v>57.2</v>
      </c>
      <c r="AT469" s="8" t="str">
        <f t="shared" si="109"/>
        <v>-</v>
      </c>
      <c r="AU469" s="2">
        <v>58.7</v>
      </c>
      <c r="AV469" s="8" t="str">
        <f t="shared" si="110"/>
        <v>+</v>
      </c>
      <c r="AW469" s="2">
        <v>52.4</v>
      </c>
      <c r="AX469" s="8" t="str">
        <f t="shared" si="111"/>
        <v>+</v>
      </c>
      <c r="AY469" s="2">
        <v>54.8</v>
      </c>
      <c r="AZ469" s="8" t="str">
        <f t="shared" si="112"/>
        <v>-</v>
      </c>
      <c r="BA469" s="2">
        <v>49.2</v>
      </c>
      <c r="BB469" s="8" t="str">
        <f t="shared" si="113"/>
        <v>-</v>
      </c>
      <c r="BC469" s="2"/>
      <c r="BD469" s="8" t="str">
        <f t="shared" si="114"/>
        <v>+</v>
      </c>
      <c r="BE469" s="2">
        <v>71.5</v>
      </c>
      <c r="BF469" s="8" t="str">
        <f t="shared" si="119"/>
        <v>-</v>
      </c>
      <c r="BG469" s="2"/>
      <c r="BH469" s="8" t="str">
        <f t="shared" si="115"/>
        <v>+</v>
      </c>
      <c r="BI469" s="2">
        <v>60.8</v>
      </c>
      <c r="BJ469" s="8" t="str">
        <f t="shared" si="116"/>
        <v>-</v>
      </c>
      <c r="BK469" s="2"/>
      <c r="BL469" s="8" t="str">
        <f t="shared" si="117"/>
        <v>+</v>
      </c>
    </row>
    <row r="470" spans="1:64">
      <c r="A470" s="1">
        <v>32509</v>
      </c>
      <c r="B470">
        <v>56</v>
      </c>
      <c r="C470">
        <v>59</v>
      </c>
      <c r="D470">
        <v>54.8</v>
      </c>
      <c r="E470">
        <v>57.6</v>
      </c>
      <c r="F470">
        <v>53</v>
      </c>
      <c r="G470">
        <v>49.9</v>
      </c>
      <c r="I470">
        <v>69.8</v>
      </c>
      <c r="K470">
        <v>64.3</v>
      </c>
      <c r="W470" s="1">
        <v>32509</v>
      </c>
      <c r="X470">
        <v>297.47000100000002</v>
      </c>
      <c r="Y470" s="4">
        <f t="shared" si="118"/>
        <v>7.1114791620643839E-2</v>
      </c>
      <c r="Z470" s="4">
        <f t="shared" si="120"/>
        <v>0.1571556109227478</v>
      </c>
      <c r="AA470">
        <v>56</v>
      </c>
      <c r="AB470">
        <f t="shared" si="121"/>
        <v>61</v>
      </c>
      <c r="AP470" s="3">
        <v>32478</v>
      </c>
      <c r="AQ470" s="2">
        <v>55.6</v>
      </c>
      <c r="AR470" s="2" t="str">
        <f t="shared" si="108"/>
        <v>+</v>
      </c>
      <c r="AS470" s="2">
        <v>58.4</v>
      </c>
      <c r="AT470" s="8" t="str">
        <f t="shared" si="109"/>
        <v>+</v>
      </c>
      <c r="AU470" s="2">
        <v>57.5</v>
      </c>
      <c r="AV470" s="8" t="str">
        <f t="shared" si="110"/>
        <v>-</v>
      </c>
      <c r="AW470" s="2">
        <v>53.8</v>
      </c>
      <c r="AX470" s="8" t="str">
        <f t="shared" si="111"/>
        <v>+</v>
      </c>
      <c r="AY470" s="2">
        <v>52.1</v>
      </c>
      <c r="AZ470" s="8" t="str">
        <f t="shared" si="112"/>
        <v>-</v>
      </c>
      <c r="BA470" s="2">
        <v>51.6</v>
      </c>
      <c r="BB470" s="8" t="str">
        <f t="shared" si="113"/>
        <v>+</v>
      </c>
      <c r="BC470" s="2"/>
      <c r="BD470" s="8" t="str">
        <f t="shared" si="114"/>
        <v>+</v>
      </c>
      <c r="BE470" s="2">
        <v>70.900000000000006</v>
      </c>
      <c r="BF470" s="8" t="str">
        <f t="shared" si="119"/>
        <v>-</v>
      </c>
      <c r="BG470" s="2"/>
      <c r="BH470" s="8" t="str">
        <f t="shared" si="115"/>
        <v>+</v>
      </c>
      <c r="BI470" s="2">
        <v>58.1</v>
      </c>
      <c r="BJ470" s="8" t="str">
        <f t="shared" si="116"/>
        <v>-</v>
      </c>
      <c r="BK470" s="2"/>
      <c r="BL470" s="8" t="str">
        <f t="shared" si="117"/>
        <v>+</v>
      </c>
    </row>
    <row r="471" spans="1:64">
      <c r="A471" s="1">
        <v>32540</v>
      </c>
      <c r="B471">
        <v>54.7</v>
      </c>
      <c r="C471">
        <v>57.3</v>
      </c>
      <c r="D471">
        <v>51.4</v>
      </c>
      <c r="E471">
        <v>57.9</v>
      </c>
      <c r="F471">
        <v>53.9</v>
      </c>
      <c r="G471">
        <v>46.7</v>
      </c>
      <c r="I471">
        <v>70.5</v>
      </c>
      <c r="K471">
        <v>60.1</v>
      </c>
      <c r="W471" s="1">
        <v>32540</v>
      </c>
      <c r="X471">
        <v>288.85998499999999</v>
      </c>
      <c r="Y471" s="4">
        <f t="shared" si="118"/>
        <v>-2.8944148892513129E-2</v>
      </c>
      <c r="Z471" s="4">
        <f t="shared" si="120"/>
        <v>7.8560142820099405E-2</v>
      </c>
      <c r="AA471">
        <v>54.7</v>
      </c>
      <c r="AB471">
        <f t="shared" si="121"/>
        <v>57.5</v>
      </c>
      <c r="AP471" s="3">
        <v>32509</v>
      </c>
      <c r="AQ471" s="2">
        <v>56</v>
      </c>
      <c r="AR471" s="2" t="str">
        <f t="shared" si="108"/>
        <v>+</v>
      </c>
      <c r="AS471" s="2">
        <v>59</v>
      </c>
      <c r="AT471" s="8" t="str">
        <f t="shared" si="109"/>
        <v>+</v>
      </c>
      <c r="AU471" s="2">
        <v>57.6</v>
      </c>
      <c r="AV471" s="8" t="str">
        <f t="shared" si="110"/>
        <v>+</v>
      </c>
      <c r="AW471" s="2">
        <v>54.8</v>
      </c>
      <c r="AX471" s="8" t="str">
        <f t="shared" si="111"/>
        <v>+</v>
      </c>
      <c r="AY471" s="2">
        <v>53</v>
      </c>
      <c r="AZ471" s="8" t="str">
        <f t="shared" si="112"/>
        <v>+</v>
      </c>
      <c r="BA471" s="2">
        <v>49.9</v>
      </c>
      <c r="BB471" s="8" t="str">
        <f t="shared" si="113"/>
        <v>-</v>
      </c>
      <c r="BC471" s="2"/>
      <c r="BD471" s="8" t="str">
        <f t="shared" si="114"/>
        <v>+</v>
      </c>
      <c r="BE471" s="2">
        <v>69.8</v>
      </c>
      <c r="BF471" s="8" t="str">
        <f t="shared" si="119"/>
        <v>-</v>
      </c>
      <c r="BG471" s="2"/>
      <c r="BH471" s="8" t="str">
        <f t="shared" si="115"/>
        <v>+</v>
      </c>
      <c r="BI471" s="2">
        <v>64.3</v>
      </c>
      <c r="BJ471" s="8" t="str">
        <f t="shared" si="116"/>
        <v>+</v>
      </c>
      <c r="BK471" s="2"/>
      <c r="BL471" s="8" t="str">
        <f t="shared" si="117"/>
        <v>+</v>
      </c>
    </row>
    <row r="472" spans="1:64">
      <c r="A472" s="1">
        <v>32568</v>
      </c>
      <c r="B472">
        <v>54.1</v>
      </c>
      <c r="C472">
        <v>57.3</v>
      </c>
      <c r="D472">
        <v>50</v>
      </c>
      <c r="E472">
        <v>55.6</v>
      </c>
      <c r="F472">
        <v>54</v>
      </c>
      <c r="G472">
        <v>49</v>
      </c>
      <c r="I472">
        <v>67.900000000000006</v>
      </c>
      <c r="K472">
        <v>60</v>
      </c>
      <c r="W472" s="1">
        <v>32568</v>
      </c>
      <c r="X472">
        <v>294.86999500000002</v>
      </c>
      <c r="Y472" s="4">
        <f t="shared" si="118"/>
        <v>2.0805962445785014E-2</v>
      </c>
      <c r="Z472" s="4">
        <f t="shared" si="120"/>
        <v>0.13897785899545029</v>
      </c>
      <c r="AA472">
        <v>54.1</v>
      </c>
      <c r="AB472">
        <f t="shared" si="121"/>
        <v>56.2</v>
      </c>
      <c r="AP472" s="3">
        <v>32540</v>
      </c>
      <c r="AQ472" s="2">
        <v>54.7</v>
      </c>
      <c r="AR472" s="2" t="str">
        <f t="shared" si="108"/>
        <v>-</v>
      </c>
      <c r="AS472" s="2">
        <v>57.3</v>
      </c>
      <c r="AT472" s="8" t="str">
        <f t="shared" si="109"/>
        <v>-</v>
      </c>
      <c r="AU472" s="2">
        <v>57.9</v>
      </c>
      <c r="AV472" s="8" t="str">
        <f t="shared" si="110"/>
        <v>+</v>
      </c>
      <c r="AW472" s="2">
        <v>51.4</v>
      </c>
      <c r="AX472" s="8" t="str">
        <f t="shared" si="111"/>
        <v>-</v>
      </c>
      <c r="AY472" s="2">
        <v>53.9</v>
      </c>
      <c r="AZ472" s="8" t="str">
        <f t="shared" si="112"/>
        <v>+</v>
      </c>
      <c r="BA472" s="2">
        <v>46.7</v>
      </c>
      <c r="BB472" s="8" t="str">
        <f t="shared" si="113"/>
        <v>-</v>
      </c>
      <c r="BC472" s="2"/>
      <c r="BD472" s="8" t="str">
        <f t="shared" si="114"/>
        <v>+</v>
      </c>
      <c r="BE472" s="2">
        <v>70.5</v>
      </c>
      <c r="BF472" s="8" t="str">
        <f t="shared" si="119"/>
        <v>+</v>
      </c>
      <c r="BG472" s="2"/>
      <c r="BH472" s="8" t="str">
        <f t="shared" si="115"/>
        <v>+</v>
      </c>
      <c r="BI472" s="2">
        <v>60.1</v>
      </c>
      <c r="BJ472" s="8" t="str">
        <f t="shared" si="116"/>
        <v>-</v>
      </c>
      <c r="BK472" s="2"/>
      <c r="BL472" s="8" t="str">
        <f t="shared" si="117"/>
        <v>+</v>
      </c>
    </row>
    <row r="473" spans="1:64">
      <c r="A473" s="1">
        <v>32599</v>
      </c>
      <c r="B473">
        <v>51.5</v>
      </c>
      <c r="C473">
        <v>52</v>
      </c>
      <c r="D473">
        <v>50.2</v>
      </c>
      <c r="E473">
        <v>52.7</v>
      </c>
      <c r="F473">
        <v>52.5</v>
      </c>
      <c r="G473">
        <v>48.3</v>
      </c>
      <c r="I473">
        <v>67.900000000000006</v>
      </c>
      <c r="K473">
        <v>52.8</v>
      </c>
      <c r="W473" s="1">
        <v>32599</v>
      </c>
      <c r="X473">
        <v>309.64001500000001</v>
      </c>
      <c r="Y473" s="4">
        <f t="shared" si="118"/>
        <v>5.0089938788108933E-2</v>
      </c>
      <c r="Z473" s="4">
        <f t="shared" si="120"/>
        <v>0.18486216815217607</v>
      </c>
      <c r="AA473">
        <v>51.5</v>
      </c>
      <c r="AB473">
        <f t="shared" si="121"/>
        <v>54.6</v>
      </c>
      <c r="AP473" s="3">
        <v>32568</v>
      </c>
      <c r="AQ473" s="2">
        <v>54.1</v>
      </c>
      <c r="AR473" s="2" t="str">
        <f t="shared" si="108"/>
        <v>-</v>
      </c>
      <c r="AS473" s="2">
        <v>57.3</v>
      </c>
      <c r="AT473" s="8" t="str">
        <f t="shared" si="109"/>
        <v>+</v>
      </c>
      <c r="AU473" s="2">
        <v>55.6</v>
      </c>
      <c r="AV473" s="8" t="str">
        <f t="shared" si="110"/>
        <v>-</v>
      </c>
      <c r="AW473" s="2">
        <v>50</v>
      </c>
      <c r="AX473" s="8" t="str">
        <f t="shared" si="111"/>
        <v>-</v>
      </c>
      <c r="AY473" s="2">
        <v>54</v>
      </c>
      <c r="AZ473" s="8" t="str">
        <f t="shared" si="112"/>
        <v>+</v>
      </c>
      <c r="BA473" s="2">
        <v>49</v>
      </c>
      <c r="BB473" s="8" t="str">
        <f t="shared" si="113"/>
        <v>+</v>
      </c>
      <c r="BC473" s="2"/>
      <c r="BD473" s="8" t="str">
        <f t="shared" si="114"/>
        <v>+</v>
      </c>
      <c r="BE473" s="2">
        <v>67.900000000000006</v>
      </c>
      <c r="BF473" s="8" t="str">
        <f t="shared" si="119"/>
        <v>-</v>
      </c>
      <c r="BG473" s="2"/>
      <c r="BH473" s="8" t="str">
        <f t="shared" si="115"/>
        <v>+</v>
      </c>
      <c r="BI473" s="2">
        <v>60</v>
      </c>
      <c r="BJ473" s="8" t="str">
        <f t="shared" si="116"/>
        <v>-</v>
      </c>
      <c r="BK473" s="2"/>
      <c r="BL473" s="8" t="str">
        <f t="shared" si="117"/>
        <v>+</v>
      </c>
    </row>
    <row r="474" spans="1:64">
      <c r="A474" s="1">
        <v>32629</v>
      </c>
      <c r="B474">
        <v>52.2</v>
      </c>
      <c r="C474">
        <v>53.1</v>
      </c>
      <c r="D474">
        <v>50</v>
      </c>
      <c r="E474">
        <v>54.9</v>
      </c>
      <c r="F474">
        <v>52.2</v>
      </c>
      <c r="G474">
        <v>47.4</v>
      </c>
      <c r="I474">
        <v>65.400000000000006</v>
      </c>
      <c r="K474">
        <v>58.4</v>
      </c>
      <c r="W474" s="1">
        <v>32629</v>
      </c>
      <c r="X474">
        <v>320.51998900000001</v>
      </c>
      <c r="Y474" s="4">
        <f t="shared" si="118"/>
        <v>3.5137493453486636E-2</v>
      </c>
      <c r="Z474" s="4">
        <f t="shared" si="120"/>
        <v>0.22261208464125593</v>
      </c>
      <c r="AA474">
        <v>52.2</v>
      </c>
      <c r="AB474">
        <f t="shared" si="121"/>
        <v>55.8</v>
      </c>
      <c r="AP474" s="3">
        <v>32599</v>
      </c>
      <c r="AQ474" s="2">
        <v>51.5</v>
      </c>
      <c r="AR474" s="2" t="str">
        <f t="shared" si="108"/>
        <v>-</v>
      </c>
      <c r="AS474" s="2">
        <v>52</v>
      </c>
      <c r="AT474" s="8" t="str">
        <f t="shared" si="109"/>
        <v>-</v>
      </c>
      <c r="AU474" s="2">
        <v>52.7</v>
      </c>
      <c r="AV474" s="8" t="str">
        <f t="shared" si="110"/>
        <v>-</v>
      </c>
      <c r="AW474" s="2">
        <v>50.2</v>
      </c>
      <c r="AX474" s="8" t="str">
        <f t="shared" si="111"/>
        <v>+</v>
      </c>
      <c r="AY474" s="2">
        <v>52.5</v>
      </c>
      <c r="AZ474" s="8" t="str">
        <f t="shared" si="112"/>
        <v>-</v>
      </c>
      <c r="BA474" s="2">
        <v>48.3</v>
      </c>
      <c r="BB474" s="8" t="str">
        <f t="shared" si="113"/>
        <v>-</v>
      </c>
      <c r="BC474" s="2"/>
      <c r="BD474" s="8" t="str">
        <f t="shared" si="114"/>
        <v>+</v>
      </c>
      <c r="BE474" s="2">
        <v>67.900000000000006</v>
      </c>
      <c r="BF474" s="8" t="str">
        <f t="shared" si="119"/>
        <v>+</v>
      </c>
      <c r="BG474" s="2"/>
      <c r="BH474" s="8" t="str">
        <f t="shared" si="115"/>
        <v>+</v>
      </c>
      <c r="BI474" s="2">
        <v>52.8</v>
      </c>
      <c r="BJ474" s="8" t="str">
        <f t="shared" si="116"/>
        <v>-</v>
      </c>
      <c r="BK474" s="2"/>
      <c r="BL474" s="8" t="str">
        <f t="shared" si="117"/>
        <v>+</v>
      </c>
    </row>
    <row r="475" spans="1:64">
      <c r="A475" s="1">
        <v>32660</v>
      </c>
      <c r="B475">
        <v>49.3</v>
      </c>
      <c r="C475">
        <v>50.7</v>
      </c>
      <c r="D475">
        <v>47.6</v>
      </c>
      <c r="E475">
        <v>50.7</v>
      </c>
      <c r="F475">
        <v>49.1</v>
      </c>
      <c r="G475">
        <v>44.9</v>
      </c>
      <c r="I475">
        <v>59.3</v>
      </c>
      <c r="K475">
        <v>60.9</v>
      </c>
      <c r="W475" s="1">
        <v>32660</v>
      </c>
      <c r="X475">
        <v>317.98001099999999</v>
      </c>
      <c r="Y475" s="4">
        <f t="shared" si="118"/>
        <v>-7.9245541219584246E-3</v>
      </c>
      <c r="Z475" s="4">
        <f t="shared" si="120"/>
        <v>0.16263258135283359</v>
      </c>
      <c r="AA475">
        <v>49.3</v>
      </c>
      <c r="AB475">
        <f t="shared" si="121"/>
        <v>55.5</v>
      </c>
      <c r="AP475" s="3">
        <v>32629</v>
      </c>
      <c r="AQ475" s="2">
        <v>52.2</v>
      </c>
      <c r="AR475" s="2" t="str">
        <f t="shared" si="108"/>
        <v>+</v>
      </c>
      <c r="AS475" s="2">
        <v>53.1</v>
      </c>
      <c r="AT475" s="8" t="str">
        <f t="shared" si="109"/>
        <v>+</v>
      </c>
      <c r="AU475" s="2">
        <v>54.9</v>
      </c>
      <c r="AV475" s="8" t="str">
        <f t="shared" si="110"/>
        <v>+</v>
      </c>
      <c r="AW475" s="2">
        <v>50</v>
      </c>
      <c r="AX475" s="8" t="str">
        <f t="shared" si="111"/>
        <v>-</v>
      </c>
      <c r="AY475" s="2">
        <v>52.2</v>
      </c>
      <c r="AZ475" s="8" t="str">
        <f t="shared" si="112"/>
        <v>-</v>
      </c>
      <c r="BA475" s="2">
        <v>47.4</v>
      </c>
      <c r="BB475" s="8" t="str">
        <f t="shared" si="113"/>
        <v>-</v>
      </c>
      <c r="BC475" s="2"/>
      <c r="BD475" s="8" t="str">
        <f t="shared" si="114"/>
        <v>+</v>
      </c>
      <c r="BE475" s="2">
        <v>65.400000000000006</v>
      </c>
      <c r="BF475" s="8" t="str">
        <f t="shared" si="119"/>
        <v>-</v>
      </c>
      <c r="BG475" s="2"/>
      <c r="BH475" s="8" t="str">
        <f t="shared" si="115"/>
        <v>+</v>
      </c>
      <c r="BI475" s="2">
        <v>58.4</v>
      </c>
      <c r="BJ475" s="8" t="str">
        <f t="shared" si="116"/>
        <v>+</v>
      </c>
      <c r="BK475" s="2"/>
      <c r="BL475" s="8" t="str">
        <f t="shared" si="117"/>
        <v>+</v>
      </c>
    </row>
    <row r="476" spans="1:64">
      <c r="A476" s="1">
        <v>32690</v>
      </c>
      <c r="B476">
        <v>47.3</v>
      </c>
      <c r="C476">
        <v>45.6</v>
      </c>
      <c r="D476">
        <v>47.4</v>
      </c>
      <c r="E476">
        <v>49.5</v>
      </c>
      <c r="F476">
        <v>46.5</v>
      </c>
      <c r="G476">
        <v>47.5</v>
      </c>
      <c r="I476">
        <v>50</v>
      </c>
      <c r="K476">
        <v>53.3</v>
      </c>
      <c r="W476" s="1">
        <v>32690</v>
      </c>
      <c r="X476">
        <v>346.07998700000002</v>
      </c>
      <c r="Y476" s="4">
        <f t="shared" si="118"/>
        <v>8.8370259223621531E-2</v>
      </c>
      <c r="Z476" s="4">
        <f t="shared" si="120"/>
        <v>0.27225939634899404</v>
      </c>
      <c r="AA476">
        <v>47.3</v>
      </c>
      <c r="AB476">
        <f t="shared" si="121"/>
        <v>59.3</v>
      </c>
      <c r="AP476" s="3">
        <v>32660</v>
      </c>
      <c r="AQ476" s="2">
        <v>49.3</v>
      </c>
      <c r="AR476" s="2" t="str">
        <f t="shared" si="108"/>
        <v>-</v>
      </c>
      <c r="AS476" s="2">
        <v>50.7</v>
      </c>
      <c r="AT476" s="8" t="str">
        <f t="shared" si="109"/>
        <v>-</v>
      </c>
      <c r="AU476" s="2">
        <v>50.7</v>
      </c>
      <c r="AV476" s="8" t="str">
        <f t="shared" si="110"/>
        <v>-</v>
      </c>
      <c r="AW476" s="2">
        <v>47.6</v>
      </c>
      <c r="AX476" s="8" t="str">
        <f t="shared" si="111"/>
        <v>-</v>
      </c>
      <c r="AY476" s="2">
        <v>49.1</v>
      </c>
      <c r="AZ476" s="8" t="str">
        <f t="shared" si="112"/>
        <v>-</v>
      </c>
      <c r="BA476" s="2">
        <v>44.9</v>
      </c>
      <c r="BB476" s="8" t="str">
        <f t="shared" si="113"/>
        <v>-</v>
      </c>
      <c r="BC476" s="2"/>
      <c r="BD476" s="8" t="str">
        <f t="shared" si="114"/>
        <v>+</v>
      </c>
      <c r="BE476" s="2">
        <v>59.3</v>
      </c>
      <c r="BF476" s="8" t="str">
        <f t="shared" si="119"/>
        <v>-</v>
      </c>
      <c r="BG476" s="2"/>
      <c r="BH476" s="8" t="str">
        <f t="shared" si="115"/>
        <v>+</v>
      </c>
      <c r="BI476" s="2">
        <v>60.9</v>
      </c>
      <c r="BJ476" s="8" t="str">
        <f t="shared" si="116"/>
        <v>+</v>
      </c>
      <c r="BK476" s="2"/>
      <c r="BL476" s="8" t="str">
        <f t="shared" si="117"/>
        <v>+</v>
      </c>
    </row>
    <row r="477" spans="1:64">
      <c r="A477" s="1">
        <v>32721</v>
      </c>
      <c r="B477">
        <v>45.9</v>
      </c>
      <c r="C477">
        <v>45.8</v>
      </c>
      <c r="D477">
        <v>44.5</v>
      </c>
      <c r="E477">
        <v>46.9</v>
      </c>
      <c r="F477">
        <v>46.1</v>
      </c>
      <c r="G477">
        <v>46.2</v>
      </c>
      <c r="I477">
        <v>48.1</v>
      </c>
      <c r="K477">
        <v>56.1</v>
      </c>
      <c r="W477" s="1">
        <v>32721</v>
      </c>
      <c r="X477">
        <v>351.45001200000002</v>
      </c>
      <c r="Y477" s="4">
        <f t="shared" si="118"/>
        <v>1.5516716371120292E-2</v>
      </c>
      <c r="Z477" s="4">
        <f t="shared" si="120"/>
        <v>0.34387437588948505</v>
      </c>
      <c r="AA477">
        <v>45.9</v>
      </c>
      <c r="AB477">
        <f t="shared" si="121"/>
        <v>58.2</v>
      </c>
      <c r="AP477" s="3">
        <v>32690</v>
      </c>
      <c r="AQ477" s="2">
        <v>47.3</v>
      </c>
      <c r="AR477" s="2" t="str">
        <f t="shared" si="108"/>
        <v>-</v>
      </c>
      <c r="AS477" s="2">
        <v>45.6</v>
      </c>
      <c r="AT477" s="8" t="str">
        <f t="shared" si="109"/>
        <v>-</v>
      </c>
      <c r="AU477" s="2">
        <v>49.5</v>
      </c>
      <c r="AV477" s="8" t="str">
        <f t="shared" si="110"/>
        <v>-</v>
      </c>
      <c r="AW477" s="2">
        <v>47.4</v>
      </c>
      <c r="AX477" s="8" t="str">
        <f t="shared" si="111"/>
        <v>-</v>
      </c>
      <c r="AY477" s="2">
        <v>46.5</v>
      </c>
      <c r="AZ477" s="8" t="str">
        <f t="shared" si="112"/>
        <v>-</v>
      </c>
      <c r="BA477" s="2">
        <v>47.5</v>
      </c>
      <c r="BB477" s="8" t="str">
        <f t="shared" si="113"/>
        <v>+</v>
      </c>
      <c r="BC477" s="2"/>
      <c r="BD477" s="8" t="str">
        <f t="shared" si="114"/>
        <v>+</v>
      </c>
      <c r="BE477" s="2">
        <v>50</v>
      </c>
      <c r="BF477" s="8" t="str">
        <f t="shared" si="119"/>
        <v>-</v>
      </c>
      <c r="BG477" s="2"/>
      <c r="BH477" s="8" t="str">
        <f t="shared" si="115"/>
        <v>+</v>
      </c>
      <c r="BI477" s="2">
        <v>53.3</v>
      </c>
      <c r="BJ477" s="8" t="str">
        <f t="shared" si="116"/>
        <v>-</v>
      </c>
      <c r="BK477" s="2"/>
      <c r="BL477" s="8" t="str">
        <f t="shared" si="117"/>
        <v>+</v>
      </c>
    </row>
    <row r="478" spans="1:64">
      <c r="A478" s="1">
        <v>32752</v>
      </c>
      <c r="B478">
        <v>45.1</v>
      </c>
      <c r="C478">
        <v>45.2</v>
      </c>
      <c r="D478">
        <v>44.6</v>
      </c>
      <c r="E478">
        <v>46.7</v>
      </c>
      <c r="F478">
        <v>44</v>
      </c>
      <c r="G478">
        <v>43.5</v>
      </c>
      <c r="I478">
        <v>43.3</v>
      </c>
      <c r="K478">
        <v>57.8</v>
      </c>
      <c r="W478" s="1">
        <v>32752</v>
      </c>
      <c r="X478">
        <v>349.14999399999999</v>
      </c>
      <c r="Y478" s="4">
        <f t="shared" si="118"/>
        <v>-6.5443673964080632E-3</v>
      </c>
      <c r="Z478" s="4">
        <f t="shared" si="120"/>
        <v>0.2840645392362981</v>
      </c>
      <c r="AA478">
        <v>45.1</v>
      </c>
      <c r="AB478">
        <f t="shared" si="121"/>
        <v>56</v>
      </c>
      <c r="AP478" s="3">
        <v>32721</v>
      </c>
      <c r="AQ478" s="2">
        <v>45.9</v>
      </c>
      <c r="AR478" s="2" t="str">
        <f t="shared" si="108"/>
        <v>-</v>
      </c>
      <c r="AS478" s="2">
        <v>45.8</v>
      </c>
      <c r="AT478" s="8" t="str">
        <f t="shared" si="109"/>
        <v>+</v>
      </c>
      <c r="AU478" s="2">
        <v>46.9</v>
      </c>
      <c r="AV478" s="8" t="str">
        <f t="shared" si="110"/>
        <v>-</v>
      </c>
      <c r="AW478" s="2">
        <v>44.5</v>
      </c>
      <c r="AX478" s="8" t="str">
        <f t="shared" si="111"/>
        <v>-</v>
      </c>
      <c r="AY478" s="2">
        <v>46.1</v>
      </c>
      <c r="AZ478" s="8" t="str">
        <f t="shared" si="112"/>
        <v>-</v>
      </c>
      <c r="BA478" s="2">
        <v>46.2</v>
      </c>
      <c r="BB478" s="8" t="str">
        <f t="shared" si="113"/>
        <v>-</v>
      </c>
      <c r="BC478" s="2"/>
      <c r="BD478" s="8" t="str">
        <f t="shared" si="114"/>
        <v>+</v>
      </c>
      <c r="BE478" s="2">
        <v>48.1</v>
      </c>
      <c r="BF478" s="8" t="str">
        <f t="shared" si="119"/>
        <v>-</v>
      </c>
      <c r="BG478" s="2"/>
      <c r="BH478" s="8" t="str">
        <f t="shared" si="115"/>
        <v>+</v>
      </c>
      <c r="BI478" s="2">
        <v>56.1</v>
      </c>
      <c r="BJ478" s="8" t="str">
        <f t="shared" si="116"/>
        <v>+</v>
      </c>
      <c r="BK478" s="2"/>
      <c r="BL478" s="8" t="str">
        <f t="shared" si="117"/>
        <v>+</v>
      </c>
    </row>
    <row r="479" spans="1:64">
      <c r="A479" s="1">
        <v>32782</v>
      </c>
      <c r="B479">
        <v>46</v>
      </c>
      <c r="C479">
        <v>46</v>
      </c>
      <c r="D479">
        <v>45.4</v>
      </c>
      <c r="E479">
        <v>48</v>
      </c>
      <c r="F479">
        <v>43.9</v>
      </c>
      <c r="G479">
        <v>44.8</v>
      </c>
      <c r="I479">
        <v>42.4</v>
      </c>
      <c r="K479">
        <v>61.7</v>
      </c>
      <c r="W479" s="1">
        <v>32782</v>
      </c>
      <c r="X479">
        <v>340.35998499999999</v>
      </c>
      <c r="Y479" s="4">
        <f t="shared" si="118"/>
        <v>-2.5175452244172166E-2</v>
      </c>
      <c r="Z479" s="4">
        <f t="shared" si="120"/>
        <v>0.22005944646356423</v>
      </c>
      <c r="AA479">
        <v>46</v>
      </c>
      <c r="AB479">
        <f t="shared" si="121"/>
        <v>54.5</v>
      </c>
      <c r="AP479" s="3">
        <v>32752</v>
      </c>
      <c r="AQ479" s="2">
        <v>45.1</v>
      </c>
      <c r="AR479" s="2" t="str">
        <f t="shared" si="108"/>
        <v>-</v>
      </c>
      <c r="AS479" s="2">
        <v>45.2</v>
      </c>
      <c r="AT479" s="8" t="str">
        <f t="shared" si="109"/>
        <v>-</v>
      </c>
      <c r="AU479" s="2">
        <v>46.7</v>
      </c>
      <c r="AV479" s="8" t="str">
        <f t="shared" si="110"/>
        <v>-</v>
      </c>
      <c r="AW479" s="2">
        <v>44.6</v>
      </c>
      <c r="AX479" s="8" t="str">
        <f t="shared" si="111"/>
        <v>+</v>
      </c>
      <c r="AY479" s="2">
        <v>44</v>
      </c>
      <c r="AZ479" s="8" t="str">
        <f t="shared" si="112"/>
        <v>-</v>
      </c>
      <c r="BA479" s="2">
        <v>43.5</v>
      </c>
      <c r="BB479" s="8" t="str">
        <f t="shared" si="113"/>
        <v>-</v>
      </c>
      <c r="BC479" s="2"/>
      <c r="BD479" s="8" t="str">
        <f t="shared" si="114"/>
        <v>+</v>
      </c>
      <c r="BE479" s="2">
        <v>43.3</v>
      </c>
      <c r="BF479" s="8" t="str">
        <f t="shared" si="119"/>
        <v>-</v>
      </c>
      <c r="BG479" s="2"/>
      <c r="BH479" s="8" t="str">
        <f t="shared" si="115"/>
        <v>+</v>
      </c>
      <c r="BI479" s="2">
        <v>57.8</v>
      </c>
      <c r="BJ479" s="8" t="str">
        <f t="shared" si="116"/>
        <v>+</v>
      </c>
      <c r="BK479" s="2"/>
      <c r="BL479" s="8" t="str">
        <f t="shared" si="117"/>
        <v>+</v>
      </c>
    </row>
    <row r="480" spans="1:64">
      <c r="A480" s="1">
        <v>32813</v>
      </c>
      <c r="B480">
        <v>46.8</v>
      </c>
      <c r="C480">
        <v>49.3</v>
      </c>
      <c r="D480">
        <v>45</v>
      </c>
      <c r="E480">
        <v>48.5</v>
      </c>
      <c r="F480">
        <v>43.3</v>
      </c>
      <c r="G480">
        <v>43.8</v>
      </c>
      <c r="I480">
        <v>41</v>
      </c>
      <c r="K480">
        <v>57.2</v>
      </c>
      <c r="L480">
        <v>49</v>
      </c>
      <c r="W480" s="1">
        <v>32813</v>
      </c>
      <c r="X480">
        <v>345.98998999999998</v>
      </c>
      <c r="Y480" s="4">
        <f t="shared" si="118"/>
        <v>1.6541324621341676E-2</v>
      </c>
      <c r="Z480" s="4">
        <f t="shared" si="120"/>
        <v>0.26412120873418143</v>
      </c>
      <c r="AA480">
        <v>46.8</v>
      </c>
      <c r="AB480">
        <f t="shared" si="121"/>
        <v>55.4</v>
      </c>
      <c r="AP480" s="3">
        <v>32782</v>
      </c>
      <c r="AQ480" s="2">
        <v>46</v>
      </c>
      <c r="AR480" s="2" t="str">
        <f t="shared" si="108"/>
        <v>+</v>
      </c>
      <c r="AS480" s="2">
        <v>46</v>
      </c>
      <c r="AT480" s="8" t="str">
        <f t="shared" si="109"/>
        <v>+</v>
      </c>
      <c r="AU480" s="2">
        <v>48</v>
      </c>
      <c r="AV480" s="8" t="str">
        <f t="shared" si="110"/>
        <v>+</v>
      </c>
      <c r="AW480" s="2">
        <v>45.4</v>
      </c>
      <c r="AX480" s="8" t="str">
        <f t="shared" si="111"/>
        <v>+</v>
      </c>
      <c r="AY480" s="2">
        <v>43.9</v>
      </c>
      <c r="AZ480" s="8" t="str">
        <f t="shared" si="112"/>
        <v>-</v>
      </c>
      <c r="BA480" s="2">
        <v>44.8</v>
      </c>
      <c r="BB480" s="8" t="str">
        <f t="shared" si="113"/>
        <v>+</v>
      </c>
      <c r="BC480" s="2"/>
      <c r="BD480" s="8" t="str">
        <f t="shared" si="114"/>
        <v>+</v>
      </c>
      <c r="BE480" s="2">
        <v>42.4</v>
      </c>
      <c r="BF480" s="8" t="str">
        <f t="shared" si="119"/>
        <v>-</v>
      </c>
      <c r="BG480" s="2"/>
      <c r="BH480" s="8" t="str">
        <f t="shared" si="115"/>
        <v>+</v>
      </c>
      <c r="BI480" s="2">
        <v>61.7</v>
      </c>
      <c r="BJ480" s="8" t="str">
        <f t="shared" si="116"/>
        <v>+</v>
      </c>
      <c r="BK480" s="2"/>
      <c r="BL480" s="8" t="str">
        <f t="shared" si="117"/>
        <v>+</v>
      </c>
    </row>
    <row r="481" spans="1:64">
      <c r="A481" s="1">
        <v>32843</v>
      </c>
      <c r="B481">
        <v>46.8</v>
      </c>
      <c r="C481">
        <v>49.3</v>
      </c>
      <c r="D481">
        <v>45.9</v>
      </c>
      <c r="E481">
        <v>49.2</v>
      </c>
      <c r="F481">
        <v>42.5</v>
      </c>
      <c r="G481">
        <v>41.4</v>
      </c>
      <c r="I481">
        <v>40.9</v>
      </c>
      <c r="K481">
        <v>56.6</v>
      </c>
      <c r="L481">
        <v>47</v>
      </c>
      <c r="W481" s="1">
        <v>32843</v>
      </c>
      <c r="X481">
        <v>353.39999399999999</v>
      </c>
      <c r="Y481" s="4">
        <f t="shared" si="118"/>
        <v>2.1416816133900334E-2</v>
      </c>
      <c r="Z481" s="4">
        <f t="shared" si="120"/>
        <v>0.27250465478717883</v>
      </c>
      <c r="AA481">
        <v>46.8</v>
      </c>
      <c r="AB481">
        <f t="shared" si="121"/>
        <v>55.6</v>
      </c>
      <c r="AP481" s="3">
        <v>32813</v>
      </c>
      <c r="AQ481" s="2">
        <v>46.8</v>
      </c>
      <c r="AR481" s="2" t="str">
        <f t="shared" si="108"/>
        <v>+</v>
      </c>
      <c r="AS481" s="2">
        <v>49.3</v>
      </c>
      <c r="AT481" s="8" t="str">
        <f t="shared" si="109"/>
        <v>+</v>
      </c>
      <c r="AU481" s="2">
        <v>48.5</v>
      </c>
      <c r="AV481" s="8" t="str">
        <f t="shared" si="110"/>
        <v>+</v>
      </c>
      <c r="AW481" s="2">
        <v>45</v>
      </c>
      <c r="AX481" s="8" t="str">
        <f t="shared" si="111"/>
        <v>-</v>
      </c>
      <c r="AY481" s="2">
        <v>43.3</v>
      </c>
      <c r="AZ481" s="8" t="str">
        <f t="shared" si="112"/>
        <v>-</v>
      </c>
      <c r="BA481" s="2">
        <v>43.8</v>
      </c>
      <c r="BB481" s="8" t="str">
        <f t="shared" si="113"/>
        <v>-</v>
      </c>
      <c r="BC481" s="2"/>
      <c r="BD481" s="8" t="str">
        <f t="shared" si="114"/>
        <v>+</v>
      </c>
      <c r="BE481" s="2">
        <v>41</v>
      </c>
      <c r="BF481" s="8" t="str">
        <f t="shared" si="119"/>
        <v>-</v>
      </c>
      <c r="BG481" s="2"/>
      <c r="BH481" s="8" t="str">
        <f t="shared" si="115"/>
        <v>+</v>
      </c>
      <c r="BI481" s="2">
        <v>57.2</v>
      </c>
      <c r="BJ481" s="8" t="str">
        <f t="shared" si="116"/>
        <v>-</v>
      </c>
      <c r="BK481" s="2">
        <v>49</v>
      </c>
      <c r="BL481" s="8" t="str">
        <f t="shared" si="117"/>
        <v>+</v>
      </c>
    </row>
    <row r="482" spans="1:64">
      <c r="A482" s="1">
        <v>32874</v>
      </c>
      <c r="B482">
        <v>47.4</v>
      </c>
      <c r="C482">
        <v>50.4</v>
      </c>
      <c r="D482">
        <v>44.6</v>
      </c>
      <c r="E482">
        <v>49.7</v>
      </c>
      <c r="F482">
        <v>43.5</v>
      </c>
      <c r="G482">
        <v>43.9</v>
      </c>
      <c r="I482">
        <v>41</v>
      </c>
      <c r="K482">
        <v>54.9</v>
      </c>
      <c r="L482">
        <v>45.5</v>
      </c>
      <c r="W482" s="1">
        <v>32874</v>
      </c>
      <c r="X482">
        <v>329.07998700000002</v>
      </c>
      <c r="Y482" s="4">
        <f t="shared" si="118"/>
        <v>-6.8817225277032615E-2</v>
      </c>
      <c r="Z482" s="4">
        <f t="shared" si="120"/>
        <v>0.10626276899767109</v>
      </c>
      <c r="AA482">
        <v>47.4</v>
      </c>
      <c r="AB482">
        <f t="shared" si="121"/>
        <v>56</v>
      </c>
      <c r="AP482" s="3">
        <v>32843</v>
      </c>
      <c r="AQ482" s="2">
        <v>46.8</v>
      </c>
      <c r="AR482" s="2" t="str">
        <f t="shared" si="108"/>
        <v>+</v>
      </c>
      <c r="AS482" s="2">
        <v>49.3</v>
      </c>
      <c r="AT482" s="8" t="str">
        <f t="shared" si="109"/>
        <v>+</v>
      </c>
      <c r="AU482" s="2">
        <v>49.2</v>
      </c>
      <c r="AV482" s="8" t="str">
        <f t="shared" si="110"/>
        <v>+</v>
      </c>
      <c r="AW482" s="2">
        <v>45.9</v>
      </c>
      <c r="AX482" s="8" t="str">
        <f t="shared" si="111"/>
        <v>+</v>
      </c>
      <c r="AY482" s="2">
        <v>42.5</v>
      </c>
      <c r="AZ482" s="8" t="str">
        <f t="shared" si="112"/>
        <v>-</v>
      </c>
      <c r="BA482" s="2">
        <v>41.4</v>
      </c>
      <c r="BB482" s="8" t="str">
        <f t="shared" si="113"/>
        <v>-</v>
      </c>
      <c r="BC482" s="2"/>
      <c r="BD482" s="8" t="str">
        <f t="shared" si="114"/>
        <v>+</v>
      </c>
      <c r="BE482" s="2">
        <v>40.9</v>
      </c>
      <c r="BF482" s="8" t="str">
        <f t="shared" si="119"/>
        <v>-</v>
      </c>
      <c r="BG482" s="2"/>
      <c r="BH482" s="8" t="str">
        <f t="shared" si="115"/>
        <v>+</v>
      </c>
      <c r="BI482" s="2">
        <v>56.6</v>
      </c>
      <c r="BJ482" s="8" t="str">
        <f t="shared" si="116"/>
        <v>-</v>
      </c>
      <c r="BK482" s="2">
        <v>47</v>
      </c>
      <c r="BL482" s="8" t="str">
        <f t="shared" si="117"/>
        <v>-</v>
      </c>
    </row>
    <row r="483" spans="1:64">
      <c r="A483" s="1">
        <v>32905</v>
      </c>
      <c r="B483">
        <v>47.2</v>
      </c>
      <c r="C483">
        <v>49.1</v>
      </c>
      <c r="D483">
        <v>45.4</v>
      </c>
      <c r="E483">
        <v>47.4</v>
      </c>
      <c r="F483">
        <v>48.2</v>
      </c>
      <c r="G483">
        <v>42.7</v>
      </c>
      <c r="I483">
        <v>50.8</v>
      </c>
      <c r="K483">
        <v>54.3</v>
      </c>
      <c r="L483">
        <v>51.8</v>
      </c>
      <c r="W483" s="1">
        <v>32905</v>
      </c>
      <c r="X483">
        <v>331.89001500000001</v>
      </c>
      <c r="Y483" s="4">
        <f t="shared" si="118"/>
        <v>8.5390425155206662E-3</v>
      </c>
      <c r="Z483" s="4">
        <f t="shared" si="120"/>
        <v>0.14896500808168361</v>
      </c>
      <c r="AA483">
        <v>47.2</v>
      </c>
      <c r="AB483">
        <f t="shared" si="121"/>
        <v>54.7</v>
      </c>
      <c r="AP483" s="3">
        <v>32874</v>
      </c>
      <c r="AQ483" s="2">
        <v>47.4</v>
      </c>
      <c r="AR483" s="2" t="str">
        <f t="shared" si="108"/>
        <v>+</v>
      </c>
      <c r="AS483" s="2">
        <v>50.4</v>
      </c>
      <c r="AT483" s="8" t="str">
        <f t="shared" si="109"/>
        <v>+</v>
      </c>
      <c r="AU483" s="2">
        <v>49.7</v>
      </c>
      <c r="AV483" s="8" t="str">
        <f t="shared" si="110"/>
        <v>+</v>
      </c>
      <c r="AW483" s="2">
        <v>44.6</v>
      </c>
      <c r="AX483" s="8" t="str">
        <f t="shared" si="111"/>
        <v>-</v>
      </c>
      <c r="AY483" s="2">
        <v>43.5</v>
      </c>
      <c r="AZ483" s="8" t="str">
        <f t="shared" si="112"/>
        <v>+</v>
      </c>
      <c r="BA483" s="2">
        <v>43.9</v>
      </c>
      <c r="BB483" s="8" t="str">
        <f t="shared" si="113"/>
        <v>+</v>
      </c>
      <c r="BC483" s="2"/>
      <c r="BD483" s="8" t="str">
        <f t="shared" si="114"/>
        <v>+</v>
      </c>
      <c r="BE483" s="2">
        <v>41</v>
      </c>
      <c r="BF483" s="8" t="str">
        <f t="shared" si="119"/>
        <v>+</v>
      </c>
      <c r="BG483" s="2"/>
      <c r="BH483" s="8" t="str">
        <f t="shared" si="115"/>
        <v>+</v>
      </c>
      <c r="BI483" s="2">
        <v>54.9</v>
      </c>
      <c r="BJ483" s="8" t="str">
        <f t="shared" si="116"/>
        <v>-</v>
      </c>
      <c r="BK483" s="2">
        <v>45.5</v>
      </c>
      <c r="BL483" s="8" t="str">
        <f t="shared" si="117"/>
        <v>-</v>
      </c>
    </row>
    <row r="484" spans="1:64">
      <c r="A484" s="1">
        <v>32933</v>
      </c>
      <c r="B484">
        <v>49.1</v>
      </c>
      <c r="C484">
        <v>52.5</v>
      </c>
      <c r="D484">
        <v>46.5</v>
      </c>
      <c r="E484">
        <v>52.8</v>
      </c>
      <c r="F484">
        <v>44.4</v>
      </c>
      <c r="G484">
        <v>41.4</v>
      </c>
      <c r="I484">
        <v>44.6</v>
      </c>
      <c r="K484">
        <v>54.7</v>
      </c>
      <c r="L484">
        <v>50.3</v>
      </c>
      <c r="W484" s="1">
        <v>32933</v>
      </c>
      <c r="X484">
        <v>339.94000199999999</v>
      </c>
      <c r="Y484" s="4">
        <f t="shared" si="118"/>
        <v>2.4254983989198915E-2</v>
      </c>
      <c r="Z484" s="4">
        <f t="shared" si="120"/>
        <v>0.15284704366071553</v>
      </c>
      <c r="AA484">
        <v>49.1</v>
      </c>
      <c r="AB484">
        <f t="shared" si="121"/>
        <v>54.1</v>
      </c>
      <c r="AP484" s="3">
        <v>32905</v>
      </c>
      <c r="AQ484" s="2">
        <v>47.2</v>
      </c>
      <c r="AR484" s="2" t="str">
        <f t="shared" si="108"/>
        <v>-</v>
      </c>
      <c r="AS484" s="2">
        <v>49.1</v>
      </c>
      <c r="AT484" s="8" t="str">
        <f t="shared" si="109"/>
        <v>-</v>
      </c>
      <c r="AU484" s="2">
        <v>47.4</v>
      </c>
      <c r="AV484" s="8" t="str">
        <f t="shared" si="110"/>
        <v>-</v>
      </c>
      <c r="AW484" s="2">
        <v>45.4</v>
      </c>
      <c r="AX484" s="8" t="str">
        <f t="shared" si="111"/>
        <v>+</v>
      </c>
      <c r="AY484" s="2">
        <v>48.2</v>
      </c>
      <c r="AZ484" s="8" t="str">
        <f t="shared" si="112"/>
        <v>+</v>
      </c>
      <c r="BA484" s="2">
        <v>42.7</v>
      </c>
      <c r="BB484" s="8" t="str">
        <f t="shared" si="113"/>
        <v>-</v>
      </c>
      <c r="BC484" s="2"/>
      <c r="BD484" s="8" t="str">
        <f t="shared" si="114"/>
        <v>+</v>
      </c>
      <c r="BE484" s="2">
        <v>50.8</v>
      </c>
      <c r="BF484" s="8" t="str">
        <f t="shared" si="119"/>
        <v>+</v>
      </c>
      <c r="BG484" s="2"/>
      <c r="BH484" s="8" t="str">
        <f t="shared" si="115"/>
        <v>+</v>
      </c>
      <c r="BI484" s="2">
        <v>54.3</v>
      </c>
      <c r="BJ484" s="8" t="str">
        <f t="shared" si="116"/>
        <v>-</v>
      </c>
      <c r="BK484" s="2">
        <v>51.8</v>
      </c>
      <c r="BL484" s="8" t="str">
        <f t="shared" si="117"/>
        <v>+</v>
      </c>
    </row>
    <row r="485" spans="1:64">
      <c r="A485" s="1">
        <v>32964</v>
      </c>
      <c r="B485">
        <v>49.9</v>
      </c>
      <c r="C485">
        <v>52.3</v>
      </c>
      <c r="D485">
        <v>46.5</v>
      </c>
      <c r="E485">
        <v>54.7</v>
      </c>
      <c r="F485">
        <v>47.2</v>
      </c>
      <c r="G485">
        <v>41.2</v>
      </c>
      <c r="I485">
        <v>50.1</v>
      </c>
      <c r="K485">
        <v>56.3</v>
      </c>
      <c r="L485">
        <v>48.7</v>
      </c>
      <c r="W485" s="1">
        <v>32964</v>
      </c>
      <c r="X485">
        <v>330.79998799999998</v>
      </c>
      <c r="Y485" s="4">
        <f t="shared" si="118"/>
        <v>-2.6887138748678385E-2</v>
      </c>
      <c r="Z485" s="4">
        <f t="shared" si="120"/>
        <v>6.8337333596886624E-2</v>
      </c>
      <c r="AA485">
        <v>49.9</v>
      </c>
      <c r="AB485">
        <f t="shared" si="121"/>
        <v>51.5</v>
      </c>
      <c r="AP485" s="3">
        <v>32933</v>
      </c>
      <c r="AQ485" s="2">
        <v>49.1</v>
      </c>
      <c r="AR485" s="2" t="str">
        <f t="shared" si="108"/>
        <v>+</v>
      </c>
      <c r="AS485" s="2">
        <v>52.5</v>
      </c>
      <c r="AT485" s="8" t="str">
        <f t="shared" si="109"/>
        <v>+</v>
      </c>
      <c r="AU485" s="2">
        <v>52.8</v>
      </c>
      <c r="AV485" s="8" t="str">
        <f t="shared" si="110"/>
        <v>+</v>
      </c>
      <c r="AW485" s="2">
        <v>46.5</v>
      </c>
      <c r="AX485" s="8" t="str">
        <f t="shared" si="111"/>
        <v>+</v>
      </c>
      <c r="AY485" s="2">
        <v>44.4</v>
      </c>
      <c r="AZ485" s="8" t="str">
        <f t="shared" si="112"/>
        <v>-</v>
      </c>
      <c r="BA485" s="2">
        <v>41.4</v>
      </c>
      <c r="BB485" s="8" t="str">
        <f t="shared" si="113"/>
        <v>-</v>
      </c>
      <c r="BC485" s="2"/>
      <c r="BD485" s="8" t="str">
        <f t="shared" si="114"/>
        <v>+</v>
      </c>
      <c r="BE485" s="2">
        <v>44.6</v>
      </c>
      <c r="BF485" s="8" t="str">
        <f t="shared" si="119"/>
        <v>-</v>
      </c>
      <c r="BG485" s="2"/>
      <c r="BH485" s="8" t="str">
        <f t="shared" si="115"/>
        <v>+</v>
      </c>
      <c r="BI485" s="2">
        <v>54.7</v>
      </c>
      <c r="BJ485" s="8" t="str">
        <f t="shared" si="116"/>
        <v>+</v>
      </c>
      <c r="BK485" s="2">
        <v>50.3</v>
      </c>
      <c r="BL485" s="8" t="str">
        <f t="shared" si="117"/>
        <v>-</v>
      </c>
    </row>
    <row r="486" spans="1:64">
      <c r="A486" s="1">
        <v>32994</v>
      </c>
      <c r="B486">
        <v>50</v>
      </c>
      <c r="C486">
        <v>53.7</v>
      </c>
      <c r="D486">
        <v>46.6</v>
      </c>
      <c r="E486">
        <v>53.5</v>
      </c>
      <c r="F486">
        <v>47.2</v>
      </c>
      <c r="G486">
        <v>41.3</v>
      </c>
      <c r="I486">
        <v>50.9</v>
      </c>
      <c r="K486">
        <v>57.5</v>
      </c>
      <c r="L486">
        <v>48</v>
      </c>
      <c r="W486" s="1">
        <v>32994</v>
      </c>
      <c r="X486">
        <v>361.23001099999999</v>
      </c>
      <c r="Y486" s="4">
        <f t="shared" si="118"/>
        <v>9.1989190156802569E-2</v>
      </c>
      <c r="Z486" s="4">
        <f t="shared" si="120"/>
        <v>0.12701242792068104</v>
      </c>
      <c r="AA486">
        <v>50</v>
      </c>
      <c r="AB486">
        <f t="shared" si="121"/>
        <v>52.2</v>
      </c>
      <c r="AP486" s="3">
        <v>32964</v>
      </c>
      <c r="AQ486" s="2">
        <v>49.9</v>
      </c>
      <c r="AR486" s="2" t="str">
        <f t="shared" ref="AR486:AR549" si="122">IF(OR(AQ486&gt;AQ485,AQ486=AQ485),"+","-")</f>
        <v>+</v>
      </c>
      <c r="AS486" s="2">
        <v>52.3</v>
      </c>
      <c r="AT486" s="8" t="str">
        <f t="shared" si="109"/>
        <v>-</v>
      </c>
      <c r="AU486" s="2">
        <v>54.7</v>
      </c>
      <c r="AV486" s="8" t="str">
        <f t="shared" si="110"/>
        <v>+</v>
      </c>
      <c r="AW486" s="2">
        <v>46.5</v>
      </c>
      <c r="AX486" s="8" t="str">
        <f t="shared" si="111"/>
        <v>+</v>
      </c>
      <c r="AY486" s="2">
        <v>47.2</v>
      </c>
      <c r="AZ486" s="8" t="str">
        <f t="shared" si="112"/>
        <v>+</v>
      </c>
      <c r="BA486" s="2">
        <v>41.2</v>
      </c>
      <c r="BB486" s="8" t="str">
        <f t="shared" si="113"/>
        <v>-</v>
      </c>
      <c r="BC486" s="2"/>
      <c r="BD486" s="8" t="str">
        <f t="shared" si="114"/>
        <v>+</v>
      </c>
      <c r="BE486" s="2">
        <v>50.1</v>
      </c>
      <c r="BF486" s="8" t="str">
        <f t="shared" si="119"/>
        <v>+</v>
      </c>
      <c r="BG486" s="2"/>
      <c r="BH486" s="8" t="str">
        <f t="shared" si="115"/>
        <v>+</v>
      </c>
      <c r="BI486" s="2">
        <v>56.3</v>
      </c>
      <c r="BJ486" s="8" t="str">
        <f t="shared" si="116"/>
        <v>+</v>
      </c>
      <c r="BK486" s="2">
        <v>48.7</v>
      </c>
      <c r="BL486" s="8" t="str">
        <f t="shared" si="117"/>
        <v>-</v>
      </c>
    </row>
    <row r="487" spans="1:64">
      <c r="A487" s="1">
        <v>33025</v>
      </c>
      <c r="B487">
        <v>49.5</v>
      </c>
      <c r="C487">
        <v>51.7</v>
      </c>
      <c r="D487">
        <v>46.2</v>
      </c>
      <c r="E487">
        <v>53.9</v>
      </c>
      <c r="F487">
        <v>48.2</v>
      </c>
      <c r="G487">
        <v>40</v>
      </c>
      <c r="I487">
        <v>50.1</v>
      </c>
      <c r="K487">
        <v>54.3</v>
      </c>
      <c r="L487">
        <v>46.5</v>
      </c>
      <c r="W487" s="1">
        <v>33025</v>
      </c>
      <c r="X487">
        <v>358.01998900000001</v>
      </c>
      <c r="Y487" s="4">
        <f t="shared" si="118"/>
        <v>-8.8863657565815615E-3</v>
      </c>
      <c r="Z487" s="4">
        <f t="shared" si="120"/>
        <v>0.12591979563143049</v>
      </c>
      <c r="AA487">
        <v>49.5</v>
      </c>
      <c r="AB487">
        <f t="shared" si="121"/>
        <v>49.3</v>
      </c>
      <c r="AP487" s="3">
        <v>32994</v>
      </c>
      <c r="AQ487" s="2">
        <v>50</v>
      </c>
      <c r="AR487" s="2" t="str">
        <f t="shared" si="122"/>
        <v>+</v>
      </c>
      <c r="AS487" s="2">
        <v>53.7</v>
      </c>
      <c r="AT487" s="8" t="str">
        <f t="shared" ref="AT487:AT550" si="123">IF(OR(AS487&gt;AS486,AS487=AS486),"+","-")</f>
        <v>+</v>
      </c>
      <c r="AU487" s="2">
        <v>53.5</v>
      </c>
      <c r="AV487" s="8" t="str">
        <f t="shared" ref="AV487:AV550" si="124">IF(OR(AU487&gt;AU486,AU487=AU486),"+","-")</f>
        <v>-</v>
      </c>
      <c r="AW487" s="2">
        <v>46.6</v>
      </c>
      <c r="AX487" s="8" t="str">
        <f t="shared" ref="AX487:AX550" si="125">IF(OR(AW487&gt;AW486,AW487=AW486),"+","-")</f>
        <v>+</v>
      </c>
      <c r="AY487" s="2">
        <v>47.2</v>
      </c>
      <c r="AZ487" s="8" t="str">
        <f t="shared" ref="AZ487:AZ550" si="126">IF(OR(AY487&gt;AY486,AY487=AY486),"+","-")</f>
        <v>+</v>
      </c>
      <c r="BA487" s="2">
        <v>41.3</v>
      </c>
      <c r="BB487" s="8" t="str">
        <f t="shared" ref="BB487:BB550" si="127">IF(OR(BA487&gt;BA486,BA487=BA486),"+","-")</f>
        <v>+</v>
      </c>
      <c r="BC487" s="2"/>
      <c r="BD487" s="8" t="str">
        <f t="shared" ref="BD487:BD550" si="128">IF(OR(BC487&gt;BC486,BC487=BC486),"+","-")</f>
        <v>+</v>
      </c>
      <c r="BE487" s="2">
        <v>50.9</v>
      </c>
      <c r="BF487" s="8" t="str">
        <f t="shared" si="119"/>
        <v>+</v>
      </c>
      <c r="BG487" s="2"/>
      <c r="BH487" s="8" t="str">
        <f t="shared" ref="BH487:BH550" si="129">IF(OR(BG487&gt;BG486,BG487=BG486),"+","-")</f>
        <v>+</v>
      </c>
      <c r="BI487" s="2">
        <v>57.5</v>
      </c>
      <c r="BJ487" s="8" t="str">
        <f t="shared" ref="BJ487:BJ550" si="130">IF(OR(BI487&gt;BI486,BI487=BI486),"+","-")</f>
        <v>+</v>
      </c>
      <c r="BK487" s="2">
        <v>48</v>
      </c>
      <c r="BL487" s="8" t="str">
        <f t="shared" ref="BL487:BL550" si="131">IF(OR(BK487&gt;BK486,BK487=BK486),"+","-")</f>
        <v>-</v>
      </c>
    </row>
    <row r="488" spans="1:64">
      <c r="A488" s="1">
        <v>33055</v>
      </c>
      <c r="B488">
        <v>49.2</v>
      </c>
      <c r="C488">
        <v>52</v>
      </c>
      <c r="D488">
        <v>45.4</v>
      </c>
      <c r="E488">
        <v>51.3</v>
      </c>
      <c r="F488">
        <v>49.8</v>
      </c>
      <c r="G488">
        <v>42.6</v>
      </c>
      <c r="I488">
        <v>53.2</v>
      </c>
      <c r="K488">
        <v>56</v>
      </c>
      <c r="L488">
        <v>47.6</v>
      </c>
      <c r="W488" s="1">
        <v>33055</v>
      </c>
      <c r="X488">
        <v>356.14999399999999</v>
      </c>
      <c r="Y488" s="4">
        <f t="shared" si="118"/>
        <v>-5.2231580846174965E-3</v>
      </c>
      <c r="Z488" s="4">
        <f t="shared" si="120"/>
        <v>2.9097339858603192E-2</v>
      </c>
      <c r="AA488">
        <v>49.2</v>
      </c>
      <c r="AB488">
        <f t="shared" si="121"/>
        <v>47.3</v>
      </c>
      <c r="AP488" s="3">
        <v>33025</v>
      </c>
      <c r="AQ488" s="2">
        <v>49.5</v>
      </c>
      <c r="AR488" s="2" t="str">
        <f t="shared" si="122"/>
        <v>-</v>
      </c>
      <c r="AS488" s="2">
        <v>51.7</v>
      </c>
      <c r="AT488" s="8" t="str">
        <f t="shared" si="123"/>
        <v>-</v>
      </c>
      <c r="AU488" s="2">
        <v>53.9</v>
      </c>
      <c r="AV488" s="8" t="str">
        <f t="shared" si="124"/>
        <v>+</v>
      </c>
      <c r="AW488" s="2">
        <v>46.2</v>
      </c>
      <c r="AX488" s="8" t="str">
        <f t="shared" si="125"/>
        <v>-</v>
      </c>
      <c r="AY488" s="2">
        <v>48.2</v>
      </c>
      <c r="AZ488" s="8" t="str">
        <f t="shared" si="126"/>
        <v>+</v>
      </c>
      <c r="BA488" s="2">
        <v>40</v>
      </c>
      <c r="BB488" s="8" t="str">
        <f t="shared" si="127"/>
        <v>-</v>
      </c>
      <c r="BC488" s="2"/>
      <c r="BD488" s="8" t="str">
        <f t="shared" si="128"/>
        <v>+</v>
      </c>
      <c r="BE488" s="2">
        <v>50.1</v>
      </c>
      <c r="BF488" s="8" t="str">
        <f t="shared" si="119"/>
        <v>-</v>
      </c>
      <c r="BG488" s="2"/>
      <c r="BH488" s="8" t="str">
        <f t="shared" si="129"/>
        <v>+</v>
      </c>
      <c r="BI488" s="2">
        <v>54.3</v>
      </c>
      <c r="BJ488" s="8" t="str">
        <f t="shared" si="130"/>
        <v>-</v>
      </c>
      <c r="BK488" s="2">
        <v>46.5</v>
      </c>
      <c r="BL488" s="8" t="str">
        <f t="shared" si="131"/>
        <v>-</v>
      </c>
    </row>
    <row r="489" spans="1:64">
      <c r="A489" s="1">
        <v>33086</v>
      </c>
      <c r="B489">
        <v>46.6</v>
      </c>
      <c r="C489">
        <v>46.7</v>
      </c>
      <c r="D489">
        <v>46.3</v>
      </c>
      <c r="E489">
        <v>49.8</v>
      </c>
      <c r="F489">
        <v>46.4</v>
      </c>
      <c r="G489">
        <v>39.6</v>
      </c>
      <c r="I489">
        <v>51.4</v>
      </c>
      <c r="K489">
        <v>57.2</v>
      </c>
      <c r="L489">
        <v>47.5</v>
      </c>
      <c r="W489" s="1">
        <v>33086</v>
      </c>
      <c r="X489">
        <v>322.55999800000001</v>
      </c>
      <c r="Y489" s="4">
        <f t="shared" si="118"/>
        <v>-9.43141838154853E-2</v>
      </c>
      <c r="Z489" s="4">
        <f t="shared" si="120"/>
        <v>-8.2202341765747353E-2</v>
      </c>
      <c r="AA489">
        <v>46.6</v>
      </c>
      <c r="AB489">
        <f t="shared" si="121"/>
        <v>45.9</v>
      </c>
      <c r="AP489" s="3">
        <v>33055</v>
      </c>
      <c r="AQ489" s="2">
        <v>49.2</v>
      </c>
      <c r="AR489" s="2" t="str">
        <f t="shared" si="122"/>
        <v>-</v>
      </c>
      <c r="AS489" s="2">
        <v>52</v>
      </c>
      <c r="AT489" s="8" t="str">
        <f t="shared" si="123"/>
        <v>+</v>
      </c>
      <c r="AU489" s="2">
        <v>51.3</v>
      </c>
      <c r="AV489" s="8" t="str">
        <f t="shared" si="124"/>
        <v>-</v>
      </c>
      <c r="AW489" s="2">
        <v>45.4</v>
      </c>
      <c r="AX489" s="8" t="str">
        <f t="shared" si="125"/>
        <v>-</v>
      </c>
      <c r="AY489" s="2">
        <v>49.8</v>
      </c>
      <c r="AZ489" s="8" t="str">
        <f t="shared" si="126"/>
        <v>+</v>
      </c>
      <c r="BA489" s="2">
        <v>42.6</v>
      </c>
      <c r="BB489" s="8" t="str">
        <f t="shared" si="127"/>
        <v>+</v>
      </c>
      <c r="BC489" s="2"/>
      <c r="BD489" s="8" t="str">
        <f t="shared" si="128"/>
        <v>+</v>
      </c>
      <c r="BE489" s="2">
        <v>53.2</v>
      </c>
      <c r="BF489" s="8" t="str">
        <f t="shared" si="119"/>
        <v>+</v>
      </c>
      <c r="BG489" s="2"/>
      <c r="BH489" s="8" t="str">
        <f t="shared" si="129"/>
        <v>+</v>
      </c>
      <c r="BI489" s="2">
        <v>56</v>
      </c>
      <c r="BJ489" s="8" t="str">
        <f t="shared" si="130"/>
        <v>+</v>
      </c>
      <c r="BK489" s="2">
        <v>47.6</v>
      </c>
      <c r="BL489" s="8" t="str">
        <f t="shared" si="131"/>
        <v>+</v>
      </c>
    </row>
    <row r="490" spans="1:64">
      <c r="A490" s="1">
        <v>33117</v>
      </c>
      <c r="B490">
        <v>46.1</v>
      </c>
      <c r="C490">
        <v>45.5</v>
      </c>
      <c r="D490">
        <v>43.1</v>
      </c>
      <c r="E490">
        <v>47.9</v>
      </c>
      <c r="F490">
        <v>50.1</v>
      </c>
      <c r="G490">
        <v>43</v>
      </c>
      <c r="I490">
        <v>53.1</v>
      </c>
      <c r="K490">
        <v>54.6</v>
      </c>
      <c r="L490">
        <v>46.9</v>
      </c>
      <c r="W490" s="1">
        <v>33117</v>
      </c>
      <c r="X490">
        <v>306.04998799999998</v>
      </c>
      <c r="Y490" s="4">
        <f t="shared" si="118"/>
        <v>-5.1184307112998005E-2</v>
      </c>
      <c r="Z490" s="4">
        <f t="shared" si="120"/>
        <v>-0.12344266573294001</v>
      </c>
      <c r="AA490">
        <v>46.1</v>
      </c>
      <c r="AB490">
        <f t="shared" si="121"/>
        <v>45.1</v>
      </c>
      <c r="AP490" s="3">
        <v>33086</v>
      </c>
      <c r="AQ490" s="2">
        <v>46.6</v>
      </c>
      <c r="AR490" s="2" t="str">
        <f t="shared" si="122"/>
        <v>-</v>
      </c>
      <c r="AS490" s="2">
        <v>46.7</v>
      </c>
      <c r="AT490" s="8" t="str">
        <f t="shared" si="123"/>
        <v>-</v>
      </c>
      <c r="AU490" s="2">
        <v>49.8</v>
      </c>
      <c r="AV490" s="8" t="str">
        <f t="shared" si="124"/>
        <v>-</v>
      </c>
      <c r="AW490" s="2">
        <v>46.3</v>
      </c>
      <c r="AX490" s="8" t="str">
        <f t="shared" si="125"/>
        <v>+</v>
      </c>
      <c r="AY490" s="2">
        <v>46.4</v>
      </c>
      <c r="AZ490" s="8" t="str">
        <f t="shared" si="126"/>
        <v>-</v>
      </c>
      <c r="BA490" s="2">
        <v>39.6</v>
      </c>
      <c r="BB490" s="8" t="str">
        <f t="shared" si="127"/>
        <v>-</v>
      </c>
      <c r="BC490" s="2"/>
      <c r="BD490" s="8" t="str">
        <f t="shared" si="128"/>
        <v>+</v>
      </c>
      <c r="BE490" s="2">
        <v>51.4</v>
      </c>
      <c r="BF490" s="8" t="str">
        <f t="shared" si="119"/>
        <v>-</v>
      </c>
      <c r="BG490" s="2"/>
      <c r="BH490" s="8" t="str">
        <f t="shared" si="129"/>
        <v>+</v>
      </c>
      <c r="BI490" s="2">
        <v>57.2</v>
      </c>
      <c r="BJ490" s="8" t="str">
        <f t="shared" si="130"/>
        <v>+</v>
      </c>
      <c r="BK490" s="2">
        <v>47.5</v>
      </c>
      <c r="BL490" s="8" t="str">
        <f t="shared" si="131"/>
        <v>-</v>
      </c>
    </row>
    <row r="491" spans="1:64">
      <c r="A491" s="1">
        <v>33147</v>
      </c>
      <c r="B491">
        <v>44.5</v>
      </c>
      <c r="C491">
        <v>44.9</v>
      </c>
      <c r="D491">
        <v>41.3</v>
      </c>
      <c r="E491">
        <v>45.5</v>
      </c>
      <c r="F491">
        <v>48.9</v>
      </c>
      <c r="G491">
        <v>40.799999999999997</v>
      </c>
      <c r="I491">
        <v>70.2</v>
      </c>
      <c r="K491">
        <v>54.7</v>
      </c>
      <c r="L491">
        <v>46</v>
      </c>
      <c r="W491" s="1">
        <v>33147</v>
      </c>
      <c r="X491">
        <v>304</v>
      </c>
      <c r="Y491" s="4">
        <f t="shared" si="118"/>
        <v>-6.6982129729735032E-3</v>
      </c>
      <c r="Z491" s="4">
        <f t="shared" si="120"/>
        <v>-0.10682802503942992</v>
      </c>
      <c r="AA491">
        <v>44.5</v>
      </c>
      <c r="AB491">
        <f t="shared" si="121"/>
        <v>46</v>
      </c>
      <c r="AP491" s="3">
        <v>33117</v>
      </c>
      <c r="AQ491" s="2">
        <v>46.1</v>
      </c>
      <c r="AR491" s="2" t="str">
        <f t="shared" si="122"/>
        <v>-</v>
      </c>
      <c r="AS491" s="2">
        <v>45.5</v>
      </c>
      <c r="AT491" s="8" t="str">
        <f t="shared" si="123"/>
        <v>-</v>
      </c>
      <c r="AU491" s="2">
        <v>47.9</v>
      </c>
      <c r="AV491" s="8" t="str">
        <f t="shared" si="124"/>
        <v>-</v>
      </c>
      <c r="AW491" s="2">
        <v>43.1</v>
      </c>
      <c r="AX491" s="8" t="str">
        <f t="shared" si="125"/>
        <v>-</v>
      </c>
      <c r="AY491" s="2">
        <v>50.1</v>
      </c>
      <c r="AZ491" s="8" t="str">
        <f t="shared" si="126"/>
        <v>+</v>
      </c>
      <c r="BA491" s="2">
        <v>43</v>
      </c>
      <c r="BB491" s="8" t="str">
        <f t="shared" si="127"/>
        <v>+</v>
      </c>
      <c r="BC491" s="2"/>
      <c r="BD491" s="8" t="str">
        <f t="shared" si="128"/>
        <v>+</v>
      </c>
      <c r="BE491" s="2">
        <v>53.1</v>
      </c>
      <c r="BF491" s="8" t="str">
        <f t="shared" si="119"/>
        <v>+</v>
      </c>
      <c r="BG491" s="2"/>
      <c r="BH491" s="8" t="str">
        <f t="shared" si="129"/>
        <v>+</v>
      </c>
      <c r="BI491" s="2">
        <v>54.6</v>
      </c>
      <c r="BJ491" s="8" t="str">
        <f t="shared" si="130"/>
        <v>-</v>
      </c>
      <c r="BK491" s="2">
        <v>46.9</v>
      </c>
      <c r="BL491" s="8" t="str">
        <f t="shared" si="131"/>
        <v>-</v>
      </c>
    </row>
    <row r="492" spans="1:64">
      <c r="A492" s="1">
        <v>33178</v>
      </c>
      <c r="B492">
        <v>43.2</v>
      </c>
      <c r="C492">
        <v>43.1</v>
      </c>
      <c r="D492">
        <v>40.200000000000003</v>
      </c>
      <c r="E492">
        <v>43.6</v>
      </c>
      <c r="F492">
        <v>48.1</v>
      </c>
      <c r="G492">
        <v>41.2</v>
      </c>
      <c r="I492">
        <v>73.400000000000006</v>
      </c>
      <c r="K492">
        <v>51.5</v>
      </c>
      <c r="L492">
        <v>47.4</v>
      </c>
      <c r="W492" s="1">
        <v>33178</v>
      </c>
      <c r="X492">
        <v>322.22000100000002</v>
      </c>
      <c r="Y492" s="4">
        <f t="shared" si="118"/>
        <v>5.9934213815789554E-2</v>
      </c>
      <c r="Z492" s="4">
        <f t="shared" si="120"/>
        <v>-6.8701377747951473E-2</v>
      </c>
      <c r="AA492">
        <v>43.2</v>
      </c>
      <c r="AB492">
        <f t="shared" si="121"/>
        <v>46.8</v>
      </c>
      <c r="AP492" s="3">
        <v>33147</v>
      </c>
      <c r="AQ492" s="2">
        <v>44.5</v>
      </c>
      <c r="AR492" s="2" t="str">
        <f t="shared" si="122"/>
        <v>-</v>
      </c>
      <c r="AS492" s="2">
        <v>44.9</v>
      </c>
      <c r="AT492" s="8" t="str">
        <f t="shared" si="123"/>
        <v>-</v>
      </c>
      <c r="AU492" s="2">
        <v>45.5</v>
      </c>
      <c r="AV492" s="8" t="str">
        <f t="shared" si="124"/>
        <v>-</v>
      </c>
      <c r="AW492" s="2">
        <v>41.3</v>
      </c>
      <c r="AX492" s="8" t="str">
        <f t="shared" si="125"/>
        <v>-</v>
      </c>
      <c r="AY492" s="2">
        <v>48.9</v>
      </c>
      <c r="AZ492" s="8" t="str">
        <f t="shared" si="126"/>
        <v>-</v>
      </c>
      <c r="BA492" s="2">
        <v>40.799999999999997</v>
      </c>
      <c r="BB492" s="8" t="str">
        <f t="shared" si="127"/>
        <v>-</v>
      </c>
      <c r="BC492" s="2"/>
      <c r="BD492" s="8" t="str">
        <f t="shared" si="128"/>
        <v>+</v>
      </c>
      <c r="BE492" s="2">
        <v>70.2</v>
      </c>
      <c r="BF492" s="8" t="str">
        <f t="shared" si="119"/>
        <v>+</v>
      </c>
      <c r="BG492" s="2"/>
      <c r="BH492" s="8" t="str">
        <f t="shared" si="129"/>
        <v>+</v>
      </c>
      <c r="BI492" s="2">
        <v>54.7</v>
      </c>
      <c r="BJ492" s="8" t="str">
        <f t="shared" si="130"/>
        <v>+</v>
      </c>
      <c r="BK492" s="2">
        <v>46</v>
      </c>
      <c r="BL492" s="8" t="str">
        <f t="shared" si="131"/>
        <v>-</v>
      </c>
    </row>
    <row r="493" spans="1:64">
      <c r="A493" s="1">
        <v>33208</v>
      </c>
      <c r="B493">
        <v>41.3</v>
      </c>
      <c r="C493">
        <v>40.4</v>
      </c>
      <c r="D493">
        <v>36.200000000000003</v>
      </c>
      <c r="E493">
        <v>42.1</v>
      </c>
      <c r="F493">
        <v>48.6</v>
      </c>
      <c r="G493">
        <v>40.9</v>
      </c>
      <c r="I493">
        <v>64.2</v>
      </c>
      <c r="K493">
        <v>55.5</v>
      </c>
      <c r="L493">
        <v>43.1</v>
      </c>
      <c r="W493" s="1">
        <v>33208</v>
      </c>
      <c r="X493">
        <v>330.22000100000002</v>
      </c>
      <c r="Y493" s="4">
        <f t="shared" si="118"/>
        <v>2.4827757355757686E-2</v>
      </c>
      <c r="Z493" s="4">
        <f t="shared" si="120"/>
        <v>-6.5591379155484561E-2</v>
      </c>
      <c r="AA493">
        <v>41.3</v>
      </c>
      <c r="AB493">
        <f t="shared" si="121"/>
        <v>46.8</v>
      </c>
      <c r="AP493" s="3">
        <v>33178</v>
      </c>
      <c r="AQ493" s="2">
        <v>43.2</v>
      </c>
      <c r="AR493" s="2" t="str">
        <f t="shared" si="122"/>
        <v>-</v>
      </c>
      <c r="AS493" s="2">
        <v>43.1</v>
      </c>
      <c r="AT493" s="8" t="str">
        <f t="shared" si="123"/>
        <v>-</v>
      </c>
      <c r="AU493" s="2">
        <v>43.6</v>
      </c>
      <c r="AV493" s="8" t="str">
        <f t="shared" si="124"/>
        <v>-</v>
      </c>
      <c r="AW493" s="2">
        <v>40.200000000000003</v>
      </c>
      <c r="AX493" s="8" t="str">
        <f t="shared" si="125"/>
        <v>-</v>
      </c>
      <c r="AY493" s="2">
        <v>48.1</v>
      </c>
      <c r="AZ493" s="8" t="str">
        <f t="shared" si="126"/>
        <v>-</v>
      </c>
      <c r="BA493" s="2">
        <v>41.2</v>
      </c>
      <c r="BB493" s="8" t="str">
        <f t="shared" si="127"/>
        <v>+</v>
      </c>
      <c r="BC493" s="2"/>
      <c r="BD493" s="8" t="str">
        <f t="shared" si="128"/>
        <v>+</v>
      </c>
      <c r="BE493" s="2">
        <v>73.400000000000006</v>
      </c>
      <c r="BF493" s="8" t="str">
        <f t="shared" si="119"/>
        <v>+</v>
      </c>
      <c r="BG493" s="2"/>
      <c r="BH493" s="8" t="str">
        <f t="shared" si="129"/>
        <v>+</v>
      </c>
      <c r="BI493" s="2">
        <v>51.5</v>
      </c>
      <c r="BJ493" s="8" t="str">
        <f t="shared" si="130"/>
        <v>-</v>
      </c>
      <c r="BK493" s="2">
        <v>47.4</v>
      </c>
      <c r="BL493" s="8" t="str">
        <f t="shared" si="131"/>
        <v>+</v>
      </c>
    </row>
    <row r="494" spans="1:64">
      <c r="A494" s="1">
        <v>33239</v>
      </c>
      <c r="B494">
        <v>40.799999999999997</v>
      </c>
      <c r="C494">
        <v>38.5</v>
      </c>
      <c r="D494">
        <v>38.799999999999997</v>
      </c>
      <c r="E494">
        <v>41.8</v>
      </c>
      <c r="F494">
        <v>47.2</v>
      </c>
      <c r="G494">
        <v>39.6</v>
      </c>
      <c r="I494">
        <v>58.9</v>
      </c>
      <c r="K494">
        <v>56.5</v>
      </c>
      <c r="L494">
        <v>46.5</v>
      </c>
      <c r="W494" s="1">
        <v>33239</v>
      </c>
      <c r="X494">
        <v>343.92999300000002</v>
      </c>
      <c r="Y494" s="4">
        <f t="shared" si="118"/>
        <v>4.1517751676101528E-2</v>
      </c>
      <c r="Z494" s="4">
        <f t="shared" si="120"/>
        <v>4.5125825290615457E-2</v>
      </c>
      <c r="AA494">
        <v>40.799999999999997</v>
      </c>
      <c r="AB494">
        <f t="shared" si="121"/>
        <v>47.4</v>
      </c>
      <c r="AP494" s="3">
        <v>33208</v>
      </c>
      <c r="AQ494" s="2">
        <v>41.3</v>
      </c>
      <c r="AR494" s="2" t="str">
        <f t="shared" si="122"/>
        <v>-</v>
      </c>
      <c r="AS494" s="2">
        <v>40.4</v>
      </c>
      <c r="AT494" s="8" t="str">
        <f t="shared" si="123"/>
        <v>-</v>
      </c>
      <c r="AU494" s="2">
        <v>42.1</v>
      </c>
      <c r="AV494" s="8" t="str">
        <f t="shared" si="124"/>
        <v>-</v>
      </c>
      <c r="AW494" s="2">
        <v>36.200000000000003</v>
      </c>
      <c r="AX494" s="8" t="str">
        <f t="shared" si="125"/>
        <v>-</v>
      </c>
      <c r="AY494" s="2">
        <v>48.6</v>
      </c>
      <c r="AZ494" s="8" t="str">
        <f t="shared" si="126"/>
        <v>+</v>
      </c>
      <c r="BA494" s="2">
        <v>40.9</v>
      </c>
      <c r="BB494" s="8" t="str">
        <f t="shared" si="127"/>
        <v>-</v>
      </c>
      <c r="BC494" s="2"/>
      <c r="BD494" s="8" t="str">
        <f t="shared" si="128"/>
        <v>+</v>
      </c>
      <c r="BE494" s="2">
        <v>64.2</v>
      </c>
      <c r="BF494" s="8" t="str">
        <f t="shared" si="119"/>
        <v>-</v>
      </c>
      <c r="BG494" s="2"/>
      <c r="BH494" s="8" t="str">
        <f t="shared" si="129"/>
        <v>+</v>
      </c>
      <c r="BI494" s="2">
        <v>55.5</v>
      </c>
      <c r="BJ494" s="8" t="str">
        <f t="shared" si="130"/>
        <v>+</v>
      </c>
      <c r="BK494" s="2">
        <v>43.1</v>
      </c>
      <c r="BL494" s="8" t="str">
        <f t="shared" si="131"/>
        <v>-</v>
      </c>
    </row>
    <row r="495" spans="1:64">
      <c r="A495" s="1">
        <v>33270</v>
      </c>
      <c r="B495">
        <v>39.200000000000003</v>
      </c>
      <c r="C495">
        <v>38.1</v>
      </c>
      <c r="D495">
        <v>37.299999999999997</v>
      </c>
      <c r="E495">
        <v>38.9</v>
      </c>
      <c r="F495">
        <v>44.4</v>
      </c>
      <c r="G495">
        <v>39.6</v>
      </c>
      <c r="I495">
        <v>51.6</v>
      </c>
      <c r="K495">
        <v>55.9</v>
      </c>
      <c r="L495">
        <v>44.6</v>
      </c>
      <c r="W495" s="1">
        <v>33270</v>
      </c>
      <c r="X495">
        <v>367.07000699999998</v>
      </c>
      <c r="Y495" s="4">
        <f t="shared" si="118"/>
        <v>6.7281174863978638E-2</v>
      </c>
      <c r="Z495" s="4">
        <f t="shared" si="120"/>
        <v>0.10599894666912461</v>
      </c>
      <c r="AA495">
        <v>39.200000000000003</v>
      </c>
      <c r="AB495">
        <f t="shared" si="121"/>
        <v>47.2</v>
      </c>
      <c r="AP495" s="3">
        <v>33239</v>
      </c>
      <c r="AQ495" s="2">
        <v>40.799999999999997</v>
      </c>
      <c r="AR495" s="2" t="str">
        <f t="shared" si="122"/>
        <v>-</v>
      </c>
      <c r="AS495" s="2">
        <v>38.5</v>
      </c>
      <c r="AT495" s="8" t="str">
        <f t="shared" si="123"/>
        <v>-</v>
      </c>
      <c r="AU495" s="2">
        <v>41.8</v>
      </c>
      <c r="AV495" s="8" t="str">
        <f t="shared" si="124"/>
        <v>-</v>
      </c>
      <c r="AW495" s="2">
        <v>38.799999999999997</v>
      </c>
      <c r="AX495" s="8" t="str">
        <f t="shared" si="125"/>
        <v>+</v>
      </c>
      <c r="AY495" s="2">
        <v>47.2</v>
      </c>
      <c r="AZ495" s="8" t="str">
        <f t="shared" si="126"/>
        <v>-</v>
      </c>
      <c r="BA495" s="2">
        <v>39.6</v>
      </c>
      <c r="BB495" s="8" t="str">
        <f t="shared" si="127"/>
        <v>-</v>
      </c>
      <c r="BC495" s="2"/>
      <c r="BD495" s="8" t="str">
        <f t="shared" si="128"/>
        <v>+</v>
      </c>
      <c r="BE495" s="2">
        <v>58.9</v>
      </c>
      <c r="BF495" s="8" t="str">
        <f t="shared" si="119"/>
        <v>-</v>
      </c>
      <c r="BG495" s="2"/>
      <c r="BH495" s="8" t="str">
        <f t="shared" si="129"/>
        <v>+</v>
      </c>
      <c r="BI495" s="2">
        <v>56.5</v>
      </c>
      <c r="BJ495" s="8" t="str">
        <f t="shared" si="130"/>
        <v>+</v>
      </c>
      <c r="BK495" s="2">
        <v>46.5</v>
      </c>
      <c r="BL495" s="8" t="str">
        <f t="shared" si="131"/>
        <v>+</v>
      </c>
    </row>
    <row r="496" spans="1:64">
      <c r="A496" s="1">
        <v>33298</v>
      </c>
      <c r="B496">
        <v>39.4</v>
      </c>
      <c r="C496">
        <v>39.200000000000003</v>
      </c>
      <c r="D496">
        <v>35.6</v>
      </c>
      <c r="E496">
        <v>39.1</v>
      </c>
      <c r="F496">
        <v>44.7</v>
      </c>
      <c r="G496">
        <v>39.9</v>
      </c>
      <c r="I496">
        <v>44.5</v>
      </c>
      <c r="K496">
        <v>53.3</v>
      </c>
      <c r="L496">
        <v>45.8</v>
      </c>
      <c r="W496" s="1">
        <v>33298</v>
      </c>
      <c r="X496">
        <v>375.22000100000002</v>
      </c>
      <c r="Y496" s="4">
        <f t="shared" si="118"/>
        <v>2.2202832823658213E-2</v>
      </c>
      <c r="Z496" s="4">
        <f t="shared" si="120"/>
        <v>0.10378301698074366</v>
      </c>
      <c r="AA496">
        <v>39.4</v>
      </c>
      <c r="AB496">
        <f t="shared" si="121"/>
        <v>49.1</v>
      </c>
      <c r="AP496" s="3">
        <v>33270</v>
      </c>
      <c r="AQ496" s="2">
        <v>39.200000000000003</v>
      </c>
      <c r="AR496" s="2" t="str">
        <f t="shared" si="122"/>
        <v>-</v>
      </c>
      <c r="AS496" s="2">
        <v>38.1</v>
      </c>
      <c r="AT496" s="8" t="str">
        <f t="shared" si="123"/>
        <v>-</v>
      </c>
      <c r="AU496" s="2">
        <v>38.9</v>
      </c>
      <c r="AV496" s="8" t="str">
        <f t="shared" si="124"/>
        <v>-</v>
      </c>
      <c r="AW496" s="2">
        <v>37.299999999999997</v>
      </c>
      <c r="AX496" s="8" t="str">
        <f t="shared" si="125"/>
        <v>-</v>
      </c>
      <c r="AY496" s="2">
        <v>44.4</v>
      </c>
      <c r="AZ496" s="8" t="str">
        <f t="shared" si="126"/>
        <v>-</v>
      </c>
      <c r="BA496" s="2">
        <v>39.6</v>
      </c>
      <c r="BB496" s="8" t="str">
        <f t="shared" si="127"/>
        <v>+</v>
      </c>
      <c r="BC496" s="2"/>
      <c r="BD496" s="8" t="str">
        <f t="shared" si="128"/>
        <v>+</v>
      </c>
      <c r="BE496" s="2">
        <v>51.6</v>
      </c>
      <c r="BF496" s="8" t="str">
        <f t="shared" si="119"/>
        <v>-</v>
      </c>
      <c r="BG496" s="2"/>
      <c r="BH496" s="8" t="str">
        <f t="shared" si="129"/>
        <v>+</v>
      </c>
      <c r="BI496" s="2">
        <v>55.9</v>
      </c>
      <c r="BJ496" s="8" t="str">
        <f t="shared" si="130"/>
        <v>-</v>
      </c>
      <c r="BK496" s="2">
        <v>44.6</v>
      </c>
      <c r="BL496" s="8" t="str">
        <f t="shared" si="131"/>
        <v>-</v>
      </c>
    </row>
    <row r="497" spans="1:64">
      <c r="A497" s="1">
        <v>33329</v>
      </c>
      <c r="B497">
        <v>40.700000000000003</v>
      </c>
      <c r="C497">
        <v>42.4</v>
      </c>
      <c r="D497">
        <v>33.6</v>
      </c>
      <c r="E497">
        <v>41.2</v>
      </c>
      <c r="F497">
        <v>43.9</v>
      </c>
      <c r="G497">
        <v>43.6</v>
      </c>
      <c r="I497">
        <v>41.2</v>
      </c>
      <c r="K497">
        <v>55.9</v>
      </c>
      <c r="L497">
        <v>45.8</v>
      </c>
      <c r="W497" s="1">
        <v>33329</v>
      </c>
      <c r="X497">
        <v>375.33999599999999</v>
      </c>
      <c r="Y497" s="4">
        <f t="shared" si="118"/>
        <v>3.1979905037087913E-4</v>
      </c>
      <c r="Z497" s="4">
        <f t="shared" si="120"/>
        <v>0.13464331806444926</v>
      </c>
      <c r="AA497">
        <v>40.700000000000003</v>
      </c>
      <c r="AB497">
        <f t="shared" si="121"/>
        <v>49.9</v>
      </c>
      <c r="AP497" s="3">
        <v>33298</v>
      </c>
      <c r="AQ497" s="2">
        <v>39.4</v>
      </c>
      <c r="AR497" s="2" t="str">
        <f t="shared" si="122"/>
        <v>+</v>
      </c>
      <c r="AS497" s="2">
        <v>39.200000000000003</v>
      </c>
      <c r="AT497" s="8" t="str">
        <f t="shared" si="123"/>
        <v>+</v>
      </c>
      <c r="AU497" s="2">
        <v>39.1</v>
      </c>
      <c r="AV497" s="8" t="str">
        <f t="shared" si="124"/>
        <v>+</v>
      </c>
      <c r="AW497" s="2">
        <v>35.6</v>
      </c>
      <c r="AX497" s="8" t="str">
        <f t="shared" si="125"/>
        <v>-</v>
      </c>
      <c r="AY497" s="2">
        <v>44.7</v>
      </c>
      <c r="AZ497" s="8" t="str">
        <f t="shared" si="126"/>
        <v>+</v>
      </c>
      <c r="BA497" s="2">
        <v>39.9</v>
      </c>
      <c r="BB497" s="8" t="str">
        <f t="shared" si="127"/>
        <v>+</v>
      </c>
      <c r="BC497" s="2"/>
      <c r="BD497" s="8" t="str">
        <f t="shared" si="128"/>
        <v>+</v>
      </c>
      <c r="BE497" s="2">
        <v>44.5</v>
      </c>
      <c r="BF497" s="8" t="str">
        <f t="shared" si="119"/>
        <v>-</v>
      </c>
      <c r="BG497" s="2"/>
      <c r="BH497" s="8" t="str">
        <f t="shared" si="129"/>
        <v>+</v>
      </c>
      <c r="BI497" s="2">
        <v>53.3</v>
      </c>
      <c r="BJ497" s="8" t="str">
        <f t="shared" si="130"/>
        <v>-</v>
      </c>
      <c r="BK497" s="2">
        <v>45.8</v>
      </c>
      <c r="BL497" s="8" t="str">
        <f t="shared" si="131"/>
        <v>+</v>
      </c>
    </row>
    <row r="498" spans="1:64">
      <c r="A498" s="1">
        <v>33359</v>
      </c>
      <c r="B498">
        <v>42.8</v>
      </c>
      <c r="C498">
        <v>46.1</v>
      </c>
      <c r="D498">
        <v>35.799999999999997</v>
      </c>
      <c r="E498">
        <v>44.5</v>
      </c>
      <c r="F498">
        <v>45</v>
      </c>
      <c r="G498">
        <v>39.6</v>
      </c>
      <c r="I498">
        <v>38.799999999999997</v>
      </c>
      <c r="K498">
        <v>53.9</v>
      </c>
      <c r="L498">
        <v>45.2</v>
      </c>
      <c r="W498" s="1">
        <v>33359</v>
      </c>
      <c r="X498">
        <v>389.82998700000002</v>
      </c>
      <c r="Y498" s="4">
        <f t="shared" si="118"/>
        <v>3.8604974568177998E-2</v>
      </c>
      <c r="Z498" s="4">
        <f t="shared" si="120"/>
        <v>7.9173864654340773E-2</v>
      </c>
      <c r="AA498">
        <v>42.8</v>
      </c>
      <c r="AB498">
        <f t="shared" si="121"/>
        <v>50</v>
      </c>
      <c r="AP498" s="3">
        <v>33329</v>
      </c>
      <c r="AQ498" s="2">
        <v>40.700000000000003</v>
      </c>
      <c r="AR498" s="2" t="str">
        <f t="shared" si="122"/>
        <v>+</v>
      </c>
      <c r="AS498" s="2">
        <v>42.4</v>
      </c>
      <c r="AT498" s="8" t="str">
        <f t="shared" si="123"/>
        <v>+</v>
      </c>
      <c r="AU498" s="2">
        <v>41.2</v>
      </c>
      <c r="AV498" s="8" t="str">
        <f t="shared" si="124"/>
        <v>+</v>
      </c>
      <c r="AW498" s="2">
        <v>33.6</v>
      </c>
      <c r="AX498" s="8" t="str">
        <f t="shared" si="125"/>
        <v>-</v>
      </c>
      <c r="AY498" s="2">
        <v>43.9</v>
      </c>
      <c r="AZ498" s="8" t="str">
        <f t="shared" si="126"/>
        <v>-</v>
      </c>
      <c r="BA498" s="2">
        <v>43.6</v>
      </c>
      <c r="BB498" s="8" t="str">
        <f t="shared" si="127"/>
        <v>+</v>
      </c>
      <c r="BC498" s="2"/>
      <c r="BD498" s="8" t="str">
        <f t="shared" si="128"/>
        <v>+</v>
      </c>
      <c r="BE498" s="2">
        <v>41.2</v>
      </c>
      <c r="BF498" s="8" t="str">
        <f t="shared" si="119"/>
        <v>-</v>
      </c>
      <c r="BG498" s="2"/>
      <c r="BH498" s="8" t="str">
        <f t="shared" si="129"/>
        <v>+</v>
      </c>
      <c r="BI498" s="2">
        <v>55.9</v>
      </c>
      <c r="BJ498" s="8" t="str">
        <f t="shared" si="130"/>
        <v>+</v>
      </c>
      <c r="BK498" s="2">
        <v>45.8</v>
      </c>
      <c r="BL498" s="8" t="str">
        <f t="shared" si="131"/>
        <v>+</v>
      </c>
    </row>
    <row r="499" spans="1:64">
      <c r="A499" s="1">
        <v>33390</v>
      </c>
      <c r="B499">
        <v>44.5</v>
      </c>
      <c r="C499">
        <v>48.9</v>
      </c>
      <c r="D499">
        <v>37.4</v>
      </c>
      <c r="E499">
        <v>46.9</v>
      </c>
      <c r="F499">
        <v>46</v>
      </c>
      <c r="G499">
        <v>37.299999999999997</v>
      </c>
      <c r="I499">
        <v>38.200000000000003</v>
      </c>
      <c r="K499">
        <v>53.2</v>
      </c>
      <c r="L499">
        <v>47</v>
      </c>
      <c r="W499" s="1">
        <v>33390</v>
      </c>
      <c r="X499">
        <v>371.16000400000001</v>
      </c>
      <c r="Y499" s="4">
        <f t="shared" si="118"/>
        <v>-4.7892629152718316E-2</v>
      </c>
      <c r="Z499" s="4">
        <f t="shared" si="120"/>
        <v>3.6701903256021844E-2</v>
      </c>
      <c r="AA499">
        <v>44.5</v>
      </c>
      <c r="AB499">
        <f t="shared" si="121"/>
        <v>49.5</v>
      </c>
      <c r="AP499" s="3">
        <v>33359</v>
      </c>
      <c r="AQ499" s="2">
        <v>42.8</v>
      </c>
      <c r="AR499" s="2" t="str">
        <f t="shared" si="122"/>
        <v>+</v>
      </c>
      <c r="AS499" s="2">
        <v>46.1</v>
      </c>
      <c r="AT499" s="8" t="str">
        <f t="shared" si="123"/>
        <v>+</v>
      </c>
      <c r="AU499" s="2">
        <v>44.5</v>
      </c>
      <c r="AV499" s="8" t="str">
        <f t="shared" si="124"/>
        <v>+</v>
      </c>
      <c r="AW499" s="2">
        <v>35.799999999999997</v>
      </c>
      <c r="AX499" s="8" t="str">
        <f t="shared" si="125"/>
        <v>+</v>
      </c>
      <c r="AY499" s="2">
        <v>45</v>
      </c>
      <c r="AZ499" s="8" t="str">
        <f t="shared" si="126"/>
        <v>+</v>
      </c>
      <c r="BA499" s="2">
        <v>39.6</v>
      </c>
      <c r="BB499" s="8" t="str">
        <f t="shared" si="127"/>
        <v>-</v>
      </c>
      <c r="BC499" s="2"/>
      <c r="BD499" s="8" t="str">
        <f t="shared" si="128"/>
        <v>+</v>
      </c>
      <c r="BE499" s="2">
        <v>38.799999999999997</v>
      </c>
      <c r="BF499" s="8" t="str">
        <f t="shared" si="119"/>
        <v>-</v>
      </c>
      <c r="BG499" s="2"/>
      <c r="BH499" s="8" t="str">
        <f t="shared" si="129"/>
        <v>+</v>
      </c>
      <c r="BI499" s="2">
        <v>53.9</v>
      </c>
      <c r="BJ499" s="8" t="str">
        <f t="shared" si="130"/>
        <v>-</v>
      </c>
      <c r="BK499" s="2">
        <v>45.2</v>
      </c>
      <c r="BL499" s="8" t="str">
        <f t="shared" si="131"/>
        <v>-</v>
      </c>
    </row>
    <row r="500" spans="1:64">
      <c r="A500" s="1">
        <v>33420</v>
      </c>
      <c r="B500">
        <v>50.3</v>
      </c>
      <c r="C500">
        <v>58.4</v>
      </c>
      <c r="D500">
        <v>43</v>
      </c>
      <c r="E500">
        <v>53.7</v>
      </c>
      <c r="F500">
        <v>47.1</v>
      </c>
      <c r="G500">
        <v>37.1</v>
      </c>
      <c r="I500">
        <v>39.6</v>
      </c>
      <c r="K500">
        <v>54.8</v>
      </c>
      <c r="L500">
        <v>47</v>
      </c>
      <c r="W500" s="1">
        <v>33420</v>
      </c>
      <c r="X500">
        <v>387.80999800000001</v>
      </c>
      <c r="Y500" s="4">
        <f t="shared" si="118"/>
        <v>4.4859343195825574E-2</v>
      </c>
      <c r="Z500" s="4">
        <f t="shared" si="120"/>
        <v>8.889514118593532E-2</v>
      </c>
      <c r="AA500">
        <v>50.3</v>
      </c>
      <c r="AB500">
        <f t="shared" si="121"/>
        <v>49.2</v>
      </c>
      <c r="AP500" s="3">
        <v>33390</v>
      </c>
      <c r="AQ500" s="2">
        <v>44.5</v>
      </c>
      <c r="AR500" s="2" t="str">
        <f t="shared" si="122"/>
        <v>+</v>
      </c>
      <c r="AS500" s="2">
        <v>48.9</v>
      </c>
      <c r="AT500" s="8" t="str">
        <f t="shared" si="123"/>
        <v>+</v>
      </c>
      <c r="AU500" s="2">
        <v>46.9</v>
      </c>
      <c r="AV500" s="8" t="str">
        <f t="shared" si="124"/>
        <v>+</v>
      </c>
      <c r="AW500" s="2">
        <v>37.4</v>
      </c>
      <c r="AX500" s="8" t="str">
        <f t="shared" si="125"/>
        <v>+</v>
      </c>
      <c r="AY500" s="2">
        <v>46</v>
      </c>
      <c r="AZ500" s="8" t="str">
        <f t="shared" si="126"/>
        <v>+</v>
      </c>
      <c r="BA500" s="2">
        <v>37.299999999999997</v>
      </c>
      <c r="BB500" s="8" t="str">
        <f t="shared" si="127"/>
        <v>-</v>
      </c>
      <c r="BC500" s="2"/>
      <c r="BD500" s="8" t="str">
        <f t="shared" si="128"/>
        <v>+</v>
      </c>
      <c r="BE500" s="2">
        <v>38.200000000000003</v>
      </c>
      <c r="BF500" s="8" t="str">
        <f t="shared" si="119"/>
        <v>-</v>
      </c>
      <c r="BG500" s="2"/>
      <c r="BH500" s="8" t="str">
        <f t="shared" si="129"/>
        <v>+</v>
      </c>
      <c r="BI500" s="2">
        <v>53.2</v>
      </c>
      <c r="BJ500" s="8" t="str">
        <f t="shared" si="130"/>
        <v>-</v>
      </c>
      <c r="BK500" s="2">
        <v>47</v>
      </c>
      <c r="BL500" s="8" t="str">
        <f t="shared" si="131"/>
        <v>+</v>
      </c>
    </row>
    <row r="501" spans="1:64">
      <c r="A501" s="1">
        <v>33451</v>
      </c>
      <c r="B501">
        <v>50.6</v>
      </c>
      <c r="C501">
        <v>55.6</v>
      </c>
      <c r="D501">
        <v>41.3</v>
      </c>
      <c r="E501">
        <v>57.2</v>
      </c>
      <c r="F501">
        <v>49.6</v>
      </c>
      <c r="G501">
        <v>39.1</v>
      </c>
      <c r="I501">
        <v>38.4</v>
      </c>
      <c r="K501">
        <v>52.8</v>
      </c>
      <c r="L501">
        <v>47.6</v>
      </c>
      <c r="W501" s="1">
        <v>33451</v>
      </c>
      <c r="X501">
        <v>395.42999300000002</v>
      </c>
      <c r="Y501" s="4">
        <f t="shared" si="118"/>
        <v>1.9648784299779752E-2</v>
      </c>
      <c r="Z501" s="4">
        <f t="shared" si="120"/>
        <v>0.22591144423308193</v>
      </c>
      <c r="AA501">
        <v>50.6</v>
      </c>
      <c r="AB501">
        <f t="shared" si="121"/>
        <v>46.6</v>
      </c>
      <c r="AP501" s="3">
        <v>33420</v>
      </c>
      <c r="AQ501" s="2">
        <v>50.3</v>
      </c>
      <c r="AR501" s="2" t="str">
        <f t="shared" si="122"/>
        <v>+</v>
      </c>
      <c r="AS501" s="2">
        <v>58.4</v>
      </c>
      <c r="AT501" s="8" t="str">
        <f t="shared" si="123"/>
        <v>+</v>
      </c>
      <c r="AU501" s="2">
        <v>53.7</v>
      </c>
      <c r="AV501" s="8" t="str">
        <f t="shared" si="124"/>
        <v>+</v>
      </c>
      <c r="AW501" s="2">
        <v>43</v>
      </c>
      <c r="AX501" s="8" t="str">
        <f t="shared" si="125"/>
        <v>+</v>
      </c>
      <c r="AY501" s="2">
        <v>47.1</v>
      </c>
      <c r="AZ501" s="8" t="str">
        <f t="shared" si="126"/>
        <v>+</v>
      </c>
      <c r="BA501" s="2">
        <v>37.1</v>
      </c>
      <c r="BB501" s="8" t="str">
        <f t="shared" si="127"/>
        <v>-</v>
      </c>
      <c r="BC501" s="2"/>
      <c r="BD501" s="8" t="str">
        <f t="shared" si="128"/>
        <v>+</v>
      </c>
      <c r="BE501" s="2">
        <v>39.6</v>
      </c>
      <c r="BF501" s="8" t="str">
        <f t="shared" si="119"/>
        <v>+</v>
      </c>
      <c r="BG501" s="2"/>
      <c r="BH501" s="8" t="str">
        <f t="shared" si="129"/>
        <v>+</v>
      </c>
      <c r="BI501" s="2">
        <v>54.8</v>
      </c>
      <c r="BJ501" s="8" t="str">
        <f t="shared" si="130"/>
        <v>+</v>
      </c>
      <c r="BK501" s="2">
        <v>47</v>
      </c>
      <c r="BL501" s="8" t="str">
        <f t="shared" si="131"/>
        <v>+</v>
      </c>
    </row>
    <row r="502" spans="1:64">
      <c r="A502" s="1">
        <v>33482</v>
      </c>
      <c r="B502">
        <v>52.9</v>
      </c>
      <c r="C502">
        <v>60.1</v>
      </c>
      <c r="D502">
        <v>44</v>
      </c>
      <c r="E502">
        <v>59.8</v>
      </c>
      <c r="F502">
        <v>48.3</v>
      </c>
      <c r="G502">
        <v>39</v>
      </c>
      <c r="I502">
        <v>41.8</v>
      </c>
      <c r="K502">
        <v>56.5</v>
      </c>
      <c r="L502">
        <v>49.5</v>
      </c>
      <c r="W502" s="1">
        <v>33482</v>
      </c>
      <c r="X502">
        <v>387.85998499999999</v>
      </c>
      <c r="Y502" s="4">
        <f t="shared" si="118"/>
        <v>-1.9143737536368489E-2</v>
      </c>
      <c r="Z502" s="4">
        <f t="shared" si="120"/>
        <v>0.26730926387097265</v>
      </c>
      <c r="AA502">
        <v>52.9</v>
      </c>
      <c r="AB502">
        <f t="shared" si="121"/>
        <v>46.1</v>
      </c>
      <c r="AP502" s="3">
        <v>33451</v>
      </c>
      <c r="AQ502" s="2">
        <v>50.6</v>
      </c>
      <c r="AR502" s="2" t="str">
        <f t="shared" si="122"/>
        <v>+</v>
      </c>
      <c r="AS502" s="2">
        <v>55.6</v>
      </c>
      <c r="AT502" s="8" t="str">
        <f t="shared" si="123"/>
        <v>-</v>
      </c>
      <c r="AU502" s="2">
        <v>57.2</v>
      </c>
      <c r="AV502" s="8" t="str">
        <f t="shared" si="124"/>
        <v>+</v>
      </c>
      <c r="AW502" s="2">
        <v>41.3</v>
      </c>
      <c r="AX502" s="8" t="str">
        <f t="shared" si="125"/>
        <v>-</v>
      </c>
      <c r="AY502" s="2">
        <v>49.6</v>
      </c>
      <c r="AZ502" s="8" t="str">
        <f t="shared" si="126"/>
        <v>+</v>
      </c>
      <c r="BA502" s="2">
        <v>39.1</v>
      </c>
      <c r="BB502" s="8" t="str">
        <f t="shared" si="127"/>
        <v>+</v>
      </c>
      <c r="BC502" s="2"/>
      <c r="BD502" s="8" t="str">
        <f t="shared" si="128"/>
        <v>+</v>
      </c>
      <c r="BE502" s="2">
        <v>38.4</v>
      </c>
      <c r="BF502" s="8" t="str">
        <f t="shared" si="119"/>
        <v>-</v>
      </c>
      <c r="BG502" s="2"/>
      <c r="BH502" s="8" t="str">
        <f t="shared" si="129"/>
        <v>+</v>
      </c>
      <c r="BI502" s="2">
        <v>52.8</v>
      </c>
      <c r="BJ502" s="8" t="str">
        <f t="shared" si="130"/>
        <v>-</v>
      </c>
      <c r="BK502" s="2">
        <v>47.6</v>
      </c>
      <c r="BL502" s="8" t="str">
        <f t="shared" si="131"/>
        <v>+</v>
      </c>
    </row>
    <row r="503" spans="1:64">
      <c r="A503" s="1">
        <v>33512</v>
      </c>
      <c r="B503">
        <v>54.9</v>
      </c>
      <c r="C503">
        <v>60.7</v>
      </c>
      <c r="D503">
        <v>47.3</v>
      </c>
      <c r="E503">
        <v>61.2</v>
      </c>
      <c r="F503">
        <v>48.8</v>
      </c>
      <c r="G503">
        <v>45.9</v>
      </c>
      <c r="I503">
        <v>45.5</v>
      </c>
      <c r="K503">
        <v>53.8</v>
      </c>
      <c r="L503">
        <v>49.5</v>
      </c>
      <c r="W503" s="1">
        <v>33512</v>
      </c>
      <c r="X503">
        <v>392.45001200000002</v>
      </c>
      <c r="Y503" s="4">
        <f t="shared" si="118"/>
        <v>1.1834237037883711E-2</v>
      </c>
      <c r="Z503" s="4">
        <f t="shared" si="120"/>
        <v>0.29095398684210533</v>
      </c>
      <c r="AA503">
        <v>54.9</v>
      </c>
      <c r="AB503">
        <f t="shared" si="121"/>
        <v>44.5</v>
      </c>
      <c r="AP503" s="3">
        <v>33482</v>
      </c>
      <c r="AQ503" s="2">
        <v>52.9</v>
      </c>
      <c r="AR503" s="2" t="str">
        <f t="shared" si="122"/>
        <v>+</v>
      </c>
      <c r="AS503" s="2">
        <v>60.1</v>
      </c>
      <c r="AT503" s="8" t="str">
        <f t="shared" si="123"/>
        <v>+</v>
      </c>
      <c r="AU503" s="2">
        <v>59.8</v>
      </c>
      <c r="AV503" s="8" t="str">
        <f t="shared" si="124"/>
        <v>+</v>
      </c>
      <c r="AW503" s="2">
        <v>44</v>
      </c>
      <c r="AX503" s="8" t="str">
        <f t="shared" si="125"/>
        <v>+</v>
      </c>
      <c r="AY503" s="2">
        <v>48.3</v>
      </c>
      <c r="AZ503" s="8" t="str">
        <f t="shared" si="126"/>
        <v>-</v>
      </c>
      <c r="BA503" s="2">
        <v>39</v>
      </c>
      <c r="BB503" s="8" t="str">
        <f t="shared" si="127"/>
        <v>-</v>
      </c>
      <c r="BC503" s="2"/>
      <c r="BD503" s="8" t="str">
        <f t="shared" si="128"/>
        <v>+</v>
      </c>
      <c r="BE503" s="2">
        <v>41.8</v>
      </c>
      <c r="BF503" s="8" t="str">
        <f t="shared" si="119"/>
        <v>+</v>
      </c>
      <c r="BG503" s="2"/>
      <c r="BH503" s="8" t="str">
        <f t="shared" si="129"/>
        <v>+</v>
      </c>
      <c r="BI503" s="2">
        <v>56.5</v>
      </c>
      <c r="BJ503" s="8" t="str">
        <f t="shared" si="130"/>
        <v>+</v>
      </c>
      <c r="BK503" s="2">
        <v>49.5</v>
      </c>
      <c r="BL503" s="8" t="str">
        <f t="shared" si="131"/>
        <v>+</v>
      </c>
    </row>
    <row r="504" spans="1:64">
      <c r="A504" s="1">
        <v>33543</v>
      </c>
      <c r="B504">
        <v>53.1</v>
      </c>
      <c r="C504">
        <v>58</v>
      </c>
      <c r="D504">
        <v>44.7</v>
      </c>
      <c r="E504">
        <v>60.7</v>
      </c>
      <c r="F504">
        <v>50.2</v>
      </c>
      <c r="G504">
        <v>40.5</v>
      </c>
      <c r="I504">
        <v>50</v>
      </c>
      <c r="K504">
        <v>55.7</v>
      </c>
      <c r="L504">
        <v>48.4</v>
      </c>
      <c r="W504" s="1">
        <v>33543</v>
      </c>
      <c r="X504">
        <v>375.22000100000002</v>
      </c>
      <c r="Y504" s="4">
        <f t="shared" si="118"/>
        <v>-4.3903708684304973E-2</v>
      </c>
      <c r="Z504" s="4">
        <f t="shared" si="120"/>
        <v>0.16448389248189468</v>
      </c>
      <c r="AA504">
        <v>53.1</v>
      </c>
      <c r="AB504">
        <f t="shared" si="121"/>
        <v>43.2</v>
      </c>
      <c r="AP504" s="3">
        <v>33512</v>
      </c>
      <c r="AQ504" s="2">
        <v>54.9</v>
      </c>
      <c r="AR504" s="2" t="str">
        <f t="shared" si="122"/>
        <v>+</v>
      </c>
      <c r="AS504" s="2">
        <v>60.7</v>
      </c>
      <c r="AT504" s="8" t="str">
        <f t="shared" si="123"/>
        <v>+</v>
      </c>
      <c r="AU504" s="2">
        <v>61.2</v>
      </c>
      <c r="AV504" s="8" t="str">
        <f t="shared" si="124"/>
        <v>+</v>
      </c>
      <c r="AW504" s="2">
        <v>47.3</v>
      </c>
      <c r="AX504" s="8" t="str">
        <f t="shared" si="125"/>
        <v>+</v>
      </c>
      <c r="AY504" s="2">
        <v>48.8</v>
      </c>
      <c r="AZ504" s="8" t="str">
        <f t="shared" si="126"/>
        <v>+</v>
      </c>
      <c r="BA504" s="2">
        <v>45.9</v>
      </c>
      <c r="BB504" s="8" t="str">
        <f t="shared" si="127"/>
        <v>+</v>
      </c>
      <c r="BC504" s="2"/>
      <c r="BD504" s="8" t="str">
        <f t="shared" si="128"/>
        <v>+</v>
      </c>
      <c r="BE504" s="2">
        <v>45.5</v>
      </c>
      <c r="BF504" s="8" t="str">
        <f t="shared" si="119"/>
        <v>+</v>
      </c>
      <c r="BG504" s="2"/>
      <c r="BH504" s="8" t="str">
        <f t="shared" si="129"/>
        <v>+</v>
      </c>
      <c r="BI504" s="2">
        <v>53.8</v>
      </c>
      <c r="BJ504" s="8" t="str">
        <f t="shared" si="130"/>
        <v>-</v>
      </c>
      <c r="BK504" s="2">
        <v>49.5</v>
      </c>
      <c r="BL504" s="8" t="str">
        <f t="shared" si="131"/>
        <v>+</v>
      </c>
    </row>
    <row r="505" spans="1:64">
      <c r="A505" s="1">
        <v>33573</v>
      </c>
      <c r="B505">
        <v>49.5</v>
      </c>
      <c r="C505">
        <v>53.5</v>
      </c>
      <c r="D505">
        <v>43</v>
      </c>
      <c r="E505">
        <v>52.1</v>
      </c>
      <c r="F505">
        <v>50.1</v>
      </c>
      <c r="G505">
        <v>42.8</v>
      </c>
      <c r="I505">
        <v>47.6</v>
      </c>
      <c r="K505">
        <v>55.2</v>
      </c>
      <c r="L505">
        <v>46.1</v>
      </c>
      <c r="W505" s="1">
        <v>33573</v>
      </c>
      <c r="X505">
        <v>417.08999599999999</v>
      </c>
      <c r="Y505" s="4">
        <f t="shared" si="118"/>
        <v>0.11158785482760009</v>
      </c>
      <c r="Z505" s="4">
        <f t="shared" si="120"/>
        <v>0.26306703027355377</v>
      </c>
      <c r="AA505">
        <v>49.5</v>
      </c>
      <c r="AB505">
        <f t="shared" si="121"/>
        <v>41.3</v>
      </c>
      <c r="AP505" s="3">
        <v>33543</v>
      </c>
      <c r="AQ505" s="2">
        <v>53.1</v>
      </c>
      <c r="AR505" s="2" t="str">
        <f t="shared" si="122"/>
        <v>-</v>
      </c>
      <c r="AS505" s="2">
        <v>58</v>
      </c>
      <c r="AT505" s="8" t="str">
        <f t="shared" si="123"/>
        <v>-</v>
      </c>
      <c r="AU505" s="2">
        <v>60.7</v>
      </c>
      <c r="AV505" s="8" t="str">
        <f t="shared" si="124"/>
        <v>-</v>
      </c>
      <c r="AW505" s="2">
        <v>44.7</v>
      </c>
      <c r="AX505" s="8" t="str">
        <f t="shared" si="125"/>
        <v>-</v>
      </c>
      <c r="AY505" s="2">
        <v>50.2</v>
      </c>
      <c r="AZ505" s="8" t="str">
        <f t="shared" si="126"/>
        <v>+</v>
      </c>
      <c r="BA505" s="2">
        <v>40.5</v>
      </c>
      <c r="BB505" s="8" t="str">
        <f t="shared" si="127"/>
        <v>-</v>
      </c>
      <c r="BC505" s="2"/>
      <c r="BD505" s="8" t="str">
        <f t="shared" si="128"/>
        <v>+</v>
      </c>
      <c r="BE505" s="2">
        <v>50</v>
      </c>
      <c r="BF505" s="8" t="str">
        <f t="shared" si="119"/>
        <v>+</v>
      </c>
      <c r="BG505" s="2"/>
      <c r="BH505" s="8" t="str">
        <f t="shared" si="129"/>
        <v>+</v>
      </c>
      <c r="BI505" s="2">
        <v>55.7</v>
      </c>
      <c r="BJ505" s="8" t="str">
        <f t="shared" si="130"/>
        <v>+</v>
      </c>
      <c r="BK505" s="2">
        <v>48.4</v>
      </c>
      <c r="BL505" s="8" t="str">
        <f t="shared" si="131"/>
        <v>-</v>
      </c>
    </row>
    <row r="506" spans="1:64">
      <c r="A506" s="1">
        <v>33604</v>
      </c>
      <c r="B506">
        <v>46.8</v>
      </c>
      <c r="C506">
        <v>49.5</v>
      </c>
      <c r="D506">
        <v>39.799999999999997</v>
      </c>
      <c r="E506">
        <v>50.6</v>
      </c>
      <c r="F506">
        <v>49.4</v>
      </c>
      <c r="G506">
        <v>38.799999999999997</v>
      </c>
      <c r="I506">
        <v>48.9</v>
      </c>
      <c r="K506">
        <v>53.6</v>
      </c>
      <c r="L506">
        <v>47.6</v>
      </c>
      <c r="W506" s="1">
        <v>33604</v>
      </c>
      <c r="X506">
        <v>408.77999899999998</v>
      </c>
      <c r="Y506" s="4">
        <f t="shared" si="118"/>
        <v>-1.9923750460799857E-2</v>
      </c>
      <c r="Z506" s="4">
        <f t="shared" si="120"/>
        <v>0.1885558320585316</v>
      </c>
      <c r="AA506">
        <v>46.8</v>
      </c>
      <c r="AB506">
        <f t="shared" si="121"/>
        <v>40.799999999999997</v>
      </c>
      <c r="AP506" s="3">
        <v>33573</v>
      </c>
      <c r="AQ506" s="2">
        <v>49.5</v>
      </c>
      <c r="AR506" s="2" t="str">
        <f t="shared" si="122"/>
        <v>-</v>
      </c>
      <c r="AS506" s="2">
        <v>53.5</v>
      </c>
      <c r="AT506" s="8" t="str">
        <f t="shared" si="123"/>
        <v>-</v>
      </c>
      <c r="AU506" s="2">
        <v>52.1</v>
      </c>
      <c r="AV506" s="8" t="str">
        <f t="shared" si="124"/>
        <v>-</v>
      </c>
      <c r="AW506" s="2">
        <v>43</v>
      </c>
      <c r="AX506" s="8" t="str">
        <f t="shared" si="125"/>
        <v>-</v>
      </c>
      <c r="AY506" s="2">
        <v>50.1</v>
      </c>
      <c r="AZ506" s="8" t="str">
        <f t="shared" si="126"/>
        <v>-</v>
      </c>
      <c r="BA506" s="2">
        <v>42.8</v>
      </c>
      <c r="BB506" s="8" t="str">
        <f t="shared" si="127"/>
        <v>+</v>
      </c>
      <c r="BC506" s="2"/>
      <c r="BD506" s="8" t="str">
        <f t="shared" si="128"/>
        <v>+</v>
      </c>
      <c r="BE506" s="2">
        <v>47.6</v>
      </c>
      <c r="BF506" s="8" t="str">
        <f t="shared" si="119"/>
        <v>-</v>
      </c>
      <c r="BG506" s="2"/>
      <c r="BH506" s="8" t="str">
        <f t="shared" si="129"/>
        <v>+</v>
      </c>
      <c r="BI506" s="2">
        <v>55.2</v>
      </c>
      <c r="BJ506" s="8" t="str">
        <f t="shared" si="130"/>
        <v>-</v>
      </c>
      <c r="BK506" s="2">
        <v>46.1</v>
      </c>
      <c r="BL506" s="8" t="str">
        <f t="shared" si="131"/>
        <v>-</v>
      </c>
    </row>
    <row r="507" spans="1:64">
      <c r="A507" s="1">
        <v>33635</v>
      </c>
      <c r="B507">
        <v>47.3</v>
      </c>
      <c r="C507">
        <v>49.6</v>
      </c>
      <c r="D507">
        <v>40.6</v>
      </c>
      <c r="E507">
        <v>50.4</v>
      </c>
      <c r="F507">
        <v>48.7</v>
      </c>
      <c r="G507">
        <v>44.1</v>
      </c>
      <c r="I507">
        <v>45.4</v>
      </c>
      <c r="K507">
        <v>51.9</v>
      </c>
      <c r="L507">
        <v>47</v>
      </c>
      <c r="W507" s="1">
        <v>33635</v>
      </c>
      <c r="X507">
        <v>412.70001200000002</v>
      </c>
      <c r="Y507" s="4">
        <f t="shared" si="118"/>
        <v>9.5895420754185199E-3</v>
      </c>
      <c r="Z507" s="4">
        <f t="shared" si="120"/>
        <v>0.12430872620982091</v>
      </c>
      <c r="AA507">
        <v>47.3</v>
      </c>
      <c r="AB507">
        <f t="shared" si="121"/>
        <v>39.200000000000003</v>
      </c>
      <c r="AP507" s="3">
        <v>33604</v>
      </c>
      <c r="AQ507" s="2">
        <v>46.8</v>
      </c>
      <c r="AR507" s="2" t="str">
        <f t="shared" si="122"/>
        <v>-</v>
      </c>
      <c r="AS507" s="2">
        <v>49.5</v>
      </c>
      <c r="AT507" s="8" t="str">
        <f t="shared" si="123"/>
        <v>-</v>
      </c>
      <c r="AU507" s="2">
        <v>50.6</v>
      </c>
      <c r="AV507" s="8" t="str">
        <f t="shared" si="124"/>
        <v>-</v>
      </c>
      <c r="AW507" s="2">
        <v>39.799999999999997</v>
      </c>
      <c r="AX507" s="8" t="str">
        <f t="shared" si="125"/>
        <v>-</v>
      </c>
      <c r="AY507" s="2">
        <v>49.4</v>
      </c>
      <c r="AZ507" s="8" t="str">
        <f t="shared" si="126"/>
        <v>-</v>
      </c>
      <c r="BA507" s="2">
        <v>38.799999999999997</v>
      </c>
      <c r="BB507" s="8" t="str">
        <f t="shared" si="127"/>
        <v>-</v>
      </c>
      <c r="BC507" s="2"/>
      <c r="BD507" s="8" t="str">
        <f t="shared" si="128"/>
        <v>+</v>
      </c>
      <c r="BE507" s="2">
        <v>48.9</v>
      </c>
      <c r="BF507" s="8" t="str">
        <f t="shared" si="119"/>
        <v>+</v>
      </c>
      <c r="BG507" s="2"/>
      <c r="BH507" s="8" t="str">
        <f t="shared" si="129"/>
        <v>+</v>
      </c>
      <c r="BI507" s="2">
        <v>53.6</v>
      </c>
      <c r="BJ507" s="8" t="str">
        <f t="shared" si="130"/>
        <v>-</v>
      </c>
      <c r="BK507" s="2">
        <v>47.6</v>
      </c>
      <c r="BL507" s="8" t="str">
        <f t="shared" si="131"/>
        <v>+</v>
      </c>
    </row>
    <row r="508" spans="1:64">
      <c r="A508" s="1">
        <v>33664</v>
      </c>
      <c r="B508">
        <v>52.7</v>
      </c>
      <c r="C508">
        <v>58.3</v>
      </c>
      <c r="D508">
        <v>43.9</v>
      </c>
      <c r="E508">
        <v>58.7</v>
      </c>
      <c r="F508">
        <v>49.3</v>
      </c>
      <c r="G508">
        <v>44</v>
      </c>
      <c r="I508">
        <v>45.9</v>
      </c>
      <c r="K508">
        <v>54.7</v>
      </c>
      <c r="L508">
        <v>47.2</v>
      </c>
      <c r="W508" s="1">
        <v>33664</v>
      </c>
      <c r="X508">
        <v>403.69000199999999</v>
      </c>
      <c r="Y508" s="4">
        <f t="shared" si="118"/>
        <v>-2.1831862704186262E-2</v>
      </c>
      <c r="Z508" s="4">
        <f t="shared" si="120"/>
        <v>7.5875488844209998E-2</v>
      </c>
      <c r="AA508">
        <v>52.7</v>
      </c>
      <c r="AB508">
        <f t="shared" si="121"/>
        <v>39.4</v>
      </c>
      <c r="AP508" s="3">
        <v>33635</v>
      </c>
      <c r="AQ508" s="2">
        <v>47.3</v>
      </c>
      <c r="AR508" s="2" t="str">
        <f t="shared" si="122"/>
        <v>+</v>
      </c>
      <c r="AS508" s="2">
        <v>49.6</v>
      </c>
      <c r="AT508" s="8" t="str">
        <f t="shared" si="123"/>
        <v>+</v>
      </c>
      <c r="AU508" s="2">
        <v>50.4</v>
      </c>
      <c r="AV508" s="8" t="str">
        <f t="shared" si="124"/>
        <v>-</v>
      </c>
      <c r="AW508" s="2">
        <v>40.6</v>
      </c>
      <c r="AX508" s="8" t="str">
        <f t="shared" si="125"/>
        <v>+</v>
      </c>
      <c r="AY508" s="2">
        <v>48.7</v>
      </c>
      <c r="AZ508" s="8" t="str">
        <f t="shared" si="126"/>
        <v>-</v>
      </c>
      <c r="BA508" s="2">
        <v>44.1</v>
      </c>
      <c r="BB508" s="8" t="str">
        <f t="shared" si="127"/>
        <v>+</v>
      </c>
      <c r="BC508" s="2"/>
      <c r="BD508" s="8" t="str">
        <f t="shared" si="128"/>
        <v>+</v>
      </c>
      <c r="BE508" s="2">
        <v>45.4</v>
      </c>
      <c r="BF508" s="8" t="str">
        <f t="shared" si="119"/>
        <v>-</v>
      </c>
      <c r="BG508" s="2"/>
      <c r="BH508" s="8" t="str">
        <f t="shared" si="129"/>
        <v>+</v>
      </c>
      <c r="BI508" s="2">
        <v>51.9</v>
      </c>
      <c r="BJ508" s="8" t="str">
        <f t="shared" si="130"/>
        <v>-</v>
      </c>
      <c r="BK508" s="2">
        <v>47</v>
      </c>
      <c r="BL508" s="8" t="str">
        <f t="shared" si="131"/>
        <v>-</v>
      </c>
    </row>
    <row r="509" spans="1:64">
      <c r="A509" s="1">
        <v>33695</v>
      </c>
      <c r="B509">
        <v>54.6</v>
      </c>
      <c r="C509">
        <v>63.3</v>
      </c>
      <c r="D509">
        <v>43.7</v>
      </c>
      <c r="E509">
        <v>59.7</v>
      </c>
      <c r="F509">
        <v>50.3</v>
      </c>
      <c r="G509">
        <v>44.3</v>
      </c>
      <c r="I509">
        <v>48.1</v>
      </c>
      <c r="K509">
        <v>54.7</v>
      </c>
      <c r="L509">
        <v>49.8</v>
      </c>
      <c r="W509" s="1">
        <v>33695</v>
      </c>
      <c r="X509">
        <v>414.95001200000002</v>
      </c>
      <c r="Y509" s="4">
        <f t="shared" si="118"/>
        <v>2.7892714568640772E-2</v>
      </c>
      <c r="Z509" s="4">
        <f t="shared" si="120"/>
        <v>0.105531028992711</v>
      </c>
      <c r="AA509">
        <v>54.6</v>
      </c>
      <c r="AB509">
        <f t="shared" si="121"/>
        <v>40.700000000000003</v>
      </c>
      <c r="AP509" s="3">
        <v>33664</v>
      </c>
      <c r="AQ509" s="2">
        <v>52.7</v>
      </c>
      <c r="AR509" s="2" t="str">
        <f t="shared" si="122"/>
        <v>+</v>
      </c>
      <c r="AS509" s="2">
        <v>58.3</v>
      </c>
      <c r="AT509" s="8" t="str">
        <f t="shared" si="123"/>
        <v>+</v>
      </c>
      <c r="AU509" s="2">
        <v>58.7</v>
      </c>
      <c r="AV509" s="8" t="str">
        <f t="shared" si="124"/>
        <v>+</v>
      </c>
      <c r="AW509" s="2">
        <v>43.9</v>
      </c>
      <c r="AX509" s="8" t="str">
        <f t="shared" si="125"/>
        <v>+</v>
      </c>
      <c r="AY509" s="2">
        <v>49.3</v>
      </c>
      <c r="AZ509" s="8" t="str">
        <f t="shared" si="126"/>
        <v>+</v>
      </c>
      <c r="BA509" s="2">
        <v>44</v>
      </c>
      <c r="BB509" s="8" t="str">
        <f t="shared" si="127"/>
        <v>-</v>
      </c>
      <c r="BC509" s="2"/>
      <c r="BD509" s="8" t="str">
        <f t="shared" si="128"/>
        <v>+</v>
      </c>
      <c r="BE509" s="2">
        <v>45.9</v>
      </c>
      <c r="BF509" s="8" t="str">
        <f t="shared" si="119"/>
        <v>+</v>
      </c>
      <c r="BG509" s="2"/>
      <c r="BH509" s="8" t="str">
        <f t="shared" si="129"/>
        <v>+</v>
      </c>
      <c r="BI509" s="2">
        <v>54.7</v>
      </c>
      <c r="BJ509" s="8" t="str">
        <f t="shared" si="130"/>
        <v>+</v>
      </c>
      <c r="BK509" s="2">
        <v>47.2</v>
      </c>
      <c r="BL509" s="8" t="str">
        <f t="shared" si="131"/>
        <v>+</v>
      </c>
    </row>
    <row r="510" spans="1:64">
      <c r="A510" s="1">
        <v>33725</v>
      </c>
      <c r="B510">
        <v>52.6</v>
      </c>
      <c r="C510">
        <v>59.1</v>
      </c>
      <c r="D510">
        <v>45</v>
      </c>
      <c r="E510">
        <v>57.8</v>
      </c>
      <c r="F510">
        <v>47.4</v>
      </c>
      <c r="G510">
        <v>43.2</v>
      </c>
      <c r="I510">
        <v>51.1</v>
      </c>
      <c r="K510">
        <v>53.4</v>
      </c>
      <c r="L510">
        <v>52.1</v>
      </c>
      <c r="W510" s="1">
        <v>33725</v>
      </c>
      <c r="X510">
        <v>415.35000600000001</v>
      </c>
      <c r="Y510" s="4">
        <f t="shared" si="118"/>
        <v>9.6395707538861905E-4</v>
      </c>
      <c r="Z510" s="4">
        <f t="shared" si="120"/>
        <v>6.5464484136773166E-2</v>
      </c>
      <c r="AA510">
        <v>52.6</v>
      </c>
      <c r="AB510">
        <f t="shared" si="121"/>
        <v>42.8</v>
      </c>
      <c r="AP510" s="3">
        <v>33695</v>
      </c>
      <c r="AQ510" s="2">
        <v>54.6</v>
      </c>
      <c r="AR510" s="2" t="str">
        <f t="shared" si="122"/>
        <v>+</v>
      </c>
      <c r="AS510" s="2">
        <v>63.3</v>
      </c>
      <c r="AT510" s="8" t="str">
        <f t="shared" si="123"/>
        <v>+</v>
      </c>
      <c r="AU510" s="2">
        <v>59.7</v>
      </c>
      <c r="AV510" s="8" t="str">
        <f t="shared" si="124"/>
        <v>+</v>
      </c>
      <c r="AW510" s="2">
        <v>43.7</v>
      </c>
      <c r="AX510" s="8" t="str">
        <f t="shared" si="125"/>
        <v>-</v>
      </c>
      <c r="AY510" s="2">
        <v>50.3</v>
      </c>
      <c r="AZ510" s="8" t="str">
        <f t="shared" si="126"/>
        <v>+</v>
      </c>
      <c r="BA510" s="2">
        <v>44.3</v>
      </c>
      <c r="BB510" s="8" t="str">
        <f t="shared" si="127"/>
        <v>+</v>
      </c>
      <c r="BC510" s="2"/>
      <c r="BD510" s="8" t="str">
        <f t="shared" si="128"/>
        <v>+</v>
      </c>
      <c r="BE510" s="2">
        <v>48.1</v>
      </c>
      <c r="BF510" s="8" t="str">
        <f t="shared" si="119"/>
        <v>+</v>
      </c>
      <c r="BG510" s="2"/>
      <c r="BH510" s="8" t="str">
        <f t="shared" si="129"/>
        <v>+</v>
      </c>
      <c r="BI510" s="2">
        <v>54.7</v>
      </c>
      <c r="BJ510" s="8" t="str">
        <f t="shared" si="130"/>
        <v>+</v>
      </c>
      <c r="BK510" s="2">
        <v>49.8</v>
      </c>
      <c r="BL510" s="8" t="str">
        <f t="shared" si="131"/>
        <v>+</v>
      </c>
    </row>
    <row r="511" spans="1:64">
      <c r="A511" s="1">
        <v>33756</v>
      </c>
      <c r="B511">
        <v>55.7</v>
      </c>
      <c r="C511">
        <v>60.9</v>
      </c>
      <c r="D511">
        <v>49.5</v>
      </c>
      <c r="E511">
        <v>61.2</v>
      </c>
      <c r="F511">
        <v>50</v>
      </c>
      <c r="G511">
        <v>47</v>
      </c>
      <c r="I511">
        <v>55</v>
      </c>
      <c r="K511">
        <v>56.2</v>
      </c>
      <c r="L511">
        <v>53.9</v>
      </c>
      <c r="W511" s="1">
        <v>33756</v>
      </c>
      <c r="X511">
        <v>408.14001500000001</v>
      </c>
      <c r="Y511" s="4">
        <f t="shared" si="118"/>
        <v>-1.7358832059340339E-2</v>
      </c>
      <c r="Z511" s="4">
        <f t="shared" si="120"/>
        <v>9.9633609767931758E-2</v>
      </c>
      <c r="AA511">
        <v>55.7</v>
      </c>
      <c r="AB511">
        <f t="shared" si="121"/>
        <v>44.5</v>
      </c>
      <c r="AP511" s="3">
        <v>33725</v>
      </c>
      <c r="AQ511" s="2">
        <v>52.6</v>
      </c>
      <c r="AR511" s="2" t="str">
        <f t="shared" si="122"/>
        <v>-</v>
      </c>
      <c r="AS511" s="2">
        <v>59.1</v>
      </c>
      <c r="AT511" s="8" t="str">
        <f t="shared" si="123"/>
        <v>-</v>
      </c>
      <c r="AU511" s="2">
        <v>57.8</v>
      </c>
      <c r="AV511" s="8" t="str">
        <f t="shared" si="124"/>
        <v>-</v>
      </c>
      <c r="AW511" s="2">
        <v>45</v>
      </c>
      <c r="AX511" s="8" t="str">
        <f t="shared" si="125"/>
        <v>+</v>
      </c>
      <c r="AY511" s="2">
        <v>47.4</v>
      </c>
      <c r="AZ511" s="8" t="str">
        <f t="shared" si="126"/>
        <v>-</v>
      </c>
      <c r="BA511" s="2">
        <v>43.2</v>
      </c>
      <c r="BB511" s="8" t="str">
        <f t="shared" si="127"/>
        <v>-</v>
      </c>
      <c r="BC511" s="2"/>
      <c r="BD511" s="8" t="str">
        <f t="shared" si="128"/>
        <v>+</v>
      </c>
      <c r="BE511" s="2">
        <v>51.1</v>
      </c>
      <c r="BF511" s="8" t="str">
        <f t="shared" si="119"/>
        <v>+</v>
      </c>
      <c r="BG511" s="2"/>
      <c r="BH511" s="8" t="str">
        <f t="shared" si="129"/>
        <v>+</v>
      </c>
      <c r="BI511" s="2">
        <v>53.4</v>
      </c>
      <c r="BJ511" s="8" t="str">
        <f t="shared" si="130"/>
        <v>-</v>
      </c>
      <c r="BK511" s="2">
        <v>52.1</v>
      </c>
      <c r="BL511" s="8" t="str">
        <f t="shared" si="131"/>
        <v>+</v>
      </c>
    </row>
    <row r="512" spans="1:64">
      <c r="A512" s="1">
        <v>33786</v>
      </c>
      <c r="B512">
        <v>53.6</v>
      </c>
      <c r="C512">
        <v>59.8</v>
      </c>
      <c r="D512">
        <v>46.6</v>
      </c>
      <c r="E512">
        <v>57.6</v>
      </c>
      <c r="F512">
        <v>50.8</v>
      </c>
      <c r="G512">
        <v>43.1</v>
      </c>
      <c r="I512">
        <v>53.9</v>
      </c>
      <c r="K512">
        <v>53.1</v>
      </c>
      <c r="L512">
        <v>49.1</v>
      </c>
      <c r="W512" s="1">
        <v>33786</v>
      </c>
      <c r="X512">
        <v>424.209991</v>
      </c>
      <c r="Y512" s="4">
        <f t="shared" si="118"/>
        <v>3.9373684053008125E-2</v>
      </c>
      <c r="Z512" s="4">
        <f t="shared" si="120"/>
        <v>9.3860377988501456E-2</v>
      </c>
      <c r="AA512">
        <v>53.6</v>
      </c>
      <c r="AB512">
        <f t="shared" si="121"/>
        <v>50.3</v>
      </c>
      <c r="AP512" s="3">
        <v>33756</v>
      </c>
      <c r="AQ512" s="2">
        <v>55.7</v>
      </c>
      <c r="AR512" s="2" t="str">
        <f t="shared" si="122"/>
        <v>+</v>
      </c>
      <c r="AS512" s="2">
        <v>60.9</v>
      </c>
      <c r="AT512" s="8" t="str">
        <f t="shared" si="123"/>
        <v>+</v>
      </c>
      <c r="AU512" s="2">
        <v>61.2</v>
      </c>
      <c r="AV512" s="8" t="str">
        <f t="shared" si="124"/>
        <v>+</v>
      </c>
      <c r="AW512" s="2">
        <v>49.5</v>
      </c>
      <c r="AX512" s="8" t="str">
        <f t="shared" si="125"/>
        <v>+</v>
      </c>
      <c r="AY512" s="2">
        <v>50</v>
      </c>
      <c r="AZ512" s="8" t="str">
        <f t="shared" si="126"/>
        <v>+</v>
      </c>
      <c r="BA512" s="2">
        <v>47</v>
      </c>
      <c r="BB512" s="8" t="str">
        <f t="shared" si="127"/>
        <v>+</v>
      </c>
      <c r="BC512" s="2"/>
      <c r="BD512" s="8" t="str">
        <f t="shared" si="128"/>
        <v>+</v>
      </c>
      <c r="BE512" s="2">
        <v>55</v>
      </c>
      <c r="BF512" s="8" t="str">
        <f t="shared" si="119"/>
        <v>+</v>
      </c>
      <c r="BG512" s="2"/>
      <c r="BH512" s="8" t="str">
        <f t="shared" si="129"/>
        <v>+</v>
      </c>
      <c r="BI512" s="2">
        <v>56.2</v>
      </c>
      <c r="BJ512" s="8" t="str">
        <f t="shared" si="130"/>
        <v>+</v>
      </c>
      <c r="BK512" s="2">
        <v>53.9</v>
      </c>
      <c r="BL512" s="8" t="str">
        <f t="shared" si="131"/>
        <v>+</v>
      </c>
    </row>
    <row r="513" spans="1:64">
      <c r="A513" s="1">
        <v>33817</v>
      </c>
      <c r="B513">
        <v>53.9</v>
      </c>
      <c r="C513">
        <v>59.5</v>
      </c>
      <c r="D513">
        <v>45.5</v>
      </c>
      <c r="E513">
        <v>57.4</v>
      </c>
      <c r="F513">
        <v>52.5</v>
      </c>
      <c r="G513">
        <v>46.9</v>
      </c>
      <c r="I513">
        <v>56.2</v>
      </c>
      <c r="K513">
        <v>55.2</v>
      </c>
      <c r="L513">
        <v>49.7</v>
      </c>
      <c r="W513" s="1">
        <v>33817</v>
      </c>
      <c r="X513">
        <v>414.02999899999998</v>
      </c>
      <c r="Y513" s="4">
        <f t="shared" si="118"/>
        <v>-2.3997530034600308E-2</v>
      </c>
      <c r="Z513" s="4">
        <f t="shared" si="120"/>
        <v>4.7037418327546918E-2</v>
      </c>
      <c r="AA513">
        <v>53.9</v>
      </c>
      <c r="AB513">
        <f t="shared" si="121"/>
        <v>50.6</v>
      </c>
      <c r="AP513" s="3">
        <v>33786</v>
      </c>
      <c r="AQ513" s="2">
        <v>53.6</v>
      </c>
      <c r="AR513" s="2" t="str">
        <f t="shared" si="122"/>
        <v>-</v>
      </c>
      <c r="AS513" s="2">
        <v>59.8</v>
      </c>
      <c r="AT513" s="8" t="str">
        <f t="shared" si="123"/>
        <v>-</v>
      </c>
      <c r="AU513" s="2">
        <v>57.6</v>
      </c>
      <c r="AV513" s="8" t="str">
        <f t="shared" si="124"/>
        <v>-</v>
      </c>
      <c r="AW513" s="2">
        <v>46.6</v>
      </c>
      <c r="AX513" s="8" t="str">
        <f t="shared" si="125"/>
        <v>-</v>
      </c>
      <c r="AY513" s="2">
        <v>50.8</v>
      </c>
      <c r="AZ513" s="8" t="str">
        <f t="shared" si="126"/>
        <v>+</v>
      </c>
      <c r="BA513" s="2">
        <v>43.1</v>
      </c>
      <c r="BB513" s="8" t="str">
        <f t="shared" si="127"/>
        <v>-</v>
      </c>
      <c r="BC513" s="2"/>
      <c r="BD513" s="8" t="str">
        <f t="shared" si="128"/>
        <v>+</v>
      </c>
      <c r="BE513" s="2">
        <v>53.9</v>
      </c>
      <c r="BF513" s="8" t="str">
        <f t="shared" si="119"/>
        <v>-</v>
      </c>
      <c r="BG513" s="2"/>
      <c r="BH513" s="8" t="str">
        <f t="shared" si="129"/>
        <v>+</v>
      </c>
      <c r="BI513" s="2">
        <v>53.1</v>
      </c>
      <c r="BJ513" s="8" t="str">
        <f t="shared" si="130"/>
        <v>-</v>
      </c>
      <c r="BK513" s="2">
        <v>49.1</v>
      </c>
      <c r="BL513" s="8" t="str">
        <f t="shared" si="131"/>
        <v>-</v>
      </c>
    </row>
    <row r="514" spans="1:64">
      <c r="A514" s="1">
        <v>33848</v>
      </c>
      <c r="B514">
        <v>53.4</v>
      </c>
      <c r="C514">
        <v>58.8</v>
      </c>
      <c r="D514">
        <v>47.3</v>
      </c>
      <c r="E514">
        <v>56.8</v>
      </c>
      <c r="F514">
        <v>50.3</v>
      </c>
      <c r="G514">
        <v>45.8</v>
      </c>
      <c r="I514">
        <v>53.7</v>
      </c>
      <c r="K514">
        <v>53.3</v>
      </c>
      <c r="L514">
        <v>48.6</v>
      </c>
      <c r="W514" s="1">
        <v>33848</v>
      </c>
      <c r="X514">
        <v>417.79998799999998</v>
      </c>
      <c r="Y514" s="4">
        <f t="shared" si="118"/>
        <v>9.1055938195435202E-3</v>
      </c>
      <c r="Z514" s="4">
        <f t="shared" si="120"/>
        <v>7.7192812246408948E-2</v>
      </c>
      <c r="AA514">
        <v>53.4</v>
      </c>
      <c r="AB514">
        <f t="shared" si="121"/>
        <v>52.9</v>
      </c>
      <c r="AP514" s="3">
        <v>33817</v>
      </c>
      <c r="AQ514" s="2">
        <v>53.9</v>
      </c>
      <c r="AR514" s="2" t="str">
        <f t="shared" si="122"/>
        <v>+</v>
      </c>
      <c r="AS514" s="2">
        <v>59.5</v>
      </c>
      <c r="AT514" s="8" t="str">
        <f t="shared" si="123"/>
        <v>-</v>
      </c>
      <c r="AU514" s="2">
        <v>57.4</v>
      </c>
      <c r="AV514" s="8" t="str">
        <f t="shared" si="124"/>
        <v>-</v>
      </c>
      <c r="AW514" s="2">
        <v>45.5</v>
      </c>
      <c r="AX514" s="8" t="str">
        <f t="shared" si="125"/>
        <v>-</v>
      </c>
      <c r="AY514" s="2">
        <v>52.5</v>
      </c>
      <c r="AZ514" s="8" t="str">
        <f t="shared" si="126"/>
        <v>+</v>
      </c>
      <c r="BA514" s="2">
        <v>46.9</v>
      </c>
      <c r="BB514" s="8" t="str">
        <f t="shared" si="127"/>
        <v>+</v>
      </c>
      <c r="BC514" s="2"/>
      <c r="BD514" s="8" t="str">
        <f t="shared" si="128"/>
        <v>+</v>
      </c>
      <c r="BE514" s="2">
        <v>56.2</v>
      </c>
      <c r="BF514" s="8" t="str">
        <f t="shared" si="119"/>
        <v>+</v>
      </c>
      <c r="BG514" s="2"/>
      <c r="BH514" s="8" t="str">
        <f t="shared" si="129"/>
        <v>+</v>
      </c>
      <c r="BI514" s="2">
        <v>55.2</v>
      </c>
      <c r="BJ514" s="8" t="str">
        <f t="shared" si="130"/>
        <v>+</v>
      </c>
      <c r="BK514" s="2">
        <v>49.7</v>
      </c>
      <c r="BL514" s="8" t="str">
        <f t="shared" si="131"/>
        <v>+</v>
      </c>
    </row>
    <row r="515" spans="1:64">
      <c r="A515" s="1">
        <v>33878</v>
      </c>
      <c r="B515">
        <v>49.7</v>
      </c>
      <c r="C515">
        <v>51.1</v>
      </c>
      <c r="D515">
        <v>45.1</v>
      </c>
      <c r="E515">
        <v>53.9</v>
      </c>
      <c r="F515">
        <v>51.2</v>
      </c>
      <c r="G515">
        <v>42.3</v>
      </c>
      <c r="I515">
        <v>51.6</v>
      </c>
      <c r="K515">
        <v>55.8</v>
      </c>
      <c r="L515">
        <v>46.7</v>
      </c>
      <c r="W515" s="1">
        <v>33878</v>
      </c>
      <c r="X515">
        <v>418.67999300000002</v>
      </c>
      <c r="Y515" s="4">
        <f t="shared" si="118"/>
        <v>2.1062829709799793E-3</v>
      </c>
      <c r="Z515" s="4">
        <f t="shared" si="120"/>
        <v>6.6836489229104692E-2</v>
      </c>
      <c r="AA515">
        <v>49.7</v>
      </c>
      <c r="AB515">
        <f t="shared" si="121"/>
        <v>54.9</v>
      </c>
      <c r="AP515" s="3">
        <v>33848</v>
      </c>
      <c r="AQ515" s="2">
        <v>53.4</v>
      </c>
      <c r="AR515" s="2" t="str">
        <f t="shared" si="122"/>
        <v>-</v>
      </c>
      <c r="AS515" s="2">
        <v>58.8</v>
      </c>
      <c r="AT515" s="8" t="str">
        <f t="shared" si="123"/>
        <v>-</v>
      </c>
      <c r="AU515" s="2">
        <v>56.8</v>
      </c>
      <c r="AV515" s="8" t="str">
        <f t="shared" si="124"/>
        <v>-</v>
      </c>
      <c r="AW515" s="2">
        <v>47.3</v>
      </c>
      <c r="AX515" s="8" t="str">
        <f t="shared" si="125"/>
        <v>+</v>
      </c>
      <c r="AY515" s="2">
        <v>50.3</v>
      </c>
      <c r="AZ515" s="8" t="str">
        <f t="shared" si="126"/>
        <v>-</v>
      </c>
      <c r="BA515" s="2">
        <v>45.8</v>
      </c>
      <c r="BB515" s="8" t="str">
        <f t="shared" si="127"/>
        <v>-</v>
      </c>
      <c r="BC515" s="2"/>
      <c r="BD515" s="8" t="str">
        <f t="shared" si="128"/>
        <v>+</v>
      </c>
      <c r="BE515" s="2">
        <v>53.7</v>
      </c>
      <c r="BF515" s="8" t="str">
        <f t="shared" si="119"/>
        <v>-</v>
      </c>
      <c r="BG515" s="2"/>
      <c r="BH515" s="8" t="str">
        <f t="shared" si="129"/>
        <v>+</v>
      </c>
      <c r="BI515" s="2">
        <v>53.3</v>
      </c>
      <c r="BJ515" s="8" t="str">
        <f t="shared" si="130"/>
        <v>-</v>
      </c>
      <c r="BK515" s="2">
        <v>48.6</v>
      </c>
      <c r="BL515" s="8" t="str">
        <f t="shared" si="131"/>
        <v>-</v>
      </c>
    </row>
    <row r="516" spans="1:64">
      <c r="A516" s="1">
        <v>33909</v>
      </c>
      <c r="B516">
        <v>50.3</v>
      </c>
      <c r="C516">
        <v>53.8</v>
      </c>
      <c r="D516">
        <v>44.7</v>
      </c>
      <c r="E516">
        <v>54.7</v>
      </c>
      <c r="F516">
        <v>48.6</v>
      </c>
      <c r="G516">
        <v>42.4</v>
      </c>
      <c r="I516">
        <v>46.4</v>
      </c>
      <c r="K516">
        <v>53.8</v>
      </c>
      <c r="L516">
        <v>47.7</v>
      </c>
      <c r="W516" s="1">
        <v>33909</v>
      </c>
      <c r="X516">
        <v>431.35000600000001</v>
      </c>
      <c r="Y516" s="4">
        <f t="shared" ref="Y516:Y579" si="132">(X516-X515)/X515</f>
        <v>3.0261806658623838E-2</v>
      </c>
      <c r="Z516" s="4">
        <f t="shared" si="120"/>
        <v>0.14959225214649466</v>
      </c>
      <c r="AA516">
        <v>50.3</v>
      </c>
      <c r="AB516">
        <f t="shared" si="121"/>
        <v>53.1</v>
      </c>
      <c r="AP516" s="3">
        <v>33878</v>
      </c>
      <c r="AQ516" s="2">
        <v>49.7</v>
      </c>
      <c r="AR516" s="2" t="str">
        <f t="shared" si="122"/>
        <v>-</v>
      </c>
      <c r="AS516" s="2">
        <v>51.1</v>
      </c>
      <c r="AT516" s="8" t="str">
        <f t="shared" si="123"/>
        <v>-</v>
      </c>
      <c r="AU516" s="2">
        <v>53.9</v>
      </c>
      <c r="AV516" s="8" t="str">
        <f t="shared" si="124"/>
        <v>-</v>
      </c>
      <c r="AW516" s="2">
        <v>45.1</v>
      </c>
      <c r="AX516" s="8" t="str">
        <f t="shared" si="125"/>
        <v>-</v>
      </c>
      <c r="AY516" s="2">
        <v>51.2</v>
      </c>
      <c r="AZ516" s="8" t="str">
        <f t="shared" si="126"/>
        <v>+</v>
      </c>
      <c r="BA516" s="2">
        <v>42.3</v>
      </c>
      <c r="BB516" s="8" t="str">
        <f t="shared" si="127"/>
        <v>-</v>
      </c>
      <c r="BC516" s="2"/>
      <c r="BD516" s="8" t="str">
        <f t="shared" si="128"/>
        <v>+</v>
      </c>
      <c r="BE516" s="2">
        <v>51.6</v>
      </c>
      <c r="BF516" s="8" t="str">
        <f t="shared" si="119"/>
        <v>-</v>
      </c>
      <c r="BG516" s="2"/>
      <c r="BH516" s="8" t="str">
        <f t="shared" si="129"/>
        <v>+</v>
      </c>
      <c r="BI516" s="2">
        <v>55.8</v>
      </c>
      <c r="BJ516" s="8" t="str">
        <f t="shared" si="130"/>
        <v>+</v>
      </c>
      <c r="BK516" s="2">
        <v>46.7</v>
      </c>
      <c r="BL516" s="8" t="str">
        <f t="shared" si="131"/>
        <v>-</v>
      </c>
    </row>
    <row r="517" spans="1:64">
      <c r="A517" s="1">
        <v>33939</v>
      </c>
      <c r="B517">
        <v>53.6</v>
      </c>
      <c r="C517">
        <v>58.8</v>
      </c>
      <c r="D517">
        <v>47.1</v>
      </c>
      <c r="E517">
        <v>58.6</v>
      </c>
      <c r="F517">
        <v>51.3</v>
      </c>
      <c r="G517">
        <v>42.1</v>
      </c>
      <c r="I517">
        <v>42.1</v>
      </c>
      <c r="K517">
        <v>52.9</v>
      </c>
      <c r="L517">
        <v>48</v>
      </c>
      <c r="W517" s="1">
        <v>33939</v>
      </c>
      <c r="X517">
        <v>435.709991</v>
      </c>
      <c r="Y517" s="4">
        <f t="shared" si="132"/>
        <v>1.0107766174460178E-2</v>
      </c>
      <c r="Z517" s="4">
        <f t="shared" si="120"/>
        <v>4.4642631514950119E-2</v>
      </c>
      <c r="AA517">
        <v>53.6</v>
      </c>
      <c r="AB517">
        <f t="shared" si="121"/>
        <v>49.5</v>
      </c>
      <c r="AP517" s="3">
        <v>33909</v>
      </c>
      <c r="AQ517" s="2">
        <v>50.3</v>
      </c>
      <c r="AR517" s="2" t="str">
        <f t="shared" si="122"/>
        <v>+</v>
      </c>
      <c r="AS517" s="2">
        <v>53.8</v>
      </c>
      <c r="AT517" s="8" t="str">
        <f t="shared" si="123"/>
        <v>+</v>
      </c>
      <c r="AU517" s="2">
        <v>54.7</v>
      </c>
      <c r="AV517" s="8" t="str">
        <f t="shared" si="124"/>
        <v>+</v>
      </c>
      <c r="AW517" s="2">
        <v>44.7</v>
      </c>
      <c r="AX517" s="8" t="str">
        <f t="shared" si="125"/>
        <v>-</v>
      </c>
      <c r="AY517" s="2">
        <v>48.6</v>
      </c>
      <c r="AZ517" s="8" t="str">
        <f t="shared" si="126"/>
        <v>-</v>
      </c>
      <c r="BA517" s="2">
        <v>42.4</v>
      </c>
      <c r="BB517" s="8" t="str">
        <f t="shared" si="127"/>
        <v>+</v>
      </c>
      <c r="BC517" s="2"/>
      <c r="BD517" s="8" t="str">
        <f t="shared" si="128"/>
        <v>+</v>
      </c>
      <c r="BE517" s="2">
        <v>46.4</v>
      </c>
      <c r="BF517" s="8" t="str">
        <f t="shared" si="119"/>
        <v>-</v>
      </c>
      <c r="BG517" s="2"/>
      <c r="BH517" s="8" t="str">
        <f t="shared" si="129"/>
        <v>+</v>
      </c>
      <c r="BI517" s="2">
        <v>53.8</v>
      </c>
      <c r="BJ517" s="8" t="str">
        <f t="shared" si="130"/>
        <v>-</v>
      </c>
      <c r="BK517" s="2">
        <v>47.7</v>
      </c>
      <c r="BL517" s="8" t="str">
        <f t="shared" si="131"/>
        <v>+</v>
      </c>
    </row>
    <row r="518" spans="1:64">
      <c r="A518" s="1">
        <v>33970</v>
      </c>
      <c r="B518">
        <v>54.2</v>
      </c>
      <c r="C518">
        <v>61</v>
      </c>
      <c r="D518">
        <v>45.9</v>
      </c>
      <c r="E518">
        <v>57.9</v>
      </c>
      <c r="F518">
        <v>51.5</v>
      </c>
      <c r="G518">
        <v>45</v>
      </c>
      <c r="I518">
        <v>48</v>
      </c>
      <c r="K518">
        <v>53.1</v>
      </c>
      <c r="L518">
        <v>51.4</v>
      </c>
      <c r="W518" s="1">
        <v>33970</v>
      </c>
      <c r="X518">
        <v>438.77999899999998</v>
      </c>
      <c r="Y518" s="4">
        <f t="shared" si="132"/>
        <v>7.0459894503543136E-3</v>
      </c>
      <c r="Z518" s="4">
        <f t="shared" si="120"/>
        <v>7.338910923574811E-2</v>
      </c>
      <c r="AA518">
        <v>54.2</v>
      </c>
      <c r="AB518">
        <f t="shared" si="121"/>
        <v>46.8</v>
      </c>
      <c r="AP518" s="3">
        <v>33939</v>
      </c>
      <c r="AQ518" s="2">
        <v>53.6</v>
      </c>
      <c r="AR518" s="2" t="str">
        <f t="shared" si="122"/>
        <v>+</v>
      </c>
      <c r="AS518" s="2">
        <v>58.8</v>
      </c>
      <c r="AT518" s="8" t="str">
        <f t="shared" si="123"/>
        <v>+</v>
      </c>
      <c r="AU518" s="2">
        <v>58.6</v>
      </c>
      <c r="AV518" s="8" t="str">
        <f t="shared" si="124"/>
        <v>+</v>
      </c>
      <c r="AW518" s="2">
        <v>47.1</v>
      </c>
      <c r="AX518" s="8" t="str">
        <f t="shared" si="125"/>
        <v>+</v>
      </c>
      <c r="AY518" s="2">
        <v>51.3</v>
      </c>
      <c r="AZ518" s="8" t="str">
        <f t="shared" si="126"/>
        <v>+</v>
      </c>
      <c r="BA518" s="2">
        <v>42.1</v>
      </c>
      <c r="BB518" s="8" t="str">
        <f t="shared" si="127"/>
        <v>-</v>
      </c>
      <c r="BC518" s="2"/>
      <c r="BD518" s="8" t="str">
        <f t="shared" si="128"/>
        <v>+</v>
      </c>
      <c r="BE518" s="2">
        <v>42.1</v>
      </c>
      <c r="BF518" s="8" t="str">
        <f t="shared" ref="BF518:BF581" si="133">IF(OR(BE518&gt;BE517,BE518=BE517),"+","-")</f>
        <v>-</v>
      </c>
      <c r="BG518" s="2"/>
      <c r="BH518" s="8" t="str">
        <f t="shared" si="129"/>
        <v>+</v>
      </c>
      <c r="BI518" s="2">
        <v>52.9</v>
      </c>
      <c r="BJ518" s="8" t="str">
        <f t="shared" si="130"/>
        <v>-</v>
      </c>
      <c r="BK518" s="2">
        <v>48</v>
      </c>
      <c r="BL518" s="8" t="str">
        <f t="shared" si="131"/>
        <v>+</v>
      </c>
    </row>
    <row r="519" spans="1:64">
      <c r="A519" s="1">
        <v>34001</v>
      </c>
      <c r="B519">
        <v>55.8</v>
      </c>
      <c r="C519">
        <v>63</v>
      </c>
      <c r="D519">
        <v>46.9</v>
      </c>
      <c r="E519">
        <v>61.5</v>
      </c>
      <c r="F519">
        <v>52.3</v>
      </c>
      <c r="G519">
        <v>43.3</v>
      </c>
      <c r="I519">
        <v>49.8</v>
      </c>
      <c r="J519">
        <v>56.5</v>
      </c>
      <c r="K519">
        <v>53.4</v>
      </c>
      <c r="L519">
        <v>49.4</v>
      </c>
      <c r="W519" s="1">
        <v>34001</v>
      </c>
      <c r="X519">
        <v>443.38000499999998</v>
      </c>
      <c r="Y519" s="4">
        <f t="shared" si="132"/>
        <v>1.0483627354217684E-2</v>
      </c>
      <c r="Z519" s="4">
        <f t="shared" si="120"/>
        <v>7.4339694954988197E-2</v>
      </c>
      <c r="AA519">
        <v>55.8</v>
      </c>
      <c r="AB519">
        <f t="shared" si="121"/>
        <v>47.3</v>
      </c>
      <c r="AP519" s="3">
        <v>33970</v>
      </c>
      <c r="AQ519" s="2">
        <v>54.2</v>
      </c>
      <c r="AR519" s="2" t="str">
        <f t="shared" si="122"/>
        <v>+</v>
      </c>
      <c r="AS519" s="2">
        <v>61</v>
      </c>
      <c r="AT519" s="8" t="str">
        <f t="shared" si="123"/>
        <v>+</v>
      </c>
      <c r="AU519" s="2">
        <v>57.9</v>
      </c>
      <c r="AV519" s="8" t="str">
        <f t="shared" si="124"/>
        <v>-</v>
      </c>
      <c r="AW519" s="2">
        <v>45.9</v>
      </c>
      <c r="AX519" s="8" t="str">
        <f t="shared" si="125"/>
        <v>-</v>
      </c>
      <c r="AY519" s="2">
        <v>51.5</v>
      </c>
      <c r="AZ519" s="8" t="str">
        <f t="shared" si="126"/>
        <v>+</v>
      </c>
      <c r="BA519" s="2">
        <v>45</v>
      </c>
      <c r="BB519" s="8" t="str">
        <f t="shared" si="127"/>
        <v>+</v>
      </c>
      <c r="BC519" s="2"/>
      <c r="BD519" s="8" t="str">
        <f t="shared" si="128"/>
        <v>+</v>
      </c>
      <c r="BE519" s="2">
        <v>48</v>
      </c>
      <c r="BF519" s="8" t="str">
        <f t="shared" si="133"/>
        <v>+</v>
      </c>
      <c r="BG519" s="2"/>
      <c r="BH519" s="8" t="str">
        <f t="shared" si="129"/>
        <v>+</v>
      </c>
      <c r="BI519" s="2">
        <v>53.1</v>
      </c>
      <c r="BJ519" s="8" t="str">
        <f t="shared" si="130"/>
        <v>+</v>
      </c>
      <c r="BK519" s="2">
        <v>51.4</v>
      </c>
      <c r="BL519" s="8" t="str">
        <f t="shared" si="131"/>
        <v>+</v>
      </c>
    </row>
    <row r="520" spans="1:64">
      <c r="A520" s="1">
        <v>34029</v>
      </c>
      <c r="B520">
        <v>55.2</v>
      </c>
      <c r="C520">
        <v>59.7</v>
      </c>
      <c r="D520">
        <v>47</v>
      </c>
      <c r="E520">
        <v>63.5</v>
      </c>
      <c r="F520">
        <v>51.7</v>
      </c>
      <c r="G520">
        <v>42.6</v>
      </c>
      <c r="I520">
        <v>53.9</v>
      </c>
      <c r="J520">
        <v>56</v>
      </c>
      <c r="K520">
        <v>53.2</v>
      </c>
      <c r="L520">
        <v>49.5</v>
      </c>
      <c r="W520" s="1">
        <v>34029</v>
      </c>
      <c r="X520">
        <v>451.67001299999998</v>
      </c>
      <c r="Y520" s="4">
        <f t="shared" si="132"/>
        <v>1.869729781792934E-2</v>
      </c>
      <c r="Z520" s="4">
        <f t="shared" si="120"/>
        <v>0.11885360242337632</v>
      </c>
      <c r="AA520">
        <v>55.2</v>
      </c>
      <c r="AB520">
        <f t="shared" si="121"/>
        <v>52.7</v>
      </c>
      <c r="AP520" s="3">
        <v>34001</v>
      </c>
      <c r="AQ520" s="2">
        <v>55.8</v>
      </c>
      <c r="AR520" s="2" t="str">
        <f t="shared" si="122"/>
        <v>+</v>
      </c>
      <c r="AS520" s="2">
        <v>63</v>
      </c>
      <c r="AT520" s="8" t="str">
        <f t="shared" si="123"/>
        <v>+</v>
      </c>
      <c r="AU520" s="2">
        <v>61.5</v>
      </c>
      <c r="AV520" s="8" t="str">
        <f t="shared" si="124"/>
        <v>+</v>
      </c>
      <c r="AW520" s="2">
        <v>46.9</v>
      </c>
      <c r="AX520" s="8" t="str">
        <f t="shared" si="125"/>
        <v>+</v>
      </c>
      <c r="AY520" s="2">
        <v>52.3</v>
      </c>
      <c r="AZ520" s="8" t="str">
        <f t="shared" si="126"/>
        <v>+</v>
      </c>
      <c r="BA520" s="2">
        <v>43.3</v>
      </c>
      <c r="BB520" s="8" t="str">
        <f t="shared" si="127"/>
        <v>-</v>
      </c>
      <c r="BC520" s="2"/>
      <c r="BD520" s="8" t="str">
        <f t="shared" si="128"/>
        <v>+</v>
      </c>
      <c r="BE520" s="2">
        <v>49.8</v>
      </c>
      <c r="BF520" s="8" t="str">
        <f t="shared" si="133"/>
        <v>+</v>
      </c>
      <c r="BG520" s="2">
        <v>56.5</v>
      </c>
      <c r="BH520" s="8" t="str">
        <f t="shared" si="129"/>
        <v>+</v>
      </c>
      <c r="BI520" s="2">
        <v>53.4</v>
      </c>
      <c r="BJ520" s="8" t="str">
        <f t="shared" si="130"/>
        <v>+</v>
      </c>
      <c r="BK520" s="2">
        <v>49.4</v>
      </c>
      <c r="BL520" s="8" t="str">
        <f t="shared" si="131"/>
        <v>-</v>
      </c>
    </row>
    <row r="521" spans="1:64">
      <c r="A521" s="1">
        <v>34060</v>
      </c>
      <c r="B521">
        <v>53.5</v>
      </c>
      <c r="C521">
        <v>58.1</v>
      </c>
      <c r="D521">
        <v>47.1</v>
      </c>
      <c r="E521">
        <v>56.7</v>
      </c>
      <c r="F521">
        <v>52.7</v>
      </c>
      <c r="G521">
        <v>45.6</v>
      </c>
      <c r="I521">
        <v>53.6</v>
      </c>
      <c r="J521">
        <v>54.5</v>
      </c>
      <c r="K521">
        <v>52.3</v>
      </c>
      <c r="L521">
        <v>49.4</v>
      </c>
      <c r="W521" s="1">
        <v>34060</v>
      </c>
      <c r="X521">
        <v>440.19000199999999</v>
      </c>
      <c r="Y521" s="4">
        <f t="shared" si="132"/>
        <v>-2.541681021449611E-2</v>
      </c>
      <c r="Z521" s="4">
        <f t="shared" si="120"/>
        <v>6.0826579756792433E-2</v>
      </c>
      <c r="AA521">
        <v>53.5</v>
      </c>
      <c r="AB521">
        <f t="shared" si="121"/>
        <v>54.6</v>
      </c>
      <c r="AP521" s="3">
        <v>34029</v>
      </c>
      <c r="AQ521" s="2">
        <v>55.2</v>
      </c>
      <c r="AR521" s="2" t="str">
        <f t="shared" si="122"/>
        <v>-</v>
      </c>
      <c r="AS521" s="2">
        <v>59.7</v>
      </c>
      <c r="AT521" s="8" t="str">
        <f t="shared" si="123"/>
        <v>-</v>
      </c>
      <c r="AU521" s="2">
        <v>63.5</v>
      </c>
      <c r="AV521" s="8" t="str">
        <f t="shared" si="124"/>
        <v>+</v>
      </c>
      <c r="AW521" s="2">
        <v>47</v>
      </c>
      <c r="AX521" s="8" t="str">
        <f t="shared" si="125"/>
        <v>+</v>
      </c>
      <c r="AY521" s="2">
        <v>51.7</v>
      </c>
      <c r="AZ521" s="8" t="str">
        <f t="shared" si="126"/>
        <v>-</v>
      </c>
      <c r="BA521" s="2">
        <v>42.6</v>
      </c>
      <c r="BB521" s="8" t="str">
        <f t="shared" si="127"/>
        <v>-</v>
      </c>
      <c r="BC521" s="2"/>
      <c r="BD521" s="8" t="str">
        <f t="shared" si="128"/>
        <v>+</v>
      </c>
      <c r="BE521" s="2">
        <v>53.9</v>
      </c>
      <c r="BF521" s="8" t="str">
        <f t="shared" si="133"/>
        <v>+</v>
      </c>
      <c r="BG521" s="2">
        <v>56</v>
      </c>
      <c r="BH521" s="8" t="str">
        <f t="shared" si="129"/>
        <v>-</v>
      </c>
      <c r="BI521" s="2">
        <v>53.2</v>
      </c>
      <c r="BJ521" s="8" t="str">
        <f t="shared" si="130"/>
        <v>-</v>
      </c>
      <c r="BK521" s="2">
        <v>49.5</v>
      </c>
      <c r="BL521" s="8" t="str">
        <f t="shared" si="131"/>
        <v>+</v>
      </c>
    </row>
    <row r="522" spans="1:64">
      <c r="A522" s="1">
        <v>34090</v>
      </c>
      <c r="B522">
        <v>50.2</v>
      </c>
      <c r="C522">
        <v>53</v>
      </c>
      <c r="D522">
        <v>44.8</v>
      </c>
      <c r="E522">
        <v>51.6</v>
      </c>
      <c r="F522">
        <v>52.8</v>
      </c>
      <c r="G522">
        <v>44.7</v>
      </c>
      <c r="I522">
        <v>54.6</v>
      </c>
      <c r="J522">
        <v>51</v>
      </c>
      <c r="K522">
        <v>53.5</v>
      </c>
      <c r="L522">
        <v>50.1</v>
      </c>
      <c r="W522" s="1">
        <v>34090</v>
      </c>
      <c r="X522">
        <v>450.19000199999999</v>
      </c>
      <c r="Y522" s="4">
        <f t="shared" si="132"/>
        <v>2.2717462810525169E-2</v>
      </c>
      <c r="Z522" s="4">
        <f t="shared" si="120"/>
        <v>8.3881053320605914E-2</v>
      </c>
      <c r="AA522">
        <v>50.2</v>
      </c>
      <c r="AB522">
        <f t="shared" si="121"/>
        <v>52.6</v>
      </c>
      <c r="AP522" s="3">
        <v>34060</v>
      </c>
      <c r="AQ522" s="2">
        <v>53.5</v>
      </c>
      <c r="AR522" s="2" t="str">
        <f t="shared" si="122"/>
        <v>-</v>
      </c>
      <c r="AS522" s="2">
        <v>58.1</v>
      </c>
      <c r="AT522" s="8" t="str">
        <f t="shared" si="123"/>
        <v>-</v>
      </c>
      <c r="AU522" s="2">
        <v>56.7</v>
      </c>
      <c r="AV522" s="8" t="str">
        <f t="shared" si="124"/>
        <v>-</v>
      </c>
      <c r="AW522" s="2">
        <v>47.1</v>
      </c>
      <c r="AX522" s="8" t="str">
        <f t="shared" si="125"/>
        <v>+</v>
      </c>
      <c r="AY522" s="2">
        <v>52.7</v>
      </c>
      <c r="AZ522" s="8" t="str">
        <f t="shared" si="126"/>
        <v>+</v>
      </c>
      <c r="BA522" s="2">
        <v>45.6</v>
      </c>
      <c r="BB522" s="8" t="str">
        <f t="shared" si="127"/>
        <v>+</v>
      </c>
      <c r="BC522" s="2"/>
      <c r="BD522" s="8" t="str">
        <f t="shared" si="128"/>
        <v>+</v>
      </c>
      <c r="BE522" s="2">
        <v>53.6</v>
      </c>
      <c r="BF522" s="8" t="str">
        <f t="shared" si="133"/>
        <v>-</v>
      </c>
      <c r="BG522" s="2">
        <v>54.5</v>
      </c>
      <c r="BH522" s="8" t="str">
        <f t="shared" si="129"/>
        <v>-</v>
      </c>
      <c r="BI522" s="2">
        <v>52.3</v>
      </c>
      <c r="BJ522" s="8" t="str">
        <f t="shared" si="130"/>
        <v>-</v>
      </c>
      <c r="BK522" s="2">
        <v>49.4</v>
      </c>
      <c r="BL522" s="8" t="str">
        <f t="shared" si="131"/>
        <v>-</v>
      </c>
    </row>
    <row r="523" spans="1:64">
      <c r="A523" s="1">
        <v>34121</v>
      </c>
      <c r="B523">
        <v>51.2</v>
      </c>
      <c r="C523">
        <v>55.2</v>
      </c>
      <c r="D523">
        <v>43.6</v>
      </c>
      <c r="E523">
        <v>55</v>
      </c>
      <c r="F523">
        <v>51.5</v>
      </c>
      <c r="G523">
        <v>44.8</v>
      </c>
      <c r="I523">
        <v>50.4</v>
      </c>
      <c r="J523">
        <v>51.5</v>
      </c>
      <c r="K523">
        <v>54.2</v>
      </c>
      <c r="L523">
        <v>47.4</v>
      </c>
      <c r="W523" s="1">
        <v>34121</v>
      </c>
      <c r="X523">
        <v>450.52999899999998</v>
      </c>
      <c r="Y523" s="4">
        <f t="shared" si="132"/>
        <v>7.5523001063889142E-4</v>
      </c>
      <c r="Z523" s="4">
        <f t="shared" si="120"/>
        <v>0.10386137708158796</v>
      </c>
      <c r="AA523">
        <v>51.2</v>
      </c>
      <c r="AB523">
        <f t="shared" si="121"/>
        <v>55.7</v>
      </c>
      <c r="AP523" s="3">
        <v>34090</v>
      </c>
      <c r="AQ523" s="2">
        <v>50.2</v>
      </c>
      <c r="AR523" s="2" t="str">
        <f t="shared" si="122"/>
        <v>-</v>
      </c>
      <c r="AS523" s="2">
        <v>53</v>
      </c>
      <c r="AT523" s="8" t="str">
        <f t="shared" si="123"/>
        <v>-</v>
      </c>
      <c r="AU523" s="2">
        <v>51.6</v>
      </c>
      <c r="AV523" s="8" t="str">
        <f t="shared" si="124"/>
        <v>-</v>
      </c>
      <c r="AW523" s="2">
        <v>44.8</v>
      </c>
      <c r="AX523" s="8" t="str">
        <f t="shared" si="125"/>
        <v>-</v>
      </c>
      <c r="AY523" s="2">
        <v>52.8</v>
      </c>
      <c r="AZ523" s="8" t="str">
        <f t="shared" si="126"/>
        <v>+</v>
      </c>
      <c r="BA523" s="2">
        <v>44.7</v>
      </c>
      <c r="BB523" s="8" t="str">
        <f t="shared" si="127"/>
        <v>-</v>
      </c>
      <c r="BC523" s="2"/>
      <c r="BD523" s="8" t="str">
        <f t="shared" si="128"/>
        <v>+</v>
      </c>
      <c r="BE523" s="2">
        <v>54.6</v>
      </c>
      <c r="BF523" s="8" t="str">
        <f t="shared" si="133"/>
        <v>+</v>
      </c>
      <c r="BG523" s="2">
        <v>51</v>
      </c>
      <c r="BH523" s="8" t="str">
        <f t="shared" si="129"/>
        <v>-</v>
      </c>
      <c r="BI523" s="2">
        <v>53.5</v>
      </c>
      <c r="BJ523" s="8" t="str">
        <f t="shared" si="130"/>
        <v>+</v>
      </c>
      <c r="BK523" s="2">
        <v>50.1</v>
      </c>
      <c r="BL523" s="8" t="str">
        <f t="shared" si="131"/>
        <v>+</v>
      </c>
    </row>
    <row r="524" spans="1:64">
      <c r="A524" s="1">
        <v>34151</v>
      </c>
      <c r="B524">
        <v>49.6</v>
      </c>
      <c r="C524">
        <v>51.6</v>
      </c>
      <c r="D524">
        <v>43.2</v>
      </c>
      <c r="E524">
        <v>53.1</v>
      </c>
      <c r="F524">
        <v>50.4</v>
      </c>
      <c r="G524">
        <v>46.5</v>
      </c>
      <c r="I524">
        <v>50.6</v>
      </c>
      <c r="J524">
        <v>52</v>
      </c>
      <c r="K524">
        <v>52.4</v>
      </c>
      <c r="L524">
        <v>49.8</v>
      </c>
      <c r="W524" s="1">
        <v>34151</v>
      </c>
      <c r="X524">
        <v>448.13000499999998</v>
      </c>
      <c r="Y524" s="4">
        <f t="shared" si="132"/>
        <v>-5.3270459355138139E-3</v>
      </c>
      <c r="Z524" s="4">
        <f t="shared" si="120"/>
        <v>5.63872009322854E-2</v>
      </c>
      <c r="AA524">
        <v>49.6</v>
      </c>
      <c r="AB524">
        <f t="shared" si="121"/>
        <v>53.6</v>
      </c>
      <c r="AP524" s="3">
        <v>34121</v>
      </c>
      <c r="AQ524" s="2">
        <v>51.2</v>
      </c>
      <c r="AR524" s="2" t="str">
        <f t="shared" si="122"/>
        <v>+</v>
      </c>
      <c r="AS524" s="2">
        <v>55.2</v>
      </c>
      <c r="AT524" s="8" t="str">
        <f t="shared" si="123"/>
        <v>+</v>
      </c>
      <c r="AU524" s="2">
        <v>55</v>
      </c>
      <c r="AV524" s="8" t="str">
        <f t="shared" si="124"/>
        <v>+</v>
      </c>
      <c r="AW524" s="2">
        <v>43.6</v>
      </c>
      <c r="AX524" s="8" t="str">
        <f t="shared" si="125"/>
        <v>-</v>
      </c>
      <c r="AY524" s="2">
        <v>51.5</v>
      </c>
      <c r="AZ524" s="8" t="str">
        <f t="shared" si="126"/>
        <v>-</v>
      </c>
      <c r="BA524" s="2">
        <v>44.8</v>
      </c>
      <c r="BB524" s="8" t="str">
        <f t="shared" si="127"/>
        <v>+</v>
      </c>
      <c r="BC524" s="2"/>
      <c r="BD524" s="8" t="str">
        <f t="shared" si="128"/>
        <v>+</v>
      </c>
      <c r="BE524" s="2">
        <v>50.4</v>
      </c>
      <c r="BF524" s="8" t="str">
        <f t="shared" si="133"/>
        <v>-</v>
      </c>
      <c r="BG524" s="2">
        <v>51.5</v>
      </c>
      <c r="BH524" s="8" t="str">
        <f t="shared" si="129"/>
        <v>+</v>
      </c>
      <c r="BI524" s="2">
        <v>54.2</v>
      </c>
      <c r="BJ524" s="8" t="str">
        <f t="shared" si="130"/>
        <v>+</v>
      </c>
      <c r="BK524" s="2">
        <v>47.4</v>
      </c>
      <c r="BL524" s="8" t="str">
        <f t="shared" si="131"/>
        <v>-</v>
      </c>
    </row>
    <row r="525" spans="1:64">
      <c r="A525" s="1">
        <v>34182</v>
      </c>
      <c r="B525">
        <v>50.2</v>
      </c>
      <c r="C525">
        <v>53.8</v>
      </c>
      <c r="D525">
        <v>43.6</v>
      </c>
      <c r="E525">
        <v>52.7</v>
      </c>
      <c r="F525">
        <v>51</v>
      </c>
      <c r="G525">
        <v>45.5</v>
      </c>
      <c r="I525">
        <v>51.4</v>
      </c>
      <c r="J525">
        <v>45</v>
      </c>
      <c r="K525">
        <v>50.1</v>
      </c>
      <c r="L525">
        <v>48.7</v>
      </c>
      <c r="W525" s="1">
        <v>34182</v>
      </c>
      <c r="X525">
        <v>463.55999800000001</v>
      </c>
      <c r="Y525" s="4">
        <f t="shared" si="132"/>
        <v>3.4431956860375874E-2</v>
      </c>
      <c r="Z525" s="4">
        <f t="shared" si="120"/>
        <v>0.11962901026406068</v>
      </c>
      <c r="AA525">
        <v>50.2</v>
      </c>
      <c r="AB525">
        <f t="shared" si="121"/>
        <v>53.9</v>
      </c>
      <c r="AP525" s="3">
        <v>34151</v>
      </c>
      <c r="AQ525" s="2">
        <v>49.6</v>
      </c>
      <c r="AR525" s="2" t="str">
        <f t="shared" si="122"/>
        <v>-</v>
      </c>
      <c r="AS525" s="2">
        <v>51.6</v>
      </c>
      <c r="AT525" s="8" t="str">
        <f t="shared" si="123"/>
        <v>-</v>
      </c>
      <c r="AU525" s="2">
        <v>53.1</v>
      </c>
      <c r="AV525" s="8" t="str">
        <f t="shared" si="124"/>
        <v>-</v>
      </c>
      <c r="AW525" s="2">
        <v>43.2</v>
      </c>
      <c r="AX525" s="8" t="str">
        <f t="shared" si="125"/>
        <v>-</v>
      </c>
      <c r="AY525" s="2">
        <v>50.4</v>
      </c>
      <c r="AZ525" s="8" t="str">
        <f t="shared" si="126"/>
        <v>-</v>
      </c>
      <c r="BA525" s="2">
        <v>46.5</v>
      </c>
      <c r="BB525" s="8" t="str">
        <f t="shared" si="127"/>
        <v>+</v>
      </c>
      <c r="BC525" s="2"/>
      <c r="BD525" s="8" t="str">
        <f t="shared" si="128"/>
        <v>+</v>
      </c>
      <c r="BE525" s="2">
        <v>50.6</v>
      </c>
      <c r="BF525" s="8" t="str">
        <f t="shared" si="133"/>
        <v>+</v>
      </c>
      <c r="BG525" s="2">
        <v>52</v>
      </c>
      <c r="BH525" s="8" t="str">
        <f t="shared" si="129"/>
        <v>+</v>
      </c>
      <c r="BI525" s="2">
        <v>52.4</v>
      </c>
      <c r="BJ525" s="8" t="str">
        <f t="shared" si="130"/>
        <v>-</v>
      </c>
      <c r="BK525" s="2">
        <v>49.8</v>
      </c>
      <c r="BL525" s="8" t="str">
        <f t="shared" si="131"/>
        <v>+</v>
      </c>
    </row>
    <row r="526" spans="1:64">
      <c r="A526" s="1">
        <v>34213</v>
      </c>
      <c r="B526">
        <v>50.7</v>
      </c>
      <c r="C526">
        <v>55.3</v>
      </c>
      <c r="D526">
        <v>41.9</v>
      </c>
      <c r="E526">
        <v>53.9</v>
      </c>
      <c r="F526">
        <v>51.8</v>
      </c>
      <c r="G526">
        <v>44.4</v>
      </c>
      <c r="I526">
        <v>52.3</v>
      </c>
      <c r="J526">
        <v>51</v>
      </c>
      <c r="K526">
        <v>52.6</v>
      </c>
      <c r="L526">
        <v>49.4</v>
      </c>
      <c r="W526" s="1">
        <v>34213</v>
      </c>
      <c r="X526">
        <v>458.92999300000002</v>
      </c>
      <c r="Y526" s="4">
        <f t="shared" si="132"/>
        <v>-9.9879304080935441E-3</v>
      </c>
      <c r="Z526" s="4">
        <f t="shared" si="120"/>
        <v>9.844424648475586E-2</v>
      </c>
      <c r="AA526">
        <v>50.7</v>
      </c>
      <c r="AB526">
        <f t="shared" si="121"/>
        <v>53.4</v>
      </c>
      <c r="AP526" s="3">
        <v>34182</v>
      </c>
      <c r="AQ526" s="2">
        <v>50.2</v>
      </c>
      <c r="AR526" s="2" t="str">
        <f t="shared" si="122"/>
        <v>+</v>
      </c>
      <c r="AS526" s="2">
        <v>53.8</v>
      </c>
      <c r="AT526" s="8" t="str">
        <f t="shared" si="123"/>
        <v>+</v>
      </c>
      <c r="AU526" s="2">
        <v>52.7</v>
      </c>
      <c r="AV526" s="8" t="str">
        <f t="shared" si="124"/>
        <v>-</v>
      </c>
      <c r="AW526" s="2">
        <v>43.6</v>
      </c>
      <c r="AX526" s="8" t="str">
        <f t="shared" si="125"/>
        <v>+</v>
      </c>
      <c r="AY526" s="2">
        <v>51</v>
      </c>
      <c r="AZ526" s="8" t="str">
        <f t="shared" si="126"/>
        <v>+</v>
      </c>
      <c r="BA526" s="2">
        <v>45.5</v>
      </c>
      <c r="BB526" s="8" t="str">
        <f t="shared" si="127"/>
        <v>-</v>
      </c>
      <c r="BC526" s="2"/>
      <c r="BD526" s="8" t="str">
        <f t="shared" si="128"/>
        <v>+</v>
      </c>
      <c r="BE526" s="2">
        <v>51.4</v>
      </c>
      <c r="BF526" s="8" t="str">
        <f t="shared" si="133"/>
        <v>+</v>
      </c>
      <c r="BG526" s="2">
        <v>45</v>
      </c>
      <c r="BH526" s="8" t="str">
        <f t="shared" si="129"/>
        <v>-</v>
      </c>
      <c r="BI526" s="2">
        <v>50.1</v>
      </c>
      <c r="BJ526" s="8" t="str">
        <f t="shared" si="130"/>
        <v>-</v>
      </c>
      <c r="BK526" s="2">
        <v>48.7</v>
      </c>
      <c r="BL526" s="8" t="str">
        <f t="shared" si="131"/>
        <v>-</v>
      </c>
    </row>
    <row r="527" spans="1:64">
      <c r="A527" s="1">
        <v>34243</v>
      </c>
      <c r="B527">
        <v>50.8</v>
      </c>
      <c r="C527">
        <v>52.6</v>
      </c>
      <c r="D527">
        <v>44.5</v>
      </c>
      <c r="E527">
        <v>55.2</v>
      </c>
      <c r="F527">
        <v>51.3</v>
      </c>
      <c r="G527">
        <v>46.2</v>
      </c>
      <c r="I527">
        <v>49</v>
      </c>
      <c r="J527">
        <v>49</v>
      </c>
      <c r="K527">
        <v>51.7</v>
      </c>
      <c r="L527">
        <v>49.9</v>
      </c>
      <c r="W527" s="1">
        <v>34243</v>
      </c>
      <c r="X527">
        <v>467.82998700000002</v>
      </c>
      <c r="Y527" s="4">
        <f t="shared" si="132"/>
        <v>1.9392922963742735E-2</v>
      </c>
      <c r="Z527" s="4">
        <f t="shared" ref="Z527:Z590" si="134">(X527-X515)/X515</f>
        <v>0.11739274582437473</v>
      </c>
      <c r="AA527">
        <v>50.8</v>
      </c>
      <c r="AB527">
        <f t="shared" ref="AB527:AB590" si="135">AA515</f>
        <v>49.7</v>
      </c>
      <c r="AP527" s="3">
        <v>34213</v>
      </c>
      <c r="AQ527" s="2">
        <v>50.7</v>
      </c>
      <c r="AR527" s="2" t="str">
        <f t="shared" si="122"/>
        <v>+</v>
      </c>
      <c r="AS527" s="2">
        <v>55.3</v>
      </c>
      <c r="AT527" s="8" t="str">
        <f t="shared" si="123"/>
        <v>+</v>
      </c>
      <c r="AU527" s="2">
        <v>53.9</v>
      </c>
      <c r="AV527" s="8" t="str">
        <f t="shared" si="124"/>
        <v>+</v>
      </c>
      <c r="AW527" s="2">
        <v>41.9</v>
      </c>
      <c r="AX527" s="8" t="str">
        <f t="shared" si="125"/>
        <v>-</v>
      </c>
      <c r="AY527" s="2">
        <v>51.8</v>
      </c>
      <c r="AZ527" s="8" t="str">
        <f t="shared" si="126"/>
        <v>+</v>
      </c>
      <c r="BA527" s="2">
        <v>44.4</v>
      </c>
      <c r="BB527" s="8" t="str">
        <f t="shared" si="127"/>
        <v>-</v>
      </c>
      <c r="BC527" s="2"/>
      <c r="BD527" s="8" t="str">
        <f t="shared" si="128"/>
        <v>+</v>
      </c>
      <c r="BE527" s="2">
        <v>52.3</v>
      </c>
      <c r="BF527" s="8" t="str">
        <f t="shared" si="133"/>
        <v>+</v>
      </c>
      <c r="BG527" s="2">
        <v>51</v>
      </c>
      <c r="BH527" s="8" t="str">
        <f t="shared" si="129"/>
        <v>+</v>
      </c>
      <c r="BI527" s="2">
        <v>52.6</v>
      </c>
      <c r="BJ527" s="8" t="str">
        <f t="shared" si="130"/>
        <v>+</v>
      </c>
      <c r="BK527" s="2">
        <v>49.4</v>
      </c>
      <c r="BL527" s="8" t="str">
        <f t="shared" si="131"/>
        <v>+</v>
      </c>
    </row>
    <row r="528" spans="1:64">
      <c r="A528" s="1">
        <v>34274</v>
      </c>
      <c r="B528">
        <v>53.4</v>
      </c>
      <c r="C528">
        <v>58.9</v>
      </c>
      <c r="D528">
        <v>46</v>
      </c>
      <c r="E528">
        <v>56.1</v>
      </c>
      <c r="F528">
        <v>50.7</v>
      </c>
      <c r="G528">
        <v>48.6</v>
      </c>
      <c r="I528">
        <v>50.9</v>
      </c>
      <c r="J528">
        <v>55.5</v>
      </c>
      <c r="K528">
        <v>54.1</v>
      </c>
      <c r="L528">
        <v>49.4</v>
      </c>
      <c r="W528" s="1">
        <v>34274</v>
      </c>
      <c r="X528">
        <v>461.790009</v>
      </c>
      <c r="Y528" s="4">
        <f t="shared" si="132"/>
        <v>-1.291062601337699E-2</v>
      </c>
      <c r="Z528" s="4">
        <f t="shared" si="134"/>
        <v>7.056914936034564E-2</v>
      </c>
      <c r="AA528">
        <v>53.4</v>
      </c>
      <c r="AB528">
        <f t="shared" si="135"/>
        <v>50.3</v>
      </c>
      <c r="AP528" s="3">
        <v>34243</v>
      </c>
      <c r="AQ528" s="2">
        <v>50.8</v>
      </c>
      <c r="AR528" s="2" t="str">
        <f t="shared" si="122"/>
        <v>+</v>
      </c>
      <c r="AS528" s="2">
        <v>52.6</v>
      </c>
      <c r="AT528" s="8" t="str">
        <f t="shared" si="123"/>
        <v>-</v>
      </c>
      <c r="AU528" s="2">
        <v>55.2</v>
      </c>
      <c r="AV528" s="8" t="str">
        <f t="shared" si="124"/>
        <v>+</v>
      </c>
      <c r="AW528" s="2">
        <v>44.5</v>
      </c>
      <c r="AX528" s="8" t="str">
        <f t="shared" si="125"/>
        <v>+</v>
      </c>
      <c r="AY528" s="2">
        <v>51.3</v>
      </c>
      <c r="AZ528" s="8" t="str">
        <f t="shared" si="126"/>
        <v>-</v>
      </c>
      <c r="BA528" s="2">
        <v>46.2</v>
      </c>
      <c r="BB528" s="8" t="str">
        <f t="shared" si="127"/>
        <v>+</v>
      </c>
      <c r="BC528" s="2"/>
      <c r="BD528" s="8" t="str">
        <f t="shared" si="128"/>
        <v>+</v>
      </c>
      <c r="BE528" s="2">
        <v>49</v>
      </c>
      <c r="BF528" s="8" t="str">
        <f t="shared" si="133"/>
        <v>-</v>
      </c>
      <c r="BG528" s="2">
        <v>49</v>
      </c>
      <c r="BH528" s="8" t="str">
        <f t="shared" si="129"/>
        <v>-</v>
      </c>
      <c r="BI528" s="2">
        <v>51.7</v>
      </c>
      <c r="BJ528" s="8" t="str">
        <f t="shared" si="130"/>
        <v>-</v>
      </c>
      <c r="BK528" s="2">
        <v>49.9</v>
      </c>
      <c r="BL528" s="8" t="str">
        <f t="shared" si="131"/>
        <v>+</v>
      </c>
    </row>
    <row r="529" spans="1:64">
      <c r="A529" s="1">
        <v>34304</v>
      </c>
      <c r="B529">
        <v>53.8</v>
      </c>
      <c r="C529">
        <v>60.4</v>
      </c>
      <c r="D529">
        <v>45.5</v>
      </c>
      <c r="E529">
        <v>57.5</v>
      </c>
      <c r="F529">
        <v>50.9</v>
      </c>
      <c r="G529">
        <v>45.5</v>
      </c>
      <c r="I529">
        <v>52.7</v>
      </c>
      <c r="J529">
        <v>56.5</v>
      </c>
      <c r="K529">
        <v>55</v>
      </c>
      <c r="L529">
        <v>51.5</v>
      </c>
      <c r="W529" s="1">
        <v>34304</v>
      </c>
      <c r="X529">
        <v>466.45001200000002</v>
      </c>
      <c r="Y529" s="4">
        <f t="shared" si="132"/>
        <v>1.009117328045098E-2</v>
      </c>
      <c r="Z529" s="4">
        <f t="shared" si="134"/>
        <v>7.0551563275949788E-2</v>
      </c>
      <c r="AA529">
        <v>53.8</v>
      </c>
      <c r="AB529">
        <f t="shared" si="135"/>
        <v>53.6</v>
      </c>
      <c r="AP529" s="3">
        <v>34274</v>
      </c>
      <c r="AQ529" s="2">
        <v>53.4</v>
      </c>
      <c r="AR529" s="2" t="str">
        <f t="shared" si="122"/>
        <v>+</v>
      </c>
      <c r="AS529" s="2">
        <v>58.9</v>
      </c>
      <c r="AT529" s="8" t="str">
        <f t="shared" si="123"/>
        <v>+</v>
      </c>
      <c r="AU529" s="2">
        <v>56.1</v>
      </c>
      <c r="AV529" s="8" t="str">
        <f t="shared" si="124"/>
        <v>+</v>
      </c>
      <c r="AW529" s="2">
        <v>46</v>
      </c>
      <c r="AX529" s="8" t="str">
        <f t="shared" si="125"/>
        <v>+</v>
      </c>
      <c r="AY529" s="2">
        <v>50.7</v>
      </c>
      <c r="AZ529" s="8" t="str">
        <f t="shared" si="126"/>
        <v>-</v>
      </c>
      <c r="BA529" s="2">
        <v>48.6</v>
      </c>
      <c r="BB529" s="8" t="str">
        <f t="shared" si="127"/>
        <v>+</v>
      </c>
      <c r="BC529" s="2"/>
      <c r="BD529" s="8" t="str">
        <f t="shared" si="128"/>
        <v>+</v>
      </c>
      <c r="BE529" s="2">
        <v>50.9</v>
      </c>
      <c r="BF529" s="8" t="str">
        <f t="shared" si="133"/>
        <v>+</v>
      </c>
      <c r="BG529" s="2">
        <v>55.5</v>
      </c>
      <c r="BH529" s="8" t="str">
        <f t="shared" si="129"/>
        <v>+</v>
      </c>
      <c r="BI529" s="2">
        <v>54.1</v>
      </c>
      <c r="BJ529" s="8" t="str">
        <f t="shared" si="130"/>
        <v>+</v>
      </c>
      <c r="BK529" s="2">
        <v>49.4</v>
      </c>
      <c r="BL529" s="8" t="str">
        <f t="shared" si="131"/>
        <v>-</v>
      </c>
    </row>
    <row r="530" spans="1:64">
      <c r="A530" s="1">
        <v>34335</v>
      </c>
      <c r="B530">
        <v>55.6</v>
      </c>
      <c r="C530">
        <v>62.4</v>
      </c>
      <c r="D530">
        <v>47.1</v>
      </c>
      <c r="E530">
        <v>61.7</v>
      </c>
      <c r="F530">
        <v>51.5</v>
      </c>
      <c r="G530">
        <v>43.2</v>
      </c>
      <c r="I530">
        <v>53.1</v>
      </c>
      <c r="J530">
        <v>54.5</v>
      </c>
      <c r="K530">
        <v>53.8</v>
      </c>
      <c r="L530">
        <v>50.3</v>
      </c>
      <c r="W530" s="1">
        <v>34335</v>
      </c>
      <c r="X530">
        <v>481.60998499999999</v>
      </c>
      <c r="Y530" s="4">
        <f t="shared" si="132"/>
        <v>3.2500745224549335E-2</v>
      </c>
      <c r="Z530" s="4">
        <f t="shared" si="134"/>
        <v>9.7611527639390017E-2</v>
      </c>
      <c r="AA530">
        <v>55.6</v>
      </c>
      <c r="AB530">
        <f t="shared" si="135"/>
        <v>54.2</v>
      </c>
      <c r="AP530" s="3">
        <v>34304</v>
      </c>
      <c r="AQ530" s="2">
        <v>53.8</v>
      </c>
      <c r="AR530" s="2" t="str">
        <f t="shared" si="122"/>
        <v>+</v>
      </c>
      <c r="AS530" s="2">
        <v>60.4</v>
      </c>
      <c r="AT530" s="8" t="str">
        <f t="shared" si="123"/>
        <v>+</v>
      </c>
      <c r="AU530" s="2">
        <v>57.5</v>
      </c>
      <c r="AV530" s="8" t="str">
        <f t="shared" si="124"/>
        <v>+</v>
      </c>
      <c r="AW530" s="2">
        <v>45.5</v>
      </c>
      <c r="AX530" s="8" t="str">
        <f t="shared" si="125"/>
        <v>-</v>
      </c>
      <c r="AY530" s="2">
        <v>50.9</v>
      </c>
      <c r="AZ530" s="8" t="str">
        <f t="shared" si="126"/>
        <v>+</v>
      </c>
      <c r="BA530" s="2">
        <v>45.5</v>
      </c>
      <c r="BB530" s="8" t="str">
        <f t="shared" si="127"/>
        <v>-</v>
      </c>
      <c r="BC530" s="2"/>
      <c r="BD530" s="8" t="str">
        <f t="shared" si="128"/>
        <v>+</v>
      </c>
      <c r="BE530" s="2">
        <v>52.7</v>
      </c>
      <c r="BF530" s="8" t="str">
        <f t="shared" si="133"/>
        <v>+</v>
      </c>
      <c r="BG530" s="2">
        <v>56.5</v>
      </c>
      <c r="BH530" s="8" t="str">
        <f t="shared" si="129"/>
        <v>+</v>
      </c>
      <c r="BI530" s="2">
        <v>55</v>
      </c>
      <c r="BJ530" s="8" t="str">
        <f t="shared" si="130"/>
        <v>+</v>
      </c>
      <c r="BK530" s="2">
        <v>51.5</v>
      </c>
      <c r="BL530" s="8" t="str">
        <f t="shared" si="131"/>
        <v>+</v>
      </c>
    </row>
    <row r="531" spans="1:64">
      <c r="A531" s="1">
        <v>34366</v>
      </c>
      <c r="B531">
        <v>56</v>
      </c>
      <c r="C531">
        <v>63.5</v>
      </c>
      <c r="D531">
        <v>47.5</v>
      </c>
      <c r="E531">
        <v>59.7</v>
      </c>
      <c r="F531">
        <v>54.4</v>
      </c>
      <c r="G531">
        <v>43.9</v>
      </c>
      <c r="I531">
        <v>58.9</v>
      </c>
      <c r="J531">
        <v>58</v>
      </c>
      <c r="K531">
        <v>55.3</v>
      </c>
      <c r="L531">
        <v>52.4</v>
      </c>
      <c r="W531" s="1">
        <v>34366</v>
      </c>
      <c r="X531">
        <v>467.14001500000001</v>
      </c>
      <c r="Y531" s="4">
        <f t="shared" si="132"/>
        <v>-3.0044995848663707E-2</v>
      </c>
      <c r="Z531" s="4">
        <f t="shared" si="134"/>
        <v>5.3588366033781844E-2</v>
      </c>
      <c r="AA531">
        <v>56</v>
      </c>
      <c r="AB531">
        <f t="shared" si="135"/>
        <v>55.8</v>
      </c>
      <c r="AP531" s="3">
        <v>34335</v>
      </c>
      <c r="AQ531" s="2">
        <v>55.6</v>
      </c>
      <c r="AR531" s="2" t="str">
        <f t="shared" si="122"/>
        <v>+</v>
      </c>
      <c r="AS531" s="2">
        <v>62.4</v>
      </c>
      <c r="AT531" s="8" t="str">
        <f t="shared" si="123"/>
        <v>+</v>
      </c>
      <c r="AU531" s="2">
        <v>61.7</v>
      </c>
      <c r="AV531" s="8" t="str">
        <f t="shared" si="124"/>
        <v>+</v>
      </c>
      <c r="AW531" s="2">
        <v>47.1</v>
      </c>
      <c r="AX531" s="8" t="str">
        <f t="shared" si="125"/>
        <v>+</v>
      </c>
      <c r="AY531" s="2">
        <v>51.5</v>
      </c>
      <c r="AZ531" s="8" t="str">
        <f t="shared" si="126"/>
        <v>+</v>
      </c>
      <c r="BA531" s="2">
        <v>43.2</v>
      </c>
      <c r="BB531" s="8" t="str">
        <f t="shared" si="127"/>
        <v>-</v>
      </c>
      <c r="BC531" s="2"/>
      <c r="BD531" s="8" t="str">
        <f t="shared" si="128"/>
        <v>+</v>
      </c>
      <c r="BE531" s="2">
        <v>53.1</v>
      </c>
      <c r="BF531" s="8" t="str">
        <f t="shared" si="133"/>
        <v>+</v>
      </c>
      <c r="BG531" s="2">
        <v>54.5</v>
      </c>
      <c r="BH531" s="8" t="str">
        <f t="shared" si="129"/>
        <v>-</v>
      </c>
      <c r="BI531" s="2">
        <v>53.8</v>
      </c>
      <c r="BJ531" s="8" t="str">
        <f t="shared" si="130"/>
        <v>-</v>
      </c>
      <c r="BK531" s="2">
        <v>50.3</v>
      </c>
      <c r="BL531" s="8" t="str">
        <f t="shared" si="131"/>
        <v>-</v>
      </c>
    </row>
    <row r="532" spans="1:64">
      <c r="A532" s="1">
        <v>34394</v>
      </c>
      <c r="B532">
        <v>56.5</v>
      </c>
      <c r="C532">
        <v>62.2</v>
      </c>
      <c r="D532">
        <v>48.7</v>
      </c>
      <c r="E532">
        <v>60.2</v>
      </c>
      <c r="F532">
        <v>57</v>
      </c>
      <c r="G532">
        <v>44.6</v>
      </c>
      <c r="I532">
        <v>63</v>
      </c>
      <c r="J532">
        <v>56.5</v>
      </c>
      <c r="K532">
        <v>58.3</v>
      </c>
      <c r="L532">
        <v>51.9</v>
      </c>
      <c r="W532" s="1">
        <v>34394</v>
      </c>
      <c r="X532">
        <v>445.76998900000001</v>
      </c>
      <c r="Y532" s="4">
        <f t="shared" si="132"/>
        <v>-4.5746511353774728E-2</v>
      </c>
      <c r="Z532" s="4">
        <f t="shared" si="134"/>
        <v>-1.3062686984269585E-2</v>
      </c>
      <c r="AA532">
        <v>56.5</v>
      </c>
      <c r="AB532">
        <f t="shared" si="135"/>
        <v>55.2</v>
      </c>
      <c r="AP532" s="3">
        <v>34366</v>
      </c>
      <c r="AQ532" s="2">
        <v>56</v>
      </c>
      <c r="AR532" s="2" t="str">
        <f t="shared" si="122"/>
        <v>+</v>
      </c>
      <c r="AS532" s="2">
        <v>63.5</v>
      </c>
      <c r="AT532" s="8" t="str">
        <f t="shared" si="123"/>
        <v>+</v>
      </c>
      <c r="AU532" s="2">
        <v>59.7</v>
      </c>
      <c r="AV532" s="8" t="str">
        <f t="shared" si="124"/>
        <v>-</v>
      </c>
      <c r="AW532" s="2">
        <v>47.5</v>
      </c>
      <c r="AX532" s="8" t="str">
        <f t="shared" si="125"/>
        <v>+</v>
      </c>
      <c r="AY532" s="2">
        <v>54.4</v>
      </c>
      <c r="AZ532" s="8" t="str">
        <f t="shared" si="126"/>
        <v>+</v>
      </c>
      <c r="BA532" s="2">
        <v>43.9</v>
      </c>
      <c r="BB532" s="8" t="str">
        <f t="shared" si="127"/>
        <v>+</v>
      </c>
      <c r="BC532" s="2"/>
      <c r="BD532" s="8" t="str">
        <f t="shared" si="128"/>
        <v>+</v>
      </c>
      <c r="BE532" s="2">
        <v>58.9</v>
      </c>
      <c r="BF532" s="8" t="str">
        <f t="shared" si="133"/>
        <v>+</v>
      </c>
      <c r="BG532" s="2">
        <v>58</v>
      </c>
      <c r="BH532" s="8" t="str">
        <f t="shared" si="129"/>
        <v>+</v>
      </c>
      <c r="BI532" s="2">
        <v>55.3</v>
      </c>
      <c r="BJ532" s="8" t="str">
        <f t="shared" si="130"/>
        <v>+</v>
      </c>
      <c r="BK532" s="2">
        <v>52.4</v>
      </c>
      <c r="BL532" s="8" t="str">
        <f t="shared" si="131"/>
        <v>+</v>
      </c>
    </row>
    <row r="533" spans="1:64">
      <c r="A533" s="1">
        <v>34425</v>
      </c>
      <c r="B533">
        <v>56.9</v>
      </c>
      <c r="C533">
        <v>62.8</v>
      </c>
      <c r="D533">
        <v>48.2</v>
      </c>
      <c r="E533">
        <v>63.4</v>
      </c>
      <c r="F533">
        <v>55.4</v>
      </c>
      <c r="G533">
        <v>43</v>
      </c>
      <c r="I533">
        <v>62.9</v>
      </c>
      <c r="J533">
        <v>56.5</v>
      </c>
      <c r="K533">
        <v>55.2</v>
      </c>
      <c r="L533">
        <v>51.8</v>
      </c>
      <c r="W533" s="1">
        <v>34425</v>
      </c>
      <c r="X533">
        <v>450.91000400000001</v>
      </c>
      <c r="Y533" s="4">
        <f t="shared" si="132"/>
        <v>1.1530643889981578E-2</v>
      </c>
      <c r="Z533" s="4">
        <f t="shared" si="134"/>
        <v>2.4353124676375595E-2</v>
      </c>
      <c r="AA533">
        <v>56.9</v>
      </c>
      <c r="AB533">
        <f t="shared" si="135"/>
        <v>53.5</v>
      </c>
      <c r="AP533" s="3">
        <v>34394</v>
      </c>
      <c r="AQ533" s="2">
        <v>56.5</v>
      </c>
      <c r="AR533" s="2" t="str">
        <f t="shared" si="122"/>
        <v>+</v>
      </c>
      <c r="AS533" s="2">
        <v>62.2</v>
      </c>
      <c r="AT533" s="8" t="str">
        <f t="shared" si="123"/>
        <v>-</v>
      </c>
      <c r="AU533" s="2">
        <v>60.2</v>
      </c>
      <c r="AV533" s="8" t="str">
        <f t="shared" si="124"/>
        <v>+</v>
      </c>
      <c r="AW533" s="2">
        <v>48.7</v>
      </c>
      <c r="AX533" s="8" t="str">
        <f t="shared" si="125"/>
        <v>+</v>
      </c>
      <c r="AY533" s="2">
        <v>57</v>
      </c>
      <c r="AZ533" s="8" t="str">
        <f t="shared" si="126"/>
        <v>+</v>
      </c>
      <c r="BA533" s="2">
        <v>44.6</v>
      </c>
      <c r="BB533" s="8" t="str">
        <f t="shared" si="127"/>
        <v>+</v>
      </c>
      <c r="BC533" s="2"/>
      <c r="BD533" s="8" t="str">
        <f t="shared" si="128"/>
        <v>+</v>
      </c>
      <c r="BE533" s="2">
        <v>63</v>
      </c>
      <c r="BF533" s="8" t="str">
        <f t="shared" si="133"/>
        <v>+</v>
      </c>
      <c r="BG533" s="2">
        <v>56.5</v>
      </c>
      <c r="BH533" s="8" t="str">
        <f t="shared" si="129"/>
        <v>-</v>
      </c>
      <c r="BI533" s="2">
        <v>58.3</v>
      </c>
      <c r="BJ533" s="8" t="str">
        <f t="shared" si="130"/>
        <v>+</v>
      </c>
      <c r="BK533" s="2">
        <v>51.9</v>
      </c>
      <c r="BL533" s="8" t="str">
        <f t="shared" si="131"/>
        <v>-</v>
      </c>
    </row>
    <row r="534" spans="1:64">
      <c r="A534" s="1">
        <v>34455</v>
      </c>
      <c r="B534">
        <v>57.4</v>
      </c>
      <c r="C534">
        <v>62.7</v>
      </c>
      <c r="D534">
        <v>50.1</v>
      </c>
      <c r="E534">
        <v>61.4</v>
      </c>
      <c r="F534">
        <v>57.2</v>
      </c>
      <c r="G534">
        <v>45.9</v>
      </c>
      <c r="I534">
        <v>63.5</v>
      </c>
      <c r="J534">
        <v>61.5</v>
      </c>
      <c r="K534">
        <v>56.9</v>
      </c>
      <c r="L534">
        <v>51.8</v>
      </c>
      <c r="W534" s="1">
        <v>34455</v>
      </c>
      <c r="X534">
        <v>456.5</v>
      </c>
      <c r="Y534" s="4">
        <f t="shared" si="132"/>
        <v>1.2397143444171589E-2</v>
      </c>
      <c r="Z534" s="4">
        <f t="shared" si="134"/>
        <v>1.401629972226706E-2</v>
      </c>
      <c r="AA534">
        <v>57.4</v>
      </c>
      <c r="AB534">
        <f t="shared" si="135"/>
        <v>50.2</v>
      </c>
      <c r="AP534" s="3">
        <v>34425</v>
      </c>
      <c r="AQ534" s="2">
        <v>56.9</v>
      </c>
      <c r="AR534" s="2" t="str">
        <f t="shared" si="122"/>
        <v>+</v>
      </c>
      <c r="AS534" s="2">
        <v>62.8</v>
      </c>
      <c r="AT534" s="8" t="str">
        <f t="shared" si="123"/>
        <v>+</v>
      </c>
      <c r="AU534" s="2">
        <v>63.4</v>
      </c>
      <c r="AV534" s="8" t="str">
        <f t="shared" si="124"/>
        <v>+</v>
      </c>
      <c r="AW534" s="2">
        <v>48.2</v>
      </c>
      <c r="AX534" s="8" t="str">
        <f t="shared" si="125"/>
        <v>-</v>
      </c>
      <c r="AY534" s="2">
        <v>55.4</v>
      </c>
      <c r="AZ534" s="8" t="str">
        <f t="shared" si="126"/>
        <v>-</v>
      </c>
      <c r="BA534" s="2">
        <v>43</v>
      </c>
      <c r="BB534" s="8" t="str">
        <f t="shared" si="127"/>
        <v>-</v>
      </c>
      <c r="BC534" s="2"/>
      <c r="BD534" s="8" t="str">
        <f t="shared" si="128"/>
        <v>+</v>
      </c>
      <c r="BE534" s="2">
        <v>62.9</v>
      </c>
      <c r="BF534" s="8" t="str">
        <f t="shared" si="133"/>
        <v>-</v>
      </c>
      <c r="BG534" s="2">
        <v>56.5</v>
      </c>
      <c r="BH534" s="8" t="str">
        <f t="shared" si="129"/>
        <v>+</v>
      </c>
      <c r="BI534" s="2">
        <v>55.2</v>
      </c>
      <c r="BJ534" s="8" t="str">
        <f t="shared" si="130"/>
        <v>-</v>
      </c>
      <c r="BK534" s="2">
        <v>51.8</v>
      </c>
      <c r="BL534" s="8" t="str">
        <f t="shared" si="131"/>
        <v>-</v>
      </c>
    </row>
    <row r="535" spans="1:64">
      <c r="A535" s="1">
        <v>34486</v>
      </c>
      <c r="B535">
        <v>58.2</v>
      </c>
      <c r="C535">
        <v>61.6</v>
      </c>
      <c r="D535">
        <v>51.4</v>
      </c>
      <c r="E535">
        <v>62.7</v>
      </c>
      <c r="F535">
        <v>60.2</v>
      </c>
      <c r="G535">
        <v>47.6</v>
      </c>
      <c r="I535">
        <v>67.8</v>
      </c>
      <c r="J535">
        <v>61.5</v>
      </c>
      <c r="K535">
        <v>54.9</v>
      </c>
      <c r="L535">
        <v>53.4</v>
      </c>
      <c r="W535" s="1">
        <v>34486</v>
      </c>
      <c r="X535">
        <v>444.26998900000001</v>
      </c>
      <c r="Y535" s="4">
        <f t="shared" si="132"/>
        <v>-2.679082365826942E-2</v>
      </c>
      <c r="Z535" s="4">
        <f t="shared" si="134"/>
        <v>-1.3894768414744267E-2</v>
      </c>
      <c r="AA535">
        <v>58.2</v>
      </c>
      <c r="AB535">
        <f t="shared" si="135"/>
        <v>51.2</v>
      </c>
      <c r="AP535" s="3">
        <v>34455</v>
      </c>
      <c r="AQ535" s="2">
        <v>57.4</v>
      </c>
      <c r="AR535" s="2" t="str">
        <f t="shared" si="122"/>
        <v>+</v>
      </c>
      <c r="AS535" s="2">
        <v>62.7</v>
      </c>
      <c r="AT535" s="8" t="str">
        <f t="shared" si="123"/>
        <v>-</v>
      </c>
      <c r="AU535" s="2">
        <v>61.4</v>
      </c>
      <c r="AV535" s="8" t="str">
        <f t="shared" si="124"/>
        <v>-</v>
      </c>
      <c r="AW535" s="2">
        <v>50.1</v>
      </c>
      <c r="AX535" s="8" t="str">
        <f t="shared" si="125"/>
        <v>+</v>
      </c>
      <c r="AY535" s="2">
        <v>57.2</v>
      </c>
      <c r="AZ535" s="8" t="str">
        <f t="shared" si="126"/>
        <v>+</v>
      </c>
      <c r="BA535" s="2">
        <v>45.9</v>
      </c>
      <c r="BB535" s="8" t="str">
        <f t="shared" si="127"/>
        <v>+</v>
      </c>
      <c r="BC535" s="2"/>
      <c r="BD535" s="8" t="str">
        <f t="shared" si="128"/>
        <v>+</v>
      </c>
      <c r="BE535" s="2">
        <v>63.5</v>
      </c>
      <c r="BF535" s="8" t="str">
        <f t="shared" si="133"/>
        <v>+</v>
      </c>
      <c r="BG535" s="2">
        <v>61.5</v>
      </c>
      <c r="BH535" s="8" t="str">
        <f t="shared" si="129"/>
        <v>+</v>
      </c>
      <c r="BI535" s="2">
        <v>56.9</v>
      </c>
      <c r="BJ535" s="8" t="str">
        <f t="shared" si="130"/>
        <v>+</v>
      </c>
      <c r="BK535" s="2">
        <v>51.8</v>
      </c>
      <c r="BL535" s="8" t="str">
        <f t="shared" si="131"/>
        <v>+</v>
      </c>
    </row>
    <row r="536" spans="1:64">
      <c r="A536" s="1">
        <v>34516</v>
      </c>
      <c r="B536">
        <v>58.8</v>
      </c>
      <c r="C536">
        <v>65</v>
      </c>
      <c r="D536">
        <v>49.5</v>
      </c>
      <c r="E536">
        <v>62</v>
      </c>
      <c r="F536">
        <v>60.3</v>
      </c>
      <c r="G536">
        <v>48.3</v>
      </c>
      <c r="I536">
        <v>69.7</v>
      </c>
      <c r="J536">
        <v>60</v>
      </c>
      <c r="K536">
        <v>57.8</v>
      </c>
      <c r="L536">
        <v>55.2</v>
      </c>
      <c r="W536" s="1">
        <v>34516</v>
      </c>
      <c r="X536">
        <v>458.26001000000002</v>
      </c>
      <c r="Y536" s="4">
        <f t="shared" si="132"/>
        <v>3.1489907818193885E-2</v>
      </c>
      <c r="Z536" s="4">
        <f t="shared" si="134"/>
        <v>2.2605058547686491E-2</v>
      </c>
      <c r="AA536">
        <v>58.8</v>
      </c>
      <c r="AB536">
        <f t="shared" si="135"/>
        <v>49.6</v>
      </c>
      <c r="AP536" s="3">
        <v>34486</v>
      </c>
      <c r="AQ536" s="2">
        <v>58.2</v>
      </c>
      <c r="AR536" s="2" t="str">
        <f t="shared" si="122"/>
        <v>+</v>
      </c>
      <c r="AS536" s="2">
        <v>61.6</v>
      </c>
      <c r="AT536" s="8" t="str">
        <f t="shared" si="123"/>
        <v>-</v>
      </c>
      <c r="AU536" s="2">
        <v>62.7</v>
      </c>
      <c r="AV536" s="8" t="str">
        <f t="shared" si="124"/>
        <v>+</v>
      </c>
      <c r="AW536" s="2">
        <v>51.4</v>
      </c>
      <c r="AX536" s="8" t="str">
        <f t="shared" si="125"/>
        <v>+</v>
      </c>
      <c r="AY536" s="2">
        <v>60.2</v>
      </c>
      <c r="AZ536" s="8" t="str">
        <f t="shared" si="126"/>
        <v>+</v>
      </c>
      <c r="BA536" s="2">
        <v>47.6</v>
      </c>
      <c r="BB536" s="8" t="str">
        <f t="shared" si="127"/>
        <v>+</v>
      </c>
      <c r="BC536" s="2"/>
      <c r="BD536" s="8" t="str">
        <f t="shared" si="128"/>
        <v>+</v>
      </c>
      <c r="BE536" s="2">
        <v>67.8</v>
      </c>
      <c r="BF536" s="8" t="str">
        <f t="shared" si="133"/>
        <v>+</v>
      </c>
      <c r="BG536" s="2">
        <v>61.5</v>
      </c>
      <c r="BH536" s="8" t="str">
        <f t="shared" si="129"/>
        <v>+</v>
      </c>
      <c r="BI536" s="2">
        <v>54.9</v>
      </c>
      <c r="BJ536" s="8" t="str">
        <f t="shared" si="130"/>
        <v>-</v>
      </c>
      <c r="BK536" s="2">
        <v>53.4</v>
      </c>
      <c r="BL536" s="8" t="str">
        <f t="shared" si="131"/>
        <v>+</v>
      </c>
    </row>
    <row r="537" spans="1:64">
      <c r="A537" s="1">
        <v>34547</v>
      </c>
      <c r="B537">
        <v>58.5</v>
      </c>
      <c r="C537">
        <v>64.2</v>
      </c>
      <c r="D537">
        <v>52.3</v>
      </c>
      <c r="E537">
        <v>62.3</v>
      </c>
      <c r="F537">
        <v>58.1</v>
      </c>
      <c r="G537">
        <v>45.1</v>
      </c>
      <c r="I537">
        <v>71.599999999999994</v>
      </c>
      <c r="J537">
        <v>59.5</v>
      </c>
      <c r="K537">
        <v>56.7</v>
      </c>
      <c r="L537">
        <v>51.1</v>
      </c>
      <c r="W537" s="1">
        <v>34547</v>
      </c>
      <c r="X537">
        <v>475.48998999999998</v>
      </c>
      <c r="Y537" s="4">
        <f t="shared" si="132"/>
        <v>3.7598698607805542E-2</v>
      </c>
      <c r="Z537" s="4">
        <f t="shared" si="134"/>
        <v>2.5735594208885923E-2</v>
      </c>
      <c r="AA537">
        <v>58.5</v>
      </c>
      <c r="AB537">
        <f t="shared" si="135"/>
        <v>50.2</v>
      </c>
      <c r="AP537" s="3">
        <v>34516</v>
      </c>
      <c r="AQ537" s="2">
        <v>58.8</v>
      </c>
      <c r="AR537" s="2" t="str">
        <f t="shared" si="122"/>
        <v>+</v>
      </c>
      <c r="AS537" s="2">
        <v>65</v>
      </c>
      <c r="AT537" s="8" t="str">
        <f t="shared" si="123"/>
        <v>+</v>
      </c>
      <c r="AU537" s="2">
        <v>62</v>
      </c>
      <c r="AV537" s="8" t="str">
        <f t="shared" si="124"/>
        <v>-</v>
      </c>
      <c r="AW537" s="2">
        <v>49.5</v>
      </c>
      <c r="AX537" s="8" t="str">
        <f t="shared" si="125"/>
        <v>-</v>
      </c>
      <c r="AY537" s="2">
        <v>60.3</v>
      </c>
      <c r="AZ537" s="8" t="str">
        <f t="shared" si="126"/>
        <v>+</v>
      </c>
      <c r="BA537" s="2">
        <v>48.3</v>
      </c>
      <c r="BB537" s="8" t="str">
        <f t="shared" si="127"/>
        <v>+</v>
      </c>
      <c r="BC537" s="2"/>
      <c r="BD537" s="8" t="str">
        <f t="shared" si="128"/>
        <v>+</v>
      </c>
      <c r="BE537" s="2">
        <v>69.7</v>
      </c>
      <c r="BF537" s="8" t="str">
        <f t="shared" si="133"/>
        <v>+</v>
      </c>
      <c r="BG537" s="2">
        <v>60</v>
      </c>
      <c r="BH537" s="8" t="str">
        <f t="shared" si="129"/>
        <v>-</v>
      </c>
      <c r="BI537" s="2">
        <v>57.8</v>
      </c>
      <c r="BJ537" s="8" t="str">
        <f t="shared" si="130"/>
        <v>+</v>
      </c>
      <c r="BK537" s="2">
        <v>55.2</v>
      </c>
      <c r="BL537" s="8" t="str">
        <f t="shared" si="131"/>
        <v>+</v>
      </c>
    </row>
    <row r="538" spans="1:64">
      <c r="A538" s="1">
        <v>34578</v>
      </c>
      <c r="B538">
        <v>58</v>
      </c>
      <c r="C538">
        <v>63</v>
      </c>
      <c r="D538">
        <v>51.4</v>
      </c>
      <c r="E538">
        <v>60.2</v>
      </c>
      <c r="F538">
        <v>61.6</v>
      </c>
      <c r="G538">
        <v>44.9</v>
      </c>
      <c r="I538">
        <v>75.2</v>
      </c>
      <c r="J538">
        <v>60.5</v>
      </c>
      <c r="K538">
        <v>57.7</v>
      </c>
      <c r="L538">
        <v>51.3</v>
      </c>
      <c r="W538" s="1">
        <v>34578</v>
      </c>
      <c r="X538">
        <v>462.709991</v>
      </c>
      <c r="Y538" s="4">
        <f t="shared" si="132"/>
        <v>-2.6877535318882265E-2</v>
      </c>
      <c r="Z538" s="4">
        <f t="shared" si="134"/>
        <v>8.236546004087332E-3</v>
      </c>
      <c r="AA538">
        <v>58</v>
      </c>
      <c r="AB538">
        <f t="shared" si="135"/>
        <v>50.7</v>
      </c>
      <c r="AP538" s="3">
        <v>34547</v>
      </c>
      <c r="AQ538" s="2">
        <v>58.5</v>
      </c>
      <c r="AR538" s="2" t="str">
        <f t="shared" si="122"/>
        <v>-</v>
      </c>
      <c r="AS538" s="2">
        <v>64.2</v>
      </c>
      <c r="AT538" s="8" t="str">
        <f t="shared" si="123"/>
        <v>-</v>
      </c>
      <c r="AU538" s="2">
        <v>62.3</v>
      </c>
      <c r="AV538" s="8" t="str">
        <f t="shared" si="124"/>
        <v>+</v>
      </c>
      <c r="AW538" s="2">
        <v>52.3</v>
      </c>
      <c r="AX538" s="8" t="str">
        <f t="shared" si="125"/>
        <v>+</v>
      </c>
      <c r="AY538" s="2">
        <v>58.1</v>
      </c>
      <c r="AZ538" s="8" t="str">
        <f t="shared" si="126"/>
        <v>-</v>
      </c>
      <c r="BA538" s="2">
        <v>45.1</v>
      </c>
      <c r="BB538" s="8" t="str">
        <f t="shared" si="127"/>
        <v>-</v>
      </c>
      <c r="BC538" s="2"/>
      <c r="BD538" s="8" t="str">
        <f t="shared" si="128"/>
        <v>+</v>
      </c>
      <c r="BE538" s="2">
        <v>71.599999999999994</v>
      </c>
      <c r="BF538" s="8" t="str">
        <f t="shared" si="133"/>
        <v>+</v>
      </c>
      <c r="BG538" s="2">
        <v>59.5</v>
      </c>
      <c r="BH538" s="8" t="str">
        <f t="shared" si="129"/>
        <v>-</v>
      </c>
      <c r="BI538" s="2">
        <v>56.7</v>
      </c>
      <c r="BJ538" s="8" t="str">
        <f t="shared" si="130"/>
        <v>-</v>
      </c>
      <c r="BK538" s="2">
        <v>51.1</v>
      </c>
      <c r="BL538" s="8" t="str">
        <f t="shared" si="131"/>
        <v>-</v>
      </c>
    </row>
    <row r="539" spans="1:64">
      <c r="A539" s="1">
        <v>34608</v>
      </c>
      <c r="B539">
        <v>59</v>
      </c>
      <c r="C539">
        <v>62.7</v>
      </c>
      <c r="D539">
        <v>52.5</v>
      </c>
      <c r="E539">
        <v>62.8</v>
      </c>
      <c r="F539">
        <v>62.5</v>
      </c>
      <c r="G539">
        <v>46.1</v>
      </c>
      <c r="I539">
        <v>80.3</v>
      </c>
      <c r="J539">
        <v>60.5</v>
      </c>
      <c r="K539">
        <v>60</v>
      </c>
      <c r="L539">
        <v>53</v>
      </c>
      <c r="W539" s="1">
        <v>34608</v>
      </c>
      <c r="X539">
        <v>472.35000600000001</v>
      </c>
      <c r="Y539" s="4">
        <f t="shared" si="132"/>
        <v>2.0833816402291615E-2</v>
      </c>
      <c r="Z539" s="4">
        <f t="shared" si="134"/>
        <v>9.6616701058113031E-3</v>
      </c>
      <c r="AA539">
        <v>59</v>
      </c>
      <c r="AB539">
        <f t="shared" si="135"/>
        <v>50.8</v>
      </c>
      <c r="AP539" s="3">
        <v>34578</v>
      </c>
      <c r="AQ539" s="2">
        <v>58</v>
      </c>
      <c r="AR539" s="2" t="str">
        <f t="shared" si="122"/>
        <v>-</v>
      </c>
      <c r="AS539" s="2">
        <v>63</v>
      </c>
      <c r="AT539" s="8" t="str">
        <f t="shared" si="123"/>
        <v>-</v>
      </c>
      <c r="AU539" s="2">
        <v>60.2</v>
      </c>
      <c r="AV539" s="8" t="str">
        <f t="shared" si="124"/>
        <v>-</v>
      </c>
      <c r="AW539" s="2">
        <v>51.4</v>
      </c>
      <c r="AX539" s="8" t="str">
        <f t="shared" si="125"/>
        <v>-</v>
      </c>
      <c r="AY539" s="2">
        <v>61.6</v>
      </c>
      <c r="AZ539" s="8" t="str">
        <f t="shared" si="126"/>
        <v>+</v>
      </c>
      <c r="BA539" s="2">
        <v>44.9</v>
      </c>
      <c r="BB539" s="8" t="str">
        <f t="shared" si="127"/>
        <v>-</v>
      </c>
      <c r="BC539" s="2"/>
      <c r="BD539" s="8" t="str">
        <f t="shared" si="128"/>
        <v>+</v>
      </c>
      <c r="BE539" s="2">
        <v>75.2</v>
      </c>
      <c r="BF539" s="8" t="str">
        <f t="shared" si="133"/>
        <v>+</v>
      </c>
      <c r="BG539" s="2">
        <v>60.5</v>
      </c>
      <c r="BH539" s="8" t="str">
        <f t="shared" si="129"/>
        <v>+</v>
      </c>
      <c r="BI539" s="2">
        <v>57.7</v>
      </c>
      <c r="BJ539" s="8" t="str">
        <f t="shared" si="130"/>
        <v>+</v>
      </c>
      <c r="BK539" s="2">
        <v>51.3</v>
      </c>
      <c r="BL539" s="8" t="str">
        <f t="shared" si="131"/>
        <v>+</v>
      </c>
    </row>
    <row r="540" spans="1:64">
      <c r="A540" s="1">
        <v>34639</v>
      </c>
      <c r="B540">
        <v>59.4</v>
      </c>
      <c r="C540">
        <v>63</v>
      </c>
      <c r="D540">
        <v>51.1</v>
      </c>
      <c r="E540">
        <v>63.3</v>
      </c>
      <c r="F540">
        <v>64.900000000000006</v>
      </c>
      <c r="G540">
        <v>47.6</v>
      </c>
      <c r="I540">
        <v>84.1</v>
      </c>
      <c r="J540">
        <v>60.5</v>
      </c>
      <c r="K540">
        <v>58.5</v>
      </c>
      <c r="L540">
        <v>53.7</v>
      </c>
      <c r="W540" s="1">
        <v>34639</v>
      </c>
      <c r="X540">
        <v>453.69000199999999</v>
      </c>
      <c r="Y540" s="4">
        <f t="shared" si="132"/>
        <v>-3.9504612602884175E-2</v>
      </c>
      <c r="Z540" s="4">
        <f t="shared" si="134"/>
        <v>-1.7540455276502106E-2</v>
      </c>
      <c r="AA540">
        <v>59.4</v>
      </c>
      <c r="AB540">
        <f t="shared" si="135"/>
        <v>53.4</v>
      </c>
      <c r="AP540" s="3">
        <v>34608</v>
      </c>
      <c r="AQ540" s="2">
        <v>59</v>
      </c>
      <c r="AR540" s="2" t="str">
        <f t="shared" si="122"/>
        <v>+</v>
      </c>
      <c r="AS540" s="2">
        <v>62.7</v>
      </c>
      <c r="AT540" s="8" t="str">
        <f t="shared" si="123"/>
        <v>-</v>
      </c>
      <c r="AU540" s="2">
        <v>62.8</v>
      </c>
      <c r="AV540" s="8" t="str">
        <f t="shared" si="124"/>
        <v>+</v>
      </c>
      <c r="AW540" s="2">
        <v>52.5</v>
      </c>
      <c r="AX540" s="8" t="str">
        <f t="shared" si="125"/>
        <v>+</v>
      </c>
      <c r="AY540" s="2">
        <v>62.5</v>
      </c>
      <c r="AZ540" s="8" t="str">
        <f t="shared" si="126"/>
        <v>+</v>
      </c>
      <c r="BA540" s="2">
        <v>46.1</v>
      </c>
      <c r="BB540" s="8" t="str">
        <f t="shared" si="127"/>
        <v>+</v>
      </c>
      <c r="BC540" s="2"/>
      <c r="BD540" s="8" t="str">
        <f t="shared" si="128"/>
        <v>+</v>
      </c>
      <c r="BE540" s="2">
        <v>80.3</v>
      </c>
      <c r="BF540" s="8" t="str">
        <f t="shared" si="133"/>
        <v>+</v>
      </c>
      <c r="BG540" s="2">
        <v>60.5</v>
      </c>
      <c r="BH540" s="8" t="str">
        <f t="shared" si="129"/>
        <v>+</v>
      </c>
      <c r="BI540" s="2">
        <v>60</v>
      </c>
      <c r="BJ540" s="8" t="str">
        <f t="shared" si="130"/>
        <v>+</v>
      </c>
      <c r="BK540" s="2">
        <v>53</v>
      </c>
      <c r="BL540" s="8" t="str">
        <f t="shared" si="131"/>
        <v>+</v>
      </c>
    </row>
    <row r="541" spans="1:64">
      <c r="A541" s="1">
        <v>34669</v>
      </c>
      <c r="B541">
        <v>59.2</v>
      </c>
      <c r="C541">
        <v>61.5</v>
      </c>
      <c r="D541">
        <v>51.6</v>
      </c>
      <c r="E541">
        <v>63.9</v>
      </c>
      <c r="F541">
        <v>64.7</v>
      </c>
      <c r="G541">
        <v>47.3</v>
      </c>
      <c r="I541">
        <v>84.5</v>
      </c>
      <c r="J541">
        <v>58</v>
      </c>
      <c r="K541">
        <v>56.1</v>
      </c>
      <c r="L541">
        <v>53.2</v>
      </c>
      <c r="W541" s="1">
        <v>34669</v>
      </c>
      <c r="X541">
        <v>459.26998900000001</v>
      </c>
      <c r="Y541" s="4">
        <f t="shared" si="132"/>
        <v>1.2299118286499109E-2</v>
      </c>
      <c r="Z541" s="4">
        <f t="shared" si="134"/>
        <v>-1.5392909883771223E-2</v>
      </c>
      <c r="AA541">
        <v>59.2</v>
      </c>
      <c r="AB541">
        <f t="shared" si="135"/>
        <v>53.8</v>
      </c>
      <c r="AP541" s="3">
        <v>34639</v>
      </c>
      <c r="AQ541" s="2">
        <v>59.4</v>
      </c>
      <c r="AR541" s="2" t="str">
        <f t="shared" si="122"/>
        <v>+</v>
      </c>
      <c r="AS541" s="2">
        <v>63</v>
      </c>
      <c r="AT541" s="8" t="str">
        <f t="shared" si="123"/>
        <v>+</v>
      </c>
      <c r="AU541" s="2">
        <v>63.3</v>
      </c>
      <c r="AV541" s="8" t="str">
        <f t="shared" si="124"/>
        <v>+</v>
      </c>
      <c r="AW541" s="2">
        <v>51.1</v>
      </c>
      <c r="AX541" s="8" t="str">
        <f t="shared" si="125"/>
        <v>-</v>
      </c>
      <c r="AY541" s="2">
        <v>64.900000000000006</v>
      </c>
      <c r="AZ541" s="8" t="str">
        <f t="shared" si="126"/>
        <v>+</v>
      </c>
      <c r="BA541" s="2">
        <v>47.6</v>
      </c>
      <c r="BB541" s="8" t="str">
        <f t="shared" si="127"/>
        <v>+</v>
      </c>
      <c r="BC541" s="2"/>
      <c r="BD541" s="8" t="str">
        <f t="shared" si="128"/>
        <v>+</v>
      </c>
      <c r="BE541" s="2">
        <v>84.1</v>
      </c>
      <c r="BF541" s="8" t="str">
        <f t="shared" si="133"/>
        <v>+</v>
      </c>
      <c r="BG541" s="2">
        <v>60.5</v>
      </c>
      <c r="BH541" s="8" t="str">
        <f t="shared" si="129"/>
        <v>+</v>
      </c>
      <c r="BI541" s="2">
        <v>58.5</v>
      </c>
      <c r="BJ541" s="8" t="str">
        <f t="shared" si="130"/>
        <v>-</v>
      </c>
      <c r="BK541" s="2">
        <v>53.7</v>
      </c>
      <c r="BL541" s="8" t="str">
        <f t="shared" si="131"/>
        <v>+</v>
      </c>
    </row>
    <row r="542" spans="1:64">
      <c r="A542" s="1">
        <v>34700</v>
      </c>
      <c r="B542">
        <v>56.1</v>
      </c>
      <c r="C542">
        <v>58.9</v>
      </c>
      <c r="D542">
        <v>46.7</v>
      </c>
      <c r="E542">
        <v>59.5</v>
      </c>
      <c r="F542">
        <v>64.8</v>
      </c>
      <c r="G542">
        <v>45</v>
      </c>
      <c r="I542">
        <v>87.1</v>
      </c>
      <c r="J542">
        <v>53.5</v>
      </c>
      <c r="K542">
        <v>58.4</v>
      </c>
      <c r="L542">
        <v>52.6</v>
      </c>
      <c r="W542" s="1">
        <v>34700</v>
      </c>
      <c r="X542">
        <v>470.42001299999998</v>
      </c>
      <c r="Y542" s="4">
        <f t="shared" si="132"/>
        <v>2.4277710860833045E-2</v>
      </c>
      <c r="Z542" s="4">
        <f t="shared" si="134"/>
        <v>-2.3234509973874422E-2</v>
      </c>
      <c r="AA542">
        <v>56.1</v>
      </c>
      <c r="AB542">
        <f t="shared" si="135"/>
        <v>55.6</v>
      </c>
      <c r="AP542" s="3">
        <v>34669</v>
      </c>
      <c r="AQ542" s="2">
        <v>59.2</v>
      </c>
      <c r="AR542" s="2" t="str">
        <f t="shared" si="122"/>
        <v>-</v>
      </c>
      <c r="AS542" s="2">
        <v>61.5</v>
      </c>
      <c r="AT542" s="8" t="str">
        <f t="shared" si="123"/>
        <v>-</v>
      </c>
      <c r="AU542" s="2">
        <v>63.9</v>
      </c>
      <c r="AV542" s="8" t="str">
        <f t="shared" si="124"/>
        <v>+</v>
      </c>
      <c r="AW542" s="2">
        <v>51.6</v>
      </c>
      <c r="AX542" s="8" t="str">
        <f t="shared" si="125"/>
        <v>+</v>
      </c>
      <c r="AY542" s="2">
        <v>64.7</v>
      </c>
      <c r="AZ542" s="8" t="str">
        <f t="shared" si="126"/>
        <v>-</v>
      </c>
      <c r="BA542" s="2">
        <v>47.3</v>
      </c>
      <c r="BB542" s="8" t="str">
        <f t="shared" si="127"/>
        <v>-</v>
      </c>
      <c r="BC542" s="2"/>
      <c r="BD542" s="8" t="str">
        <f t="shared" si="128"/>
        <v>+</v>
      </c>
      <c r="BE542" s="2">
        <v>84.5</v>
      </c>
      <c r="BF542" s="8" t="str">
        <f t="shared" si="133"/>
        <v>+</v>
      </c>
      <c r="BG542" s="2">
        <v>58</v>
      </c>
      <c r="BH542" s="8" t="str">
        <f t="shared" si="129"/>
        <v>-</v>
      </c>
      <c r="BI542" s="2">
        <v>56.1</v>
      </c>
      <c r="BJ542" s="8" t="str">
        <f t="shared" si="130"/>
        <v>-</v>
      </c>
      <c r="BK542" s="2">
        <v>53.2</v>
      </c>
      <c r="BL542" s="8" t="str">
        <f t="shared" si="131"/>
        <v>-</v>
      </c>
    </row>
    <row r="543" spans="1:64">
      <c r="A543" s="1">
        <v>34731</v>
      </c>
      <c r="B543">
        <v>57.4</v>
      </c>
      <c r="C543">
        <v>59.7</v>
      </c>
      <c r="D543">
        <v>51.9</v>
      </c>
      <c r="E543">
        <v>60.9</v>
      </c>
      <c r="F543">
        <v>62.7</v>
      </c>
      <c r="G543">
        <v>45.2</v>
      </c>
      <c r="I543">
        <v>86</v>
      </c>
      <c r="J543">
        <v>54</v>
      </c>
      <c r="K543">
        <v>59.1</v>
      </c>
      <c r="L543">
        <v>52.2</v>
      </c>
      <c r="W543" s="1">
        <v>34731</v>
      </c>
      <c r="X543">
        <v>487.39001500000001</v>
      </c>
      <c r="Y543" s="4">
        <f t="shared" si="132"/>
        <v>3.6074149761991574E-2</v>
      </c>
      <c r="Z543" s="4">
        <f t="shared" si="134"/>
        <v>4.334888759208521E-2</v>
      </c>
      <c r="AA543">
        <v>57.4</v>
      </c>
      <c r="AB543">
        <f t="shared" si="135"/>
        <v>56</v>
      </c>
      <c r="AP543" s="3">
        <v>34700</v>
      </c>
      <c r="AQ543" s="2">
        <v>56.1</v>
      </c>
      <c r="AR543" s="2" t="str">
        <f t="shared" si="122"/>
        <v>-</v>
      </c>
      <c r="AS543" s="2">
        <v>58.9</v>
      </c>
      <c r="AT543" s="8" t="str">
        <f t="shared" si="123"/>
        <v>-</v>
      </c>
      <c r="AU543" s="2">
        <v>59.5</v>
      </c>
      <c r="AV543" s="8" t="str">
        <f t="shared" si="124"/>
        <v>-</v>
      </c>
      <c r="AW543" s="2">
        <v>46.7</v>
      </c>
      <c r="AX543" s="8" t="str">
        <f t="shared" si="125"/>
        <v>-</v>
      </c>
      <c r="AY543" s="2">
        <v>64.8</v>
      </c>
      <c r="AZ543" s="8" t="str">
        <f t="shared" si="126"/>
        <v>+</v>
      </c>
      <c r="BA543" s="2">
        <v>45</v>
      </c>
      <c r="BB543" s="8" t="str">
        <f t="shared" si="127"/>
        <v>-</v>
      </c>
      <c r="BC543" s="2"/>
      <c r="BD543" s="8" t="str">
        <f t="shared" si="128"/>
        <v>+</v>
      </c>
      <c r="BE543" s="2">
        <v>87.1</v>
      </c>
      <c r="BF543" s="8" t="str">
        <f t="shared" si="133"/>
        <v>+</v>
      </c>
      <c r="BG543" s="2">
        <v>53.5</v>
      </c>
      <c r="BH543" s="8" t="str">
        <f t="shared" si="129"/>
        <v>-</v>
      </c>
      <c r="BI543" s="2">
        <v>58.4</v>
      </c>
      <c r="BJ543" s="8" t="str">
        <f t="shared" si="130"/>
        <v>+</v>
      </c>
      <c r="BK543" s="2">
        <v>52.6</v>
      </c>
      <c r="BL543" s="8" t="str">
        <f t="shared" si="131"/>
        <v>-</v>
      </c>
    </row>
    <row r="544" spans="1:64">
      <c r="A544" s="1">
        <v>34759</v>
      </c>
      <c r="B544">
        <v>55.1</v>
      </c>
      <c r="C544">
        <v>56.6</v>
      </c>
      <c r="D544">
        <v>50</v>
      </c>
      <c r="E544">
        <v>57.4</v>
      </c>
      <c r="F544">
        <v>60.7</v>
      </c>
      <c r="G544">
        <v>47</v>
      </c>
      <c r="I544">
        <v>81.7</v>
      </c>
      <c r="J544">
        <v>55</v>
      </c>
      <c r="K544">
        <v>58.7</v>
      </c>
      <c r="L544">
        <v>53</v>
      </c>
      <c r="W544" s="1">
        <v>34759</v>
      </c>
      <c r="X544">
        <v>500.709991</v>
      </c>
      <c r="Y544" s="4">
        <f t="shared" si="132"/>
        <v>2.7329193438646864E-2</v>
      </c>
      <c r="Z544" s="4">
        <f t="shared" si="134"/>
        <v>0.12324742211391891</v>
      </c>
      <c r="AA544">
        <v>55.1</v>
      </c>
      <c r="AB544">
        <f t="shared" si="135"/>
        <v>56.5</v>
      </c>
      <c r="AP544" s="3">
        <v>34731</v>
      </c>
      <c r="AQ544" s="2">
        <v>57.4</v>
      </c>
      <c r="AR544" s="2" t="str">
        <f t="shared" si="122"/>
        <v>+</v>
      </c>
      <c r="AS544" s="2">
        <v>59.7</v>
      </c>
      <c r="AT544" s="8" t="str">
        <f t="shared" si="123"/>
        <v>+</v>
      </c>
      <c r="AU544" s="2">
        <v>60.9</v>
      </c>
      <c r="AV544" s="8" t="str">
        <f t="shared" si="124"/>
        <v>+</v>
      </c>
      <c r="AW544" s="2">
        <v>51.9</v>
      </c>
      <c r="AX544" s="8" t="str">
        <f t="shared" si="125"/>
        <v>+</v>
      </c>
      <c r="AY544" s="2">
        <v>62.7</v>
      </c>
      <c r="AZ544" s="8" t="str">
        <f t="shared" si="126"/>
        <v>-</v>
      </c>
      <c r="BA544" s="2">
        <v>45.2</v>
      </c>
      <c r="BB544" s="8" t="str">
        <f t="shared" si="127"/>
        <v>+</v>
      </c>
      <c r="BC544" s="2"/>
      <c r="BD544" s="8" t="str">
        <f t="shared" si="128"/>
        <v>+</v>
      </c>
      <c r="BE544" s="2">
        <v>86</v>
      </c>
      <c r="BF544" s="8" t="str">
        <f t="shared" si="133"/>
        <v>-</v>
      </c>
      <c r="BG544" s="2">
        <v>54</v>
      </c>
      <c r="BH544" s="8" t="str">
        <f t="shared" si="129"/>
        <v>+</v>
      </c>
      <c r="BI544" s="2">
        <v>59.1</v>
      </c>
      <c r="BJ544" s="8" t="str">
        <f t="shared" si="130"/>
        <v>+</v>
      </c>
      <c r="BK544" s="2">
        <v>52.2</v>
      </c>
      <c r="BL544" s="8" t="str">
        <f t="shared" si="131"/>
        <v>-</v>
      </c>
    </row>
    <row r="545" spans="1:64">
      <c r="A545" s="1">
        <v>34790</v>
      </c>
      <c r="B545">
        <v>52.1</v>
      </c>
      <c r="C545">
        <v>51.9</v>
      </c>
      <c r="D545">
        <v>48.1</v>
      </c>
      <c r="E545">
        <v>54.8</v>
      </c>
      <c r="F545">
        <v>56.9</v>
      </c>
      <c r="G545">
        <v>47</v>
      </c>
      <c r="I545">
        <v>78.900000000000006</v>
      </c>
      <c r="J545">
        <v>51</v>
      </c>
      <c r="K545">
        <v>56.9</v>
      </c>
      <c r="L545">
        <v>52</v>
      </c>
      <c r="W545" s="1">
        <v>34790</v>
      </c>
      <c r="X545">
        <v>514.71002199999998</v>
      </c>
      <c r="Y545" s="4">
        <f t="shared" si="132"/>
        <v>2.7960358793799222E-2</v>
      </c>
      <c r="Z545" s="4">
        <f t="shared" si="134"/>
        <v>0.14149168888255573</v>
      </c>
      <c r="AA545">
        <v>52.1</v>
      </c>
      <c r="AB545">
        <f t="shared" si="135"/>
        <v>56.9</v>
      </c>
      <c r="AP545" s="3">
        <v>34759</v>
      </c>
      <c r="AQ545" s="2">
        <v>55.1</v>
      </c>
      <c r="AR545" s="2" t="str">
        <f t="shared" si="122"/>
        <v>-</v>
      </c>
      <c r="AS545" s="2">
        <v>56.6</v>
      </c>
      <c r="AT545" s="8" t="str">
        <f t="shared" si="123"/>
        <v>-</v>
      </c>
      <c r="AU545" s="2">
        <v>57.4</v>
      </c>
      <c r="AV545" s="8" t="str">
        <f t="shared" si="124"/>
        <v>-</v>
      </c>
      <c r="AW545" s="2">
        <v>50</v>
      </c>
      <c r="AX545" s="8" t="str">
        <f t="shared" si="125"/>
        <v>-</v>
      </c>
      <c r="AY545" s="2">
        <v>60.7</v>
      </c>
      <c r="AZ545" s="8" t="str">
        <f t="shared" si="126"/>
        <v>-</v>
      </c>
      <c r="BA545" s="2">
        <v>47</v>
      </c>
      <c r="BB545" s="8" t="str">
        <f t="shared" si="127"/>
        <v>+</v>
      </c>
      <c r="BC545" s="2"/>
      <c r="BD545" s="8" t="str">
        <f t="shared" si="128"/>
        <v>+</v>
      </c>
      <c r="BE545" s="2">
        <v>81.7</v>
      </c>
      <c r="BF545" s="8" t="str">
        <f t="shared" si="133"/>
        <v>-</v>
      </c>
      <c r="BG545" s="2">
        <v>55</v>
      </c>
      <c r="BH545" s="8" t="str">
        <f t="shared" si="129"/>
        <v>+</v>
      </c>
      <c r="BI545" s="2">
        <v>58.7</v>
      </c>
      <c r="BJ545" s="8" t="str">
        <f t="shared" si="130"/>
        <v>-</v>
      </c>
      <c r="BK545" s="2">
        <v>53</v>
      </c>
      <c r="BL545" s="8" t="str">
        <f t="shared" si="131"/>
        <v>+</v>
      </c>
    </row>
    <row r="546" spans="1:64">
      <c r="A546" s="1">
        <v>34820</v>
      </c>
      <c r="B546">
        <v>51.5</v>
      </c>
      <c r="C546">
        <v>52.2</v>
      </c>
      <c r="D546">
        <v>47.4</v>
      </c>
      <c r="E546">
        <v>54.1</v>
      </c>
      <c r="F546">
        <v>56.3</v>
      </c>
      <c r="G546">
        <v>44.2</v>
      </c>
      <c r="I546">
        <v>74.5</v>
      </c>
      <c r="J546">
        <v>47.5</v>
      </c>
      <c r="K546">
        <v>55.6</v>
      </c>
      <c r="L546">
        <v>49.8</v>
      </c>
      <c r="W546" s="1">
        <v>34820</v>
      </c>
      <c r="X546">
        <v>533.40002400000003</v>
      </c>
      <c r="Y546" s="4">
        <f t="shared" si="132"/>
        <v>3.6311711839953353E-2</v>
      </c>
      <c r="Z546" s="4">
        <f t="shared" si="134"/>
        <v>0.16845569331872953</v>
      </c>
      <c r="AA546">
        <v>51.5</v>
      </c>
      <c r="AB546">
        <f t="shared" si="135"/>
        <v>57.4</v>
      </c>
      <c r="AP546" s="3">
        <v>34790</v>
      </c>
      <c r="AQ546" s="2">
        <v>52.1</v>
      </c>
      <c r="AR546" s="2" t="str">
        <f t="shared" si="122"/>
        <v>-</v>
      </c>
      <c r="AS546" s="2">
        <v>51.9</v>
      </c>
      <c r="AT546" s="8" t="str">
        <f t="shared" si="123"/>
        <v>-</v>
      </c>
      <c r="AU546" s="2">
        <v>54.8</v>
      </c>
      <c r="AV546" s="8" t="str">
        <f t="shared" si="124"/>
        <v>-</v>
      </c>
      <c r="AW546" s="2">
        <v>48.1</v>
      </c>
      <c r="AX546" s="8" t="str">
        <f t="shared" si="125"/>
        <v>-</v>
      </c>
      <c r="AY546" s="2">
        <v>56.9</v>
      </c>
      <c r="AZ546" s="8" t="str">
        <f t="shared" si="126"/>
        <v>-</v>
      </c>
      <c r="BA546" s="2">
        <v>47</v>
      </c>
      <c r="BB546" s="8" t="str">
        <f t="shared" si="127"/>
        <v>+</v>
      </c>
      <c r="BC546" s="2"/>
      <c r="BD546" s="8" t="str">
        <f t="shared" si="128"/>
        <v>+</v>
      </c>
      <c r="BE546" s="2">
        <v>78.900000000000006</v>
      </c>
      <c r="BF546" s="8" t="str">
        <f t="shared" si="133"/>
        <v>-</v>
      </c>
      <c r="BG546" s="2">
        <v>51</v>
      </c>
      <c r="BH546" s="8" t="str">
        <f t="shared" si="129"/>
        <v>-</v>
      </c>
      <c r="BI546" s="2">
        <v>56.9</v>
      </c>
      <c r="BJ546" s="8" t="str">
        <f t="shared" si="130"/>
        <v>-</v>
      </c>
      <c r="BK546" s="2">
        <v>52</v>
      </c>
      <c r="BL546" s="8" t="str">
        <f t="shared" si="131"/>
        <v>-</v>
      </c>
    </row>
    <row r="547" spans="1:64">
      <c r="A547" s="1">
        <v>34851</v>
      </c>
      <c r="B547">
        <v>46.7</v>
      </c>
      <c r="C547">
        <v>44</v>
      </c>
      <c r="D547">
        <v>43.7</v>
      </c>
      <c r="E547">
        <v>49.9</v>
      </c>
      <c r="F547">
        <v>53.3</v>
      </c>
      <c r="G547">
        <v>43.3</v>
      </c>
      <c r="I547">
        <v>70.5</v>
      </c>
      <c r="J547">
        <v>42</v>
      </c>
      <c r="K547">
        <v>56.3</v>
      </c>
      <c r="L547">
        <v>47.9</v>
      </c>
      <c r="W547" s="1">
        <v>34851</v>
      </c>
      <c r="X547">
        <v>544.75</v>
      </c>
      <c r="Y547" s="4">
        <f t="shared" si="132"/>
        <v>2.1278544224437396E-2</v>
      </c>
      <c r="Z547" s="4">
        <f t="shared" si="134"/>
        <v>0.22616880160230671</v>
      </c>
      <c r="AA547">
        <v>46.7</v>
      </c>
      <c r="AB547">
        <f t="shared" si="135"/>
        <v>58.2</v>
      </c>
      <c r="AP547" s="3">
        <v>34820</v>
      </c>
      <c r="AQ547" s="2">
        <v>51.5</v>
      </c>
      <c r="AR547" s="2" t="str">
        <f t="shared" si="122"/>
        <v>-</v>
      </c>
      <c r="AS547" s="2">
        <v>52.2</v>
      </c>
      <c r="AT547" s="8" t="str">
        <f t="shared" si="123"/>
        <v>+</v>
      </c>
      <c r="AU547" s="2">
        <v>54.1</v>
      </c>
      <c r="AV547" s="8" t="str">
        <f t="shared" si="124"/>
        <v>-</v>
      </c>
      <c r="AW547" s="2">
        <v>47.4</v>
      </c>
      <c r="AX547" s="8" t="str">
        <f t="shared" si="125"/>
        <v>-</v>
      </c>
      <c r="AY547" s="2">
        <v>56.3</v>
      </c>
      <c r="AZ547" s="8" t="str">
        <f t="shared" si="126"/>
        <v>-</v>
      </c>
      <c r="BA547" s="2">
        <v>44.2</v>
      </c>
      <c r="BB547" s="8" t="str">
        <f t="shared" si="127"/>
        <v>-</v>
      </c>
      <c r="BC547" s="2"/>
      <c r="BD547" s="8" t="str">
        <f t="shared" si="128"/>
        <v>+</v>
      </c>
      <c r="BE547" s="2">
        <v>74.5</v>
      </c>
      <c r="BF547" s="8" t="str">
        <f t="shared" si="133"/>
        <v>-</v>
      </c>
      <c r="BG547" s="2">
        <v>47.5</v>
      </c>
      <c r="BH547" s="8" t="str">
        <f t="shared" si="129"/>
        <v>-</v>
      </c>
      <c r="BI547" s="2">
        <v>55.6</v>
      </c>
      <c r="BJ547" s="8" t="str">
        <f t="shared" si="130"/>
        <v>-</v>
      </c>
      <c r="BK547" s="2">
        <v>49.8</v>
      </c>
      <c r="BL547" s="8" t="str">
        <f t="shared" si="131"/>
        <v>-</v>
      </c>
    </row>
    <row r="548" spans="1:64">
      <c r="A548" s="1">
        <v>34881</v>
      </c>
      <c r="B548">
        <v>45.9</v>
      </c>
      <c r="C548">
        <v>43.5</v>
      </c>
      <c r="D548">
        <v>46.5</v>
      </c>
      <c r="E548">
        <v>46.1</v>
      </c>
      <c r="F548">
        <v>51.8</v>
      </c>
      <c r="G548">
        <v>43</v>
      </c>
      <c r="I548">
        <v>64.7</v>
      </c>
      <c r="J548">
        <v>36</v>
      </c>
      <c r="K548">
        <v>56.1</v>
      </c>
      <c r="L548">
        <v>49.3</v>
      </c>
      <c r="W548" s="1">
        <v>34881</v>
      </c>
      <c r="X548">
        <v>562.05999799999995</v>
      </c>
      <c r="Y548" s="4">
        <f t="shared" si="132"/>
        <v>3.1776040385497847E-2</v>
      </c>
      <c r="Z548" s="4">
        <f t="shared" si="134"/>
        <v>0.22650893757890836</v>
      </c>
      <c r="AA548">
        <v>45.9</v>
      </c>
      <c r="AB548">
        <f t="shared" si="135"/>
        <v>58.8</v>
      </c>
      <c r="AP548" s="3">
        <v>34851</v>
      </c>
      <c r="AQ548" s="2">
        <v>46.7</v>
      </c>
      <c r="AR548" s="2" t="str">
        <f t="shared" si="122"/>
        <v>-</v>
      </c>
      <c r="AS548" s="2">
        <v>44</v>
      </c>
      <c r="AT548" s="8" t="str">
        <f t="shared" si="123"/>
        <v>-</v>
      </c>
      <c r="AU548" s="2">
        <v>49.9</v>
      </c>
      <c r="AV548" s="8" t="str">
        <f t="shared" si="124"/>
        <v>-</v>
      </c>
      <c r="AW548" s="2">
        <v>43.7</v>
      </c>
      <c r="AX548" s="8" t="str">
        <f t="shared" si="125"/>
        <v>-</v>
      </c>
      <c r="AY548" s="2">
        <v>53.3</v>
      </c>
      <c r="AZ548" s="8" t="str">
        <f t="shared" si="126"/>
        <v>-</v>
      </c>
      <c r="BA548" s="2">
        <v>43.3</v>
      </c>
      <c r="BB548" s="8" t="str">
        <f t="shared" si="127"/>
        <v>-</v>
      </c>
      <c r="BC548" s="2"/>
      <c r="BD548" s="8" t="str">
        <f t="shared" si="128"/>
        <v>+</v>
      </c>
      <c r="BE548" s="2">
        <v>70.5</v>
      </c>
      <c r="BF548" s="8" t="str">
        <f t="shared" si="133"/>
        <v>-</v>
      </c>
      <c r="BG548" s="2">
        <v>42</v>
      </c>
      <c r="BH548" s="8" t="str">
        <f t="shared" si="129"/>
        <v>-</v>
      </c>
      <c r="BI548" s="2">
        <v>56.3</v>
      </c>
      <c r="BJ548" s="8" t="str">
        <f t="shared" si="130"/>
        <v>+</v>
      </c>
      <c r="BK548" s="2">
        <v>47.9</v>
      </c>
      <c r="BL548" s="8" t="str">
        <f t="shared" si="131"/>
        <v>-</v>
      </c>
    </row>
    <row r="549" spans="1:64">
      <c r="A549" s="1">
        <v>34912</v>
      </c>
      <c r="B549">
        <v>50.7</v>
      </c>
      <c r="C549">
        <v>52.7</v>
      </c>
      <c r="D549">
        <v>48.1</v>
      </c>
      <c r="E549">
        <v>51.6</v>
      </c>
      <c r="F549">
        <v>51.3</v>
      </c>
      <c r="G549">
        <v>46.5</v>
      </c>
      <c r="I549">
        <v>58.6</v>
      </c>
      <c r="J549">
        <v>41.5</v>
      </c>
      <c r="K549">
        <v>56.4</v>
      </c>
      <c r="L549">
        <v>53.3</v>
      </c>
      <c r="W549" s="1">
        <v>34912</v>
      </c>
      <c r="X549">
        <v>561.88000499999998</v>
      </c>
      <c r="Y549" s="4">
        <f t="shared" si="132"/>
        <v>-3.2023805401637506E-4</v>
      </c>
      <c r="Z549" s="4">
        <f t="shared" si="134"/>
        <v>0.18168629585661733</v>
      </c>
      <c r="AA549">
        <v>50.7</v>
      </c>
      <c r="AB549">
        <f t="shared" si="135"/>
        <v>58.5</v>
      </c>
      <c r="AP549" s="3">
        <v>34881</v>
      </c>
      <c r="AQ549" s="2">
        <v>45.9</v>
      </c>
      <c r="AR549" s="2" t="str">
        <f t="shared" si="122"/>
        <v>-</v>
      </c>
      <c r="AS549" s="2">
        <v>43.5</v>
      </c>
      <c r="AT549" s="8" t="str">
        <f t="shared" si="123"/>
        <v>-</v>
      </c>
      <c r="AU549" s="2">
        <v>46.1</v>
      </c>
      <c r="AV549" s="8" t="str">
        <f t="shared" si="124"/>
        <v>-</v>
      </c>
      <c r="AW549" s="2">
        <v>46.5</v>
      </c>
      <c r="AX549" s="8" t="str">
        <f t="shared" si="125"/>
        <v>+</v>
      </c>
      <c r="AY549" s="2">
        <v>51.8</v>
      </c>
      <c r="AZ549" s="8" t="str">
        <f t="shared" si="126"/>
        <v>-</v>
      </c>
      <c r="BA549" s="2">
        <v>43</v>
      </c>
      <c r="BB549" s="8" t="str">
        <f t="shared" si="127"/>
        <v>-</v>
      </c>
      <c r="BC549" s="2"/>
      <c r="BD549" s="8" t="str">
        <f t="shared" si="128"/>
        <v>+</v>
      </c>
      <c r="BE549" s="2">
        <v>64.7</v>
      </c>
      <c r="BF549" s="8" t="str">
        <f t="shared" si="133"/>
        <v>-</v>
      </c>
      <c r="BG549" s="2">
        <v>36</v>
      </c>
      <c r="BH549" s="8" t="str">
        <f t="shared" si="129"/>
        <v>-</v>
      </c>
      <c r="BI549" s="2">
        <v>56.1</v>
      </c>
      <c r="BJ549" s="8" t="str">
        <f t="shared" si="130"/>
        <v>-</v>
      </c>
      <c r="BK549" s="2">
        <v>49.3</v>
      </c>
      <c r="BL549" s="8" t="str">
        <f t="shared" si="131"/>
        <v>+</v>
      </c>
    </row>
    <row r="550" spans="1:64">
      <c r="A550" s="1">
        <v>34943</v>
      </c>
      <c r="B550">
        <v>47.1</v>
      </c>
      <c r="C550">
        <v>46.5</v>
      </c>
      <c r="D550">
        <v>45</v>
      </c>
      <c r="E550">
        <v>49.1</v>
      </c>
      <c r="F550">
        <v>49.1</v>
      </c>
      <c r="G550">
        <v>45.5</v>
      </c>
      <c r="I550">
        <v>48.5</v>
      </c>
      <c r="J550">
        <v>40.5</v>
      </c>
      <c r="K550">
        <v>53.7</v>
      </c>
      <c r="L550">
        <v>51.8</v>
      </c>
      <c r="W550" s="1">
        <v>34943</v>
      </c>
      <c r="X550">
        <v>584.40997300000004</v>
      </c>
      <c r="Y550" s="4">
        <f t="shared" si="132"/>
        <v>4.0097472413171305E-2</v>
      </c>
      <c r="Z550" s="4">
        <f t="shared" si="134"/>
        <v>0.26301567799948378</v>
      </c>
      <c r="AA550">
        <v>47.1</v>
      </c>
      <c r="AB550">
        <f t="shared" si="135"/>
        <v>58</v>
      </c>
      <c r="AP550" s="3">
        <v>34912</v>
      </c>
      <c r="AQ550" s="2">
        <v>50.7</v>
      </c>
      <c r="AR550" s="2" t="str">
        <f t="shared" ref="AR550:AR613" si="136">IF(OR(AQ550&gt;AQ549,AQ550=AQ549),"+","-")</f>
        <v>+</v>
      </c>
      <c r="AS550" s="2">
        <v>52.7</v>
      </c>
      <c r="AT550" s="8" t="str">
        <f t="shared" si="123"/>
        <v>+</v>
      </c>
      <c r="AU550" s="2">
        <v>51.6</v>
      </c>
      <c r="AV550" s="8" t="str">
        <f t="shared" si="124"/>
        <v>+</v>
      </c>
      <c r="AW550" s="2">
        <v>48.1</v>
      </c>
      <c r="AX550" s="8" t="str">
        <f t="shared" si="125"/>
        <v>+</v>
      </c>
      <c r="AY550" s="2">
        <v>51.3</v>
      </c>
      <c r="AZ550" s="8" t="str">
        <f t="shared" si="126"/>
        <v>-</v>
      </c>
      <c r="BA550" s="2">
        <v>46.5</v>
      </c>
      <c r="BB550" s="8" t="str">
        <f t="shared" si="127"/>
        <v>+</v>
      </c>
      <c r="BC550" s="2"/>
      <c r="BD550" s="8" t="str">
        <f t="shared" si="128"/>
        <v>+</v>
      </c>
      <c r="BE550" s="2">
        <v>58.6</v>
      </c>
      <c r="BF550" s="8" t="str">
        <f t="shared" si="133"/>
        <v>-</v>
      </c>
      <c r="BG550" s="2">
        <v>41.5</v>
      </c>
      <c r="BH550" s="8" t="str">
        <f t="shared" si="129"/>
        <v>+</v>
      </c>
      <c r="BI550" s="2">
        <v>56.4</v>
      </c>
      <c r="BJ550" s="8" t="str">
        <f t="shared" si="130"/>
        <v>+</v>
      </c>
      <c r="BK550" s="2">
        <v>53.3</v>
      </c>
      <c r="BL550" s="8" t="str">
        <f t="shared" si="131"/>
        <v>+</v>
      </c>
    </row>
    <row r="551" spans="1:64">
      <c r="A551" s="1">
        <v>34973</v>
      </c>
      <c r="B551">
        <v>48.1</v>
      </c>
      <c r="C551">
        <v>49.4</v>
      </c>
      <c r="D551">
        <v>45.5</v>
      </c>
      <c r="E551">
        <v>50.5</v>
      </c>
      <c r="F551">
        <v>50</v>
      </c>
      <c r="G551">
        <v>40.299999999999997</v>
      </c>
      <c r="I551">
        <v>48.8</v>
      </c>
      <c r="J551">
        <v>43.5</v>
      </c>
      <c r="K551">
        <v>52.6</v>
      </c>
      <c r="L551">
        <v>49.4</v>
      </c>
      <c r="W551" s="1">
        <v>34973</v>
      </c>
      <c r="X551">
        <v>581.5</v>
      </c>
      <c r="Y551" s="4">
        <f t="shared" si="132"/>
        <v>-4.9793349436903535E-3</v>
      </c>
      <c r="Z551" s="4">
        <f t="shared" si="134"/>
        <v>0.23107863366894926</v>
      </c>
      <c r="AA551">
        <v>48.1</v>
      </c>
      <c r="AB551">
        <f t="shared" si="135"/>
        <v>59</v>
      </c>
      <c r="AP551" s="3">
        <v>34943</v>
      </c>
      <c r="AQ551" s="2">
        <v>47.1</v>
      </c>
      <c r="AR551" s="2" t="str">
        <f t="shared" si="136"/>
        <v>-</v>
      </c>
      <c r="AS551" s="2">
        <v>46.5</v>
      </c>
      <c r="AT551" s="8" t="str">
        <f t="shared" ref="AT551:AT614" si="137">IF(OR(AS551&gt;AS550,AS551=AS550),"+","-")</f>
        <v>-</v>
      </c>
      <c r="AU551" s="2">
        <v>49.1</v>
      </c>
      <c r="AV551" s="8" t="str">
        <f t="shared" ref="AV551:AV614" si="138">IF(OR(AU551&gt;AU550,AU551=AU550),"+","-")</f>
        <v>-</v>
      </c>
      <c r="AW551" s="2">
        <v>45</v>
      </c>
      <c r="AX551" s="8" t="str">
        <f t="shared" ref="AX551:AX614" si="139">IF(OR(AW551&gt;AW550,AW551=AW550),"+","-")</f>
        <v>-</v>
      </c>
      <c r="AY551" s="2">
        <v>49.1</v>
      </c>
      <c r="AZ551" s="8" t="str">
        <f t="shared" ref="AZ551:AZ614" si="140">IF(OR(AY551&gt;AY550,AY551=AY550),"+","-")</f>
        <v>-</v>
      </c>
      <c r="BA551" s="2">
        <v>45.5</v>
      </c>
      <c r="BB551" s="8" t="str">
        <f t="shared" ref="BB551:BB614" si="141">IF(OR(BA551&gt;BA550,BA551=BA550),"+","-")</f>
        <v>-</v>
      </c>
      <c r="BC551" s="2"/>
      <c r="BD551" s="8" t="str">
        <f t="shared" ref="BD551:BD614" si="142">IF(OR(BC551&gt;BC550,BC551=BC550),"+","-")</f>
        <v>+</v>
      </c>
      <c r="BE551" s="2">
        <v>48.5</v>
      </c>
      <c r="BF551" s="8" t="str">
        <f t="shared" si="133"/>
        <v>-</v>
      </c>
      <c r="BG551" s="2">
        <v>40.5</v>
      </c>
      <c r="BH551" s="8" t="str">
        <f t="shared" ref="BH551:BH614" si="143">IF(OR(BG551&gt;BG550,BG551=BG550),"+","-")</f>
        <v>-</v>
      </c>
      <c r="BI551" s="2">
        <v>53.7</v>
      </c>
      <c r="BJ551" s="8" t="str">
        <f t="shared" ref="BJ551:BJ614" si="144">IF(OR(BI551&gt;BI550,BI551=BI550),"+","-")</f>
        <v>-</v>
      </c>
      <c r="BK551" s="2">
        <v>51.8</v>
      </c>
      <c r="BL551" s="8" t="str">
        <f t="shared" ref="BL551:BL614" si="145">IF(OR(BK551&gt;BK550,BK551=BK550),"+","-")</f>
        <v>-</v>
      </c>
    </row>
    <row r="552" spans="1:64">
      <c r="A552" s="1">
        <v>35004</v>
      </c>
      <c r="B552">
        <v>46.7</v>
      </c>
      <c r="C552">
        <v>47.5</v>
      </c>
      <c r="D552">
        <v>45.9</v>
      </c>
      <c r="E552">
        <v>47</v>
      </c>
      <c r="F552">
        <v>48.4</v>
      </c>
      <c r="G552">
        <v>42.2</v>
      </c>
      <c r="I552">
        <v>46.5</v>
      </c>
      <c r="J552">
        <v>40.5</v>
      </c>
      <c r="K552">
        <v>52.2</v>
      </c>
      <c r="L552">
        <v>49.5</v>
      </c>
      <c r="W552" s="1">
        <v>35004</v>
      </c>
      <c r="X552">
        <v>605.36999500000002</v>
      </c>
      <c r="Y552" s="4">
        <f t="shared" si="132"/>
        <v>4.1049002579535712E-2</v>
      </c>
      <c r="Z552" s="4">
        <f t="shared" si="134"/>
        <v>0.33432518312360787</v>
      </c>
      <c r="AA552">
        <v>46.7</v>
      </c>
      <c r="AB552">
        <f t="shared" si="135"/>
        <v>59.4</v>
      </c>
      <c r="AP552" s="3">
        <v>34973</v>
      </c>
      <c r="AQ552" s="2">
        <v>48.1</v>
      </c>
      <c r="AR552" s="2" t="str">
        <f t="shared" si="136"/>
        <v>+</v>
      </c>
      <c r="AS552" s="2">
        <v>49.4</v>
      </c>
      <c r="AT552" s="8" t="str">
        <f t="shared" si="137"/>
        <v>+</v>
      </c>
      <c r="AU552" s="2">
        <v>50.5</v>
      </c>
      <c r="AV552" s="8" t="str">
        <f t="shared" si="138"/>
        <v>+</v>
      </c>
      <c r="AW552" s="2">
        <v>45.5</v>
      </c>
      <c r="AX552" s="8" t="str">
        <f t="shared" si="139"/>
        <v>+</v>
      </c>
      <c r="AY552" s="2">
        <v>50</v>
      </c>
      <c r="AZ552" s="8" t="str">
        <f t="shared" si="140"/>
        <v>+</v>
      </c>
      <c r="BA552" s="2">
        <v>40.299999999999997</v>
      </c>
      <c r="BB552" s="8" t="str">
        <f t="shared" si="141"/>
        <v>-</v>
      </c>
      <c r="BC552" s="2"/>
      <c r="BD552" s="8" t="str">
        <f t="shared" si="142"/>
        <v>+</v>
      </c>
      <c r="BE552" s="2">
        <v>48.8</v>
      </c>
      <c r="BF552" s="8" t="str">
        <f t="shared" si="133"/>
        <v>+</v>
      </c>
      <c r="BG552" s="2">
        <v>43.5</v>
      </c>
      <c r="BH552" s="8" t="str">
        <f t="shared" si="143"/>
        <v>+</v>
      </c>
      <c r="BI552" s="2">
        <v>52.6</v>
      </c>
      <c r="BJ552" s="8" t="str">
        <f t="shared" si="144"/>
        <v>-</v>
      </c>
      <c r="BK552" s="2">
        <v>49.4</v>
      </c>
      <c r="BL552" s="8" t="str">
        <f t="shared" si="145"/>
        <v>-</v>
      </c>
    </row>
    <row r="553" spans="1:64">
      <c r="A553" s="1">
        <v>35034</v>
      </c>
      <c r="B553">
        <v>45.9</v>
      </c>
      <c r="C553">
        <v>48.6</v>
      </c>
      <c r="D553">
        <v>44.5</v>
      </c>
      <c r="E553">
        <v>45</v>
      </c>
      <c r="F553">
        <v>45.3</v>
      </c>
      <c r="G553">
        <v>43.3</v>
      </c>
      <c r="I553">
        <v>44.5</v>
      </c>
      <c r="J553">
        <v>41.5</v>
      </c>
      <c r="K553">
        <v>54.7</v>
      </c>
      <c r="L553">
        <v>44.2</v>
      </c>
      <c r="W553" s="1">
        <v>35034</v>
      </c>
      <c r="X553">
        <v>615.92999299999997</v>
      </c>
      <c r="Y553" s="4">
        <f t="shared" si="132"/>
        <v>1.7443874138492691E-2</v>
      </c>
      <c r="Z553" s="4">
        <f t="shared" si="134"/>
        <v>0.34110655551673758</v>
      </c>
      <c r="AA553">
        <v>45.9</v>
      </c>
      <c r="AB553">
        <f t="shared" si="135"/>
        <v>59.2</v>
      </c>
      <c r="AP553" s="3">
        <v>35004</v>
      </c>
      <c r="AQ553" s="2">
        <v>46.7</v>
      </c>
      <c r="AR553" s="2" t="str">
        <f t="shared" si="136"/>
        <v>-</v>
      </c>
      <c r="AS553" s="2">
        <v>47.5</v>
      </c>
      <c r="AT553" s="8" t="str">
        <f t="shared" si="137"/>
        <v>-</v>
      </c>
      <c r="AU553" s="2">
        <v>47</v>
      </c>
      <c r="AV553" s="8" t="str">
        <f t="shared" si="138"/>
        <v>-</v>
      </c>
      <c r="AW553" s="2">
        <v>45.9</v>
      </c>
      <c r="AX553" s="8" t="str">
        <f t="shared" si="139"/>
        <v>+</v>
      </c>
      <c r="AY553" s="2">
        <v>48.4</v>
      </c>
      <c r="AZ553" s="8" t="str">
        <f t="shared" si="140"/>
        <v>-</v>
      </c>
      <c r="BA553" s="2">
        <v>42.2</v>
      </c>
      <c r="BB553" s="8" t="str">
        <f t="shared" si="141"/>
        <v>+</v>
      </c>
      <c r="BC553" s="2"/>
      <c r="BD553" s="8" t="str">
        <f t="shared" si="142"/>
        <v>+</v>
      </c>
      <c r="BE553" s="2">
        <v>46.5</v>
      </c>
      <c r="BF553" s="8" t="str">
        <f t="shared" si="133"/>
        <v>-</v>
      </c>
      <c r="BG553" s="2">
        <v>40.5</v>
      </c>
      <c r="BH553" s="8" t="str">
        <f t="shared" si="143"/>
        <v>-</v>
      </c>
      <c r="BI553" s="2">
        <v>52.2</v>
      </c>
      <c r="BJ553" s="8" t="str">
        <f t="shared" si="144"/>
        <v>-</v>
      </c>
      <c r="BK553" s="2">
        <v>49.5</v>
      </c>
      <c r="BL553" s="8" t="str">
        <f t="shared" si="145"/>
        <v>+</v>
      </c>
    </row>
    <row r="554" spans="1:64">
      <c r="A554" s="1">
        <v>35065</v>
      </c>
      <c r="B554">
        <v>46.2</v>
      </c>
      <c r="C554">
        <v>45.9</v>
      </c>
      <c r="D554">
        <v>46.2</v>
      </c>
      <c r="E554">
        <v>46.9</v>
      </c>
      <c r="F554">
        <v>47.5</v>
      </c>
      <c r="G554">
        <v>43.1</v>
      </c>
      <c r="I554">
        <v>40.299999999999997</v>
      </c>
      <c r="J554">
        <v>42</v>
      </c>
      <c r="K554">
        <v>56.5</v>
      </c>
      <c r="L554">
        <v>49.5</v>
      </c>
      <c r="W554" s="1">
        <v>35065</v>
      </c>
      <c r="X554">
        <v>636.02002000000005</v>
      </c>
      <c r="Y554" s="4">
        <f t="shared" si="132"/>
        <v>3.2617387086717305E-2</v>
      </c>
      <c r="Z554" s="4">
        <f t="shared" si="134"/>
        <v>0.35202585439323147</v>
      </c>
      <c r="AA554">
        <v>46.2</v>
      </c>
      <c r="AB554">
        <f t="shared" si="135"/>
        <v>56.1</v>
      </c>
      <c r="AP554" s="3">
        <v>35034</v>
      </c>
      <c r="AQ554" s="2">
        <v>45.9</v>
      </c>
      <c r="AR554" s="2" t="str">
        <f t="shared" si="136"/>
        <v>-</v>
      </c>
      <c r="AS554" s="2">
        <v>48.6</v>
      </c>
      <c r="AT554" s="8" t="str">
        <f t="shared" si="137"/>
        <v>+</v>
      </c>
      <c r="AU554" s="2">
        <v>45</v>
      </c>
      <c r="AV554" s="8" t="str">
        <f t="shared" si="138"/>
        <v>-</v>
      </c>
      <c r="AW554" s="2">
        <v>44.5</v>
      </c>
      <c r="AX554" s="8" t="str">
        <f t="shared" si="139"/>
        <v>-</v>
      </c>
      <c r="AY554" s="2">
        <v>45.3</v>
      </c>
      <c r="AZ554" s="8" t="str">
        <f t="shared" si="140"/>
        <v>-</v>
      </c>
      <c r="BA554" s="2">
        <v>43.3</v>
      </c>
      <c r="BB554" s="8" t="str">
        <f t="shared" si="141"/>
        <v>+</v>
      </c>
      <c r="BC554" s="2"/>
      <c r="BD554" s="8" t="str">
        <f t="shared" si="142"/>
        <v>+</v>
      </c>
      <c r="BE554" s="2">
        <v>44.5</v>
      </c>
      <c r="BF554" s="8" t="str">
        <f t="shared" si="133"/>
        <v>-</v>
      </c>
      <c r="BG554" s="2">
        <v>41.5</v>
      </c>
      <c r="BH554" s="8" t="str">
        <f t="shared" si="143"/>
        <v>+</v>
      </c>
      <c r="BI554" s="2">
        <v>54.7</v>
      </c>
      <c r="BJ554" s="8" t="str">
        <f t="shared" si="144"/>
        <v>+</v>
      </c>
      <c r="BK554" s="2">
        <v>44.2</v>
      </c>
      <c r="BL554" s="8" t="str">
        <f t="shared" si="145"/>
        <v>-</v>
      </c>
    </row>
    <row r="555" spans="1:64">
      <c r="A555" s="1">
        <v>35096</v>
      </c>
      <c r="B555">
        <v>45.5</v>
      </c>
      <c r="C555">
        <v>44.1</v>
      </c>
      <c r="D555">
        <v>45.3</v>
      </c>
      <c r="E555">
        <v>45.6</v>
      </c>
      <c r="F555">
        <v>47.8</v>
      </c>
      <c r="G555">
        <v>46.6</v>
      </c>
      <c r="I555">
        <v>40.299999999999997</v>
      </c>
      <c r="J555">
        <v>41.5</v>
      </c>
      <c r="K555">
        <v>50</v>
      </c>
      <c r="L555">
        <v>48.3</v>
      </c>
      <c r="W555" s="1">
        <v>35096</v>
      </c>
      <c r="X555">
        <v>640.42999299999997</v>
      </c>
      <c r="Y555" s="4">
        <f t="shared" si="132"/>
        <v>6.9337015523503838E-3</v>
      </c>
      <c r="Z555" s="4">
        <f t="shared" si="134"/>
        <v>0.31399900139521725</v>
      </c>
      <c r="AA555">
        <v>45.5</v>
      </c>
      <c r="AB555">
        <f t="shared" si="135"/>
        <v>57.4</v>
      </c>
      <c r="AP555" s="3">
        <v>35065</v>
      </c>
      <c r="AQ555" s="2">
        <v>46.2</v>
      </c>
      <c r="AR555" s="2" t="str">
        <f t="shared" si="136"/>
        <v>+</v>
      </c>
      <c r="AS555" s="2">
        <v>45.9</v>
      </c>
      <c r="AT555" s="8" t="str">
        <f t="shared" si="137"/>
        <v>-</v>
      </c>
      <c r="AU555" s="2">
        <v>46.9</v>
      </c>
      <c r="AV555" s="8" t="str">
        <f t="shared" si="138"/>
        <v>+</v>
      </c>
      <c r="AW555" s="2">
        <v>46.2</v>
      </c>
      <c r="AX555" s="8" t="str">
        <f t="shared" si="139"/>
        <v>+</v>
      </c>
      <c r="AY555" s="2">
        <v>47.5</v>
      </c>
      <c r="AZ555" s="8" t="str">
        <f t="shared" si="140"/>
        <v>+</v>
      </c>
      <c r="BA555" s="2">
        <v>43.1</v>
      </c>
      <c r="BB555" s="8" t="str">
        <f t="shared" si="141"/>
        <v>-</v>
      </c>
      <c r="BC555" s="2"/>
      <c r="BD555" s="8" t="str">
        <f t="shared" si="142"/>
        <v>+</v>
      </c>
      <c r="BE555" s="2">
        <v>40.299999999999997</v>
      </c>
      <c r="BF555" s="8" t="str">
        <f t="shared" si="133"/>
        <v>-</v>
      </c>
      <c r="BG555" s="2">
        <v>42</v>
      </c>
      <c r="BH555" s="8" t="str">
        <f t="shared" si="143"/>
        <v>+</v>
      </c>
      <c r="BI555" s="2">
        <v>56.5</v>
      </c>
      <c r="BJ555" s="8" t="str">
        <f t="shared" si="144"/>
        <v>+</v>
      </c>
      <c r="BK555" s="2">
        <v>49.5</v>
      </c>
      <c r="BL555" s="8" t="str">
        <f t="shared" si="145"/>
        <v>+</v>
      </c>
    </row>
    <row r="556" spans="1:64">
      <c r="A556" s="1">
        <v>35125</v>
      </c>
      <c r="B556">
        <v>45.9</v>
      </c>
      <c r="C556">
        <v>46.1</v>
      </c>
      <c r="D556">
        <v>44.6</v>
      </c>
      <c r="E556">
        <v>45.7</v>
      </c>
      <c r="F556">
        <v>49.5</v>
      </c>
      <c r="G556">
        <v>43.3</v>
      </c>
      <c r="I556">
        <v>38.799999999999997</v>
      </c>
      <c r="J556">
        <v>43.5</v>
      </c>
      <c r="K556">
        <v>51.3</v>
      </c>
      <c r="L556">
        <v>48.1</v>
      </c>
      <c r="W556" s="1">
        <v>35125</v>
      </c>
      <c r="X556">
        <v>645.5</v>
      </c>
      <c r="Y556" s="4">
        <f t="shared" si="132"/>
        <v>7.916567080580238E-3</v>
      </c>
      <c r="Z556" s="4">
        <f t="shared" si="134"/>
        <v>0.28916940265328156</v>
      </c>
      <c r="AA556">
        <v>45.9</v>
      </c>
      <c r="AB556">
        <f t="shared" si="135"/>
        <v>55.1</v>
      </c>
      <c r="AP556" s="3">
        <v>35096</v>
      </c>
      <c r="AQ556" s="2">
        <v>45.5</v>
      </c>
      <c r="AR556" s="2" t="str">
        <f t="shared" si="136"/>
        <v>-</v>
      </c>
      <c r="AS556" s="2">
        <v>44.1</v>
      </c>
      <c r="AT556" s="8" t="str">
        <f t="shared" si="137"/>
        <v>-</v>
      </c>
      <c r="AU556" s="2">
        <v>45.6</v>
      </c>
      <c r="AV556" s="8" t="str">
        <f t="shared" si="138"/>
        <v>-</v>
      </c>
      <c r="AW556" s="2">
        <v>45.3</v>
      </c>
      <c r="AX556" s="8" t="str">
        <f t="shared" si="139"/>
        <v>-</v>
      </c>
      <c r="AY556" s="2">
        <v>47.8</v>
      </c>
      <c r="AZ556" s="8" t="str">
        <f t="shared" si="140"/>
        <v>+</v>
      </c>
      <c r="BA556" s="2">
        <v>46.6</v>
      </c>
      <c r="BB556" s="8" t="str">
        <f t="shared" si="141"/>
        <v>+</v>
      </c>
      <c r="BC556" s="2"/>
      <c r="BD556" s="8" t="str">
        <f t="shared" si="142"/>
        <v>+</v>
      </c>
      <c r="BE556" s="2">
        <v>40.299999999999997</v>
      </c>
      <c r="BF556" s="8" t="str">
        <f t="shared" si="133"/>
        <v>+</v>
      </c>
      <c r="BG556" s="2">
        <v>41.5</v>
      </c>
      <c r="BH556" s="8" t="str">
        <f t="shared" si="143"/>
        <v>-</v>
      </c>
      <c r="BI556" s="2">
        <v>50</v>
      </c>
      <c r="BJ556" s="8" t="str">
        <f t="shared" si="144"/>
        <v>-</v>
      </c>
      <c r="BK556" s="2">
        <v>48.3</v>
      </c>
      <c r="BL556" s="8" t="str">
        <f t="shared" si="145"/>
        <v>-</v>
      </c>
    </row>
    <row r="557" spans="1:64">
      <c r="A557" s="1">
        <v>35156</v>
      </c>
      <c r="B557">
        <v>46.9</v>
      </c>
      <c r="C557">
        <v>49.1</v>
      </c>
      <c r="D557">
        <v>44.4</v>
      </c>
      <c r="E557">
        <v>47.3</v>
      </c>
      <c r="F557">
        <v>49.6</v>
      </c>
      <c r="G557">
        <v>40</v>
      </c>
      <c r="I557">
        <v>39.9</v>
      </c>
      <c r="J557">
        <v>40</v>
      </c>
      <c r="K557">
        <v>50.8</v>
      </c>
      <c r="L557">
        <v>47.5</v>
      </c>
      <c r="W557" s="1">
        <v>35156</v>
      </c>
      <c r="X557">
        <v>654.169983</v>
      </c>
      <c r="Y557" s="4">
        <f t="shared" si="132"/>
        <v>1.3431422153369484E-2</v>
      </c>
      <c r="Z557" s="4">
        <f t="shared" si="134"/>
        <v>0.27094860220149364</v>
      </c>
      <c r="AA557">
        <v>46.9</v>
      </c>
      <c r="AB557">
        <f t="shared" si="135"/>
        <v>52.1</v>
      </c>
      <c r="AP557" s="3">
        <v>35125</v>
      </c>
      <c r="AQ557" s="2">
        <v>45.9</v>
      </c>
      <c r="AR557" s="2" t="str">
        <f t="shared" si="136"/>
        <v>+</v>
      </c>
      <c r="AS557" s="2">
        <v>46.1</v>
      </c>
      <c r="AT557" s="8" t="str">
        <f t="shared" si="137"/>
        <v>+</v>
      </c>
      <c r="AU557" s="2">
        <v>45.7</v>
      </c>
      <c r="AV557" s="8" t="str">
        <f t="shared" si="138"/>
        <v>+</v>
      </c>
      <c r="AW557" s="2">
        <v>44.6</v>
      </c>
      <c r="AX557" s="8" t="str">
        <f t="shared" si="139"/>
        <v>-</v>
      </c>
      <c r="AY557" s="2">
        <v>49.5</v>
      </c>
      <c r="AZ557" s="8" t="str">
        <f t="shared" si="140"/>
        <v>+</v>
      </c>
      <c r="BA557" s="2">
        <v>43.3</v>
      </c>
      <c r="BB557" s="8" t="str">
        <f t="shared" si="141"/>
        <v>-</v>
      </c>
      <c r="BC557" s="2"/>
      <c r="BD557" s="8" t="str">
        <f t="shared" si="142"/>
        <v>+</v>
      </c>
      <c r="BE557" s="2">
        <v>38.799999999999997</v>
      </c>
      <c r="BF557" s="8" t="str">
        <f t="shared" si="133"/>
        <v>-</v>
      </c>
      <c r="BG557" s="2">
        <v>43.5</v>
      </c>
      <c r="BH557" s="8" t="str">
        <f t="shared" si="143"/>
        <v>+</v>
      </c>
      <c r="BI557" s="2">
        <v>51.3</v>
      </c>
      <c r="BJ557" s="8" t="str">
        <f t="shared" si="144"/>
        <v>+</v>
      </c>
      <c r="BK557" s="2">
        <v>48.1</v>
      </c>
      <c r="BL557" s="8" t="str">
        <f t="shared" si="145"/>
        <v>-</v>
      </c>
    </row>
    <row r="558" spans="1:64">
      <c r="A558" s="1">
        <v>35186</v>
      </c>
      <c r="B558">
        <v>49.3</v>
      </c>
      <c r="C558">
        <v>52.3</v>
      </c>
      <c r="D558">
        <v>44.7</v>
      </c>
      <c r="E558">
        <v>51.6</v>
      </c>
      <c r="F558">
        <v>49.4</v>
      </c>
      <c r="G558">
        <v>43.9</v>
      </c>
      <c r="I558">
        <v>41.5</v>
      </c>
      <c r="J558">
        <v>44</v>
      </c>
      <c r="K558">
        <v>51.4</v>
      </c>
      <c r="L558">
        <v>47.5</v>
      </c>
      <c r="W558" s="1">
        <v>35186</v>
      </c>
      <c r="X558">
        <v>669.11999500000002</v>
      </c>
      <c r="Y558" s="4">
        <f t="shared" si="132"/>
        <v>2.2853405672085103E-2</v>
      </c>
      <c r="Z558" s="4">
        <f t="shared" si="134"/>
        <v>0.25444312878396119</v>
      </c>
      <c r="AA558">
        <v>49.3</v>
      </c>
      <c r="AB558">
        <f t="shared" si="135"/>
        <v>51.5</v>
      </c>
      <c r="AP558" s="3">
        <v>35156</v>
      </c>
      <c r="AQ558" s="2">
        <v>46.9</v>
      </c>
      <c r="AR558" s="2" t="str">
        <f t="shared" si="136"/>
        <v>+</v>
      </c>
      <c r="AS558" s="2">
        <v>49.1</v>
      </c>
      <c r="AT558" s="8" t="str">
        <f t="shared" si="137"/>
        <v>+</v>
      </c>
      <c r="AU558" s="2">
        <v>47.3</v>
      </c>
      <c r="AV558" s="8" t="str">
        <f t="shared" si="138"/>
        <v>+</v>
      </c>
      <c r="AW558" s="2">
        <v>44.4</v>
      </c>
      <c r="AX558" s="8" t="str">
        <f t="shared" si="139"/>
        <v>-</v>
      </c>
      <c r="AY558" s="2">
        <v>49.6</v>
      </c>
      <c r="AZ558" s="8" t="str">
        <f t="shared" si="140"/>
        <v>+</v>
      </c>
      <c r="BA558" s="2">
        <v>40</v>
      </c>
      <c r="BB558" s="8" t="str">
        <f t="shared" si="141"/>
        <v>-</v>
      </c>
      <c r="BC558" s="2"/>
      <c r="BD558" s="8" t="str">
        <f t="shared" si="142"/>
        <v>+</v>
      </c>
      <c r="BE558" s="2">
        <v>39.9</v>
      </c>
      <c r="BF558" s="8" t="str">
        <f t="shared" si="133"/>
        <v>+</v>
      </c>
      <c r="BG558" s="2">
        <v>40</v>
      </c>
      <c r="BH558" s="8" t="str">
        <f t="shared" si="143"/>
        <v>-</v>
      </c>
      <c r="BI558" s="2">
        <v>50.8</v>
      </c>
      <c r="BJ558" s="8" t="str">
        <f t="shared" si="144"/>
        <v>-</v>
      </c>
      <c r="BK558" s="2">
        <v>47.5</v>
      </c>
      <c r="BL558" s="8" t="str">
        <f t="shared" si="145"/>
        <v>-</v>
      </c>
    </row>
    <row r="559" spans="1:64">
      <c r="A559" s="1">
        <v>35217</v>
      </c>
      <c r="B559">
        <v>49.1</v>
      </c>
      <c r="C559">
        <v>51.7</v>
      </c>
      <c r="D559">
        <v>44.7</v>
      </c>
      <c r="E559">
        <v>53</v>
      </c>
      <c r="F559">
        <v>49.9</v>
      </c>
      <c r="G559">
        <v>39.200000000000003</v>
      </c>
      <c r="I559">
        <v>50.2</v>
      </c>
      <c r="J559">
        <v>48.5</v>
      </c>
      <c r="K559">
        <v>57.2</v>
      </c>
      <c r="L559">
        <v>48.5</v>
      </c>
      <c r="W559" s="1">
        <v>35217</v>
      </c>
      <c r="X559">
        <v>670.63000499999998</v>
      </c>
      <c r="Y559" s="4">
        <f t="shared" si="132"/>
        <v>2.2567103229368681E-3</v>
      </c>
      <c r="Z559" s="4">
        <f t="shared" si="134"/>
        <v>0.2310784855438274</v>
      </c>
      <c r="AA559">
        <v>49.1</v>
      </c>
      <c r="AB559">
        <f t="shared" si="135"/>
        <v>46.7</v>
      </c>
      <c r="AP559" s="3">
        <v>35186</v>
      </c>
      <c r="AQ559" s="2">
        <v>49.3</v>
      </c>
      <c r="AR559" s="2" t="str">
        <f t="shared" si="136"/>
        <v>+</v>
      </c>
      <c r="AS559" s="2">
        <v>52.3</v>
      </c>
      <c r="AT559" s="8" t="str">
        <f t="shared" si="137"/>
        <v>+</v>
      </c>
      <c r="AU559" s="2">
        <v>51.6</v>
      </c>
      <c r="AV559" s="8" t="str">
        <f t="shared" si="138"/>
        <v>+</v>
      </c>
      <c r="AW559" s="2">
        <v>44.7</v>
      </c>
      <c r="AX559" s="8" t="str">
        <f t="shared" si="139"/>
        <v>+</v>
      </c>
      <c r="AY559" s="2">
        <v>49.4</v>
      </c>
      <c r="AZ559" s="8" t="str">
        <f t="shared" si="140"/>
        <v>-</v>
      </c>
      <c r="BA559" s="2">
        <v>43.9</v>
      </c>
      <c r="BB559" s="8" t="str">
        <f t="shared" si="141"/>
        <v>+</v>
      </c>
      <c r="BC559" s="2"/>
      <c r="BD559" s="8" t="str">
        <f t="shared" si="142"/>
        <v>+</v>
      </c>
      <c r="BE559" s="2">
        <v>41.5</v>
      </c>
      <c r="BF559" s="8" t="str">
        <f t="shared" si="133"/>
        <v>+</v>
      </c>
      <c r="BG559" s="2">
        <v>44</v>
      </c>
      <c r="BH559" s="8" t="str">
        <f t="shared" si="143"/>
        <v>+</v>
      </c>
      <c r="BI559" s="2">
        <v>51.4</v>
      </c>
      <c r="BJ559" s="8" t="str">
        <f t="shared" si="144"/>
        <v>+</v>
      </c>
      <c r="BK559" s="2">
        <v>47.5</v>
      </c>
      <c r="BL559" s="8" t="str">
        <f t="shared" si="145"/>
        <v>+</v>
      </c>
    </row>
    <row r="560" spans="1:64">
      <c r="A560" s="1">
        <v>35247</v>
      </c>
      <c r="B560">
        <v>53.6</v>
      </c>
      <c r="C560">
        <v>59.4</v>
      </c>
      <c r="D560">
        <v>48.2</v>
      </c>
      <c r="E560">
        <v>55.5</v>
      </c>
      <c r="F560">
        <v>52.8</v>
      </c>
      <c r="G560">
        <v>43.1</v>
      </c>
      <c r="I560">
        <v>47.9</v>
      </c>
      <c r="J560">
        <v>51</v>
      </c>
      <c r="K560">
        <v>53.1</v>
      </c>
      <c r="L560">
        <v>48.7</v>
      </c>
      <c r="W560" s="1">
        <v>35247</v>
      </c>
      <c r="X560">
        <v>639.95001200000002</v>
      </c>
      <c r="Y560" s="4">
        <f t="shared" si="132"/>
        <v>-4.5748017194667527E-2</v>
      </c>
      <c r="Z560" s="4">
        <f t="shared" si="134"/>
        <v>0.13857953648571175</v>
      </c>
      <c r="AA560">
        <v>53.6</v>
      </c>
      <c r="AB560">
        <f t="shared" si="135"/>
        <v>45.9</v>
      </c>
      <c r="AP560" s="3">
        <v>35217</v>
      </c>
      <c r="AQ560" s="2">
        <v>49.1</v>
      </c>
      <c r="AR560" s="2" t="str">
        <f t="shared" si="136"/>
        <v>-</v>
      </c>
      <c r="AS560" s="2">
        <v>51.7</v>
      </c>
      <c r="AT560" s="8" t="str">
        <f t="shared" si="137"/>
        <v>-</v>
      </c>
      <c r="AU560" s="2">
        <v>53</v>
      </c>
      <c r="AV560" s="8" t="str">
        <f t="shared" si="138"/>
        <v>+</v>
      </c>
      <c r="AW560" s="2">
        <v>44.7</v>
      </c>
      <c r="AX560" s="8" t="str">
        <f t="shared" si="139"/>
        <v>+</v>
      </c>
      <c r="AY560" s="2">
        <v>49.9</v>
      </c>
      <c r="AZ560" s="8" t="str">
        <f t="shared" si="140"/>
        <v>+</v>
      </c>
      <c r="BA560" s="2">
        <v>39.200000000000003</v>
      </c>
      <c r="BB560" s="8" t="str">
        <f t="shared" si="141"/>
        <v>-</v>
      </c>
      <c r="BC560" s="2"/>
      <c r="BD560" s="8" t="str">
        <f t="shared" si="142"/>
        <v>+</v>
      </c>
      <c r="BE560" s="2">
        <v>50.2</v>
      </c>
      <c r="BF560" s="8" t="str">
        <f t="shared" si="133"/>
        <v>+</v>
      </c>
      <c r="BG560" s="2">
        <v>48.5</v>
      </c>
      <c r="BH560" s="8" t="str">
        <f t="shared" si="143"/>
        <v>+</v>
      </c>
      <c r="BI560" s="2">
        <v>57.2</v>
      </c>
      <c r="BJ560" s="8" t="str">
        <f t="shared" si="144"/>
        <v>+</v>
      </c>
      <c r="BK560" s="2">
        <v>48.5</v>
      </c>
      <c r="BL560" s="8" t="str">
        <f t="shared" si="145"/>
        <v>+</v>
      </c>
    </row>
    <row r="561" spans="1:64">
      <c r="A561" s="1">
        <v>35278</v>
      </c>
      <c r="B561">
        <v>49.7</v>
      </c>
      <c r="C561">
        <v>51.9</v>
      </c>
      <c r="D561">
        <v>46.7</v>
      </c>
      <c r="E561">
        <v>52.4</v>
      </c>
      <c r="F561">
        <v>50.8</v>
      </c>
      <c r="G561">
        <v>40.799999999999997</v>
      </c>
      <c r="I561">
        <v>44.1</v>
      </c>
      <c r="J561">
        <v>47.5</v>
      </c>
      <c r="K561">
        <v>53.2</v>
      </c>
      <c r="L561">
        <v>53.1</v>
      </c>
      <c r="W561" s="1">
        <v>35278</v>
      </c>
      <c r="X561">
        <v>651.98999000000003</v>
      </c>
      <c r="Y561" s="4">
        <f t="shared" si="132"/>
        <v>1.8813935110919288E-2</v>
      </c>
      <c r="Z561" s="4">
        <f t="shared" si="134"/>
        <v>0.16037229336893746</v>
      </c>
      <c r="AA561">
        <v>49.7</v>
      </c>
      <c r="AB561">
        <f t="shared" si="135"/>
        <v>50.7</v>
      </c>
      <c r="AP561" s="3">
        <v>35247</v>
      </c>
      <c r="AQ561" s="2">
        <v>53.6</v>
      </c>
      <c r="AR561" s="2" t="str">
        <f t="shared" si="136"/>
        <v>+</v>
      </c>
      <c r="AS561" s="2">
        <v>59.4</v>
      </c>
      <c r="AT561" s="8" t="str">
        <f t="shared" si="137"/>
        <v>+</v>
      </c>
      <c r="AU561" s="2">
        <v>55.5</v>
      </c>
      <c r="AV561" s="8" t="str">
        <f t="shared" si="138"/>
        <v>+</v>
      </c>
      <c r="AW561" s="2">
        <v>48.2</v>
      </c>
      <c r="AX561" s="8" t="str">
        <f t="shared" si="139"/>
        <v>+</v>
      </c>
      <c r="AY561" s="2">
        <v>52.8</v>
      </c>
      <c r="AZ561" s="8" t="str">
        <f t="shared" si="140"/>
        <v>+</v>
      </c>
      <c r="BA561" s="2">
        <v>43.1</v>
      </c>
      <c r="BB561" s="8" t="str">
        <f t="shared" si="141"/>
        <v>+</v>
      </c>
      <c r="BC561" s="2"/>
      <c r="BD561" s="8" t="str">
        <f t="shared" si="142"/>
        <v>+</v>
      </c>
      <c r="BE561" s="2">
        <v>47.9</v>
      </c>
      <c r="BF561" s="8" t="str">
        <f t="shared" si="133"/>
        <v>-</v>
      </c>
      <c r="BG561" s="2">
        <v>51</v>
      </c>
      <c r="BH561" s="8" t="str">
        <f t="shared" si="143"/>
        <v>+</v>
      </c>
      <c r="BI561" s="2">
        <v>53.1</v>
      </c>
      <c r="BJ561" s="8" t="str">
        <f t="shared" si="144"/>
        <v>-</v>
      </c>
      <c r="BK561" s="2">
        <v>48.7</v>
      </c>
      <c r="BL561" s="8" t="str">
        <f t="shared" si="145"/>
        <v>+</v>
      </c>
    </row>
    <row r="562" spans="1:64">
      <c r="A562" s="1">
        <v>35309</v>
      </c>
      <c r="B562">
        <v>51.6</v>
      </c>
      <c r="C562">
        <v>54.6</v>
      </c>
      <c r="D562">
        <v>47.4</v>
      </c>
      <c r="E562">
        <v>55.1</v>
      </c>
      <c r="F562">
        <v>51.9</v>
      </c>
      <c r="G562">
        <v>42.2</v>
      </c>
      <c r="I562">
        <v>46.6</v>
      </c>
      <c r="J562">
        <v>47</v>
      </c>
      <c r="K562">
        <v>55.3</v>
      </c>
      <c r="L562">
        <v>50</v>
      </c>
      <c r="W562" s="1">
        <v>35309</v>
      </c>
      <c r="X562">
        <v>687.330017</v>
      </c>
      <c r="Y562" s="4">
        <f t="shared" si="132"/>
        <v>5.4203327569492227E-2</v>
      </c>
      <c r="Z562" s="4">
        <f t="shared" si="134"/>
        <v>0.17610932180310337</v>
      </c>
      <c r="AA562">
        <v>51.6</v>
      </c>
      <c r="AB562">
        <f t="shared" si="135"/>
        <v>47.1</v>
      </c>
      <c r="AP562" s="3">
        <v>35278</v>
      </c>
      <c r="AQ562" s="2">
        <v>49.7</v>
      </c>
      <c r="AR562" s="2" t="str">
        <f t="shared" si="136"/>
        <v>-</v>
      </c>
      <c r="AS562" s="2">
        <v>51.9</v>
      </c>
      <c r="AT562" s="8" t="str">
        <f t="shared" si="137"/>
        <v>-</v>
      </c>
      <c r="AU562" s="2">
        <v>52.4</v>
      </c>
      <c r="AV562" s="8" t="str">
        <f t="shared" si="138"/>
        <v>-</v>
      </c>
      <c r="AW562" s="2">
        <v>46.7</v>
      </c>
      <c r="AX562" s="8" t="str">
        <f t="shared" si="139"/>
        <v>-</v>
      </c>
      <c r="AY562" s="2">
        <v>50.8</v>
      </c>
      <c r="AZ562" s="8" t="str">
        <f t="shared" si="140"/>
        <v>-</v>
      </c>
      <c r="BA562" s="2">
        <v>40.799999999999997</v>
      </c>
      <c r="BB562" s="8" t="str">
        <f t="shared" si="141"/>
        <v>-</v>
      </c>
      <c r="BC562" s="2"/>
      <c r="BD562" s="8" t="str">
        <f t="shared" si="142"/>
        <v>+</v>
      </c>
      <c r="BE562" s="2">
        <v>44.1</v>
      </c>
      <c r="BF562" s="8" t="str">
        <f t="shared" si="133"/>
        <v>-</v>
      </c>
      <c r="BG562" s="2">
        <v>47.5</v>
      </c>
      <c r="BH562" s="8" t="str">
        <f t="shared" si="143"/>
        <v>-</v>
      </c>
      <c r="BI562" s="2">
        <v>53.2</v>
      </c>
      <c r="BJ562" s="8" t="str">
        <f t="shared" si="144"/>
        <v>+</v>
      </c>
      <c r="BK562" s="2">
        <v>53.1</v>
      </c>
      <c r="BL562" s="8" t="str">
        <f t="shared" si="145"/>
        <v>+</v>
      </c>
    </row>
    <row r="563" spans="1:64">
      <c r="A563" s="1">
        <v>35339</v>
      </c>
      <c r="B563">
        <v>51.1</v>
      </c>
      <c r="C563">
        <v>54.6</v>
      </c>
      <c r="D563">
        <v>47.2</v>
      </c>
      <c r="E563">
        <v>53.5</v>
      </c>
      <c r="F563">
        <v>50</v>
      </c>
      <c r="G563">
        <v>43.7</v>
      </c>
      <c r="I563">
        <v>50.1</v>
      </c>
      <c r="J563">
        <v>49.5</v>
      </c>
      <c r="K563">
        <v>55.1</v>
      </c>
      <c r="L563">
        <v>50.7</v>
      </c>
      <c r="W563" s="1">
        <v>35339</v>
      </c>
      <c r="X563">
        <v>705.27002000000005</v>
      </c>
      <c r="Y563" s="4">
        <f t="shared" si="132"/>
        <v>2.610100323903073E-2</v>
      </c>
      <c r="Z563" s="4">
        <f t="shared" si="134"/>
        <v>0.21284612209802242</v>
      </c>
      <c r="AA563">
        <v>51.1</v>
      </c>
      <c r="AB563">
        <f t="shared" si="135"/>
        <v>48.1</v>
      </c>
      <c r="AP563" s="3">
        <v>35309</v>
      </c>
      <c r="AQ563" s="2">
        <v>51.6</v>
      </c>
      <c r="AR563" s="2" t="str">
        <f t="shared" si="136"/>
        <v>+</v>
      </c>
      <c r="AS563" s="2">
        <v>54.6</v>
      </c>
      <c r="AT563" s="8" t="str">
        <f t="shared" si="137"/>
        <v>+</v>
      </c>
      <c r="AU563" s="2">
        <v>55.1</v>
      </c>
      <c r="AV563" s="8" t="str">
        <f t="shared" si="138"/>
        <v>+</v>
      </c>
      <c r="AW563" s="2">
        <v>47.4</v>
      </c>
      <c r="AX563" s="8" t="str">
        <f t="shared" si="139"/>
        <v>+</v>
      </c>
      <c r="AY563" s="2">
        <v>51.9</v>
      </c>
      <c r="AZ563" s="8" t="str">
        <f t="shared" si="140"/>
        <v>+</v>
      </c>
      <c r="BA563" s="2">
        <v>42.2</v>
      </c>
      <c r="BB563" s="8" t="str">
        <f t="shared" si="141"/>
        <v>+</v>
      </c>
      <c r="BC563" s="2"/>
      <c r="BD563" s="8" t="str">
        <f t="shared" si="142"/>
        <v>+</v>
      </c>
      <c r="BE563" s="2">
        <v>46.6</v>
      </c>
      <c r="BF563" s="8" t="str">
        <f t="shared" si="133"/>
        <v>+</v>
      </c>
      <c r="BG563" s="2">
        <v>47</v>
      </c>
      <c r="BH563" s="8" t="str">
        <f t="shared" si="143"/>
        <v>-</v>
      </c>
      <c r="BI563" s="2">
        <v>55.3</v>
      </c>
      <c r="BJ563" s="8" t="str">
        <f t="shared" si="144"/>
        <v>+</v>
      </c>
      <c r="BK563" s="2">
        <v>50</v>
      </c>
      <c r="BL563" s="8" t="str">
        <f t="shared" si="145"/>
        <v>-</v>
      </c>
    </row>
    <row r="564" spans="1:64">
      <c r="A564" s="1">
        <v>35370</v>
      </c>
      <c r="B564">
        <v>50.5</v>
      </c>
      <c r="C564">
        <v>52.9</v>
      </c>
      <c r="D564">
        <v>46</v>
      </c>
      <c r="E564">
        <v>55.4</v>
      </c>
      <c r="F564">
        <v>50.9</v>
      </c>
      <c r="G564">
        <v>39.6</v>
      </c>
      <c r="I564">
        <v>45.7</v>
      </c>
      <c r="J564">
        <v>44.5</v>
      </c>
      <c r="K564">
        <v>57</v>
      </c>
      <c r="L564">
        <v>52.8</v>
      </c>
      <c r="W564" s="1">
        <v>35370</v>
      </c>
      <c r="X564">
        <v>757.02002000000005</v>
      </c>
      <c r="Y564" s="4">
        <f t="shared" si="132"/>
        <v>7.337615173263709E-2</v>
      </c>
      <c r="Z564" s="4">
        <f t="shared" si="134"/>
        <v>0.25050799717947703</v>
      </c>
      <c r="AA564">
        <v>50.5</v>
      </c>
      <c r="AB564">
        <f t="shared" si="135"/>
        <v>46.7</v>
      </c>
      <c r="AP564" s="3">
        <v>35339</v>
      </c>
      <c r="AQ564" s="2">
        <v>51.1</v>
      </c>
      <c r="AR564" s="2" t="str">
        <f t="shared" si="136"/>
        <v>-</v>
      </c>
      <c r="AS564" s="2">
        <v>54.6</v>
      </c>
      <c r="AT564" s="8" t="str">
        <f t="shared" si="137"/>
        <v>+</v>
      </c>
      <c r="AU564" s="2">
        <v>53.5</v>
      </c>
      <c r="AV564" s="8" t="str">
        <f t="shared" si="138"/>
        <v>-</v>
      </c>
      <c r="AW564" s="2">
        <v>47.2</v>
      </c>
      <c r="AX564" s="8" t="str">
        <f t="shared" si="139"/>
        <v>-</v>
      </c>
      <c r="AY564" s="2">
        <v>50</v>
      </c>
      <c r="AZ564" s="8" t="str">
        <f t="shared" si="140"/>
        <v>-</v>
      </c>
      <c r="BA564" s="2">
        <v>43.7</v>
      </c>
      <c r="BB564" s="8" t="str">
        <f t="shared" si="141"/>
        <v>+</v>
      </c>
      <c r="BC564" s="2"/>
      <c r="BD564" s="8" t="str">
        <f t="shared" si="142"/>
        <v>+</v>
      </c>
      <c r="BE564" s="2">
        <v>50.1</v>
      </c>
      <c r="BF564" s="8" t="str">
        <f t="shared" si="133"/>
        <v>+</v>
      </c>
      <c r="BG564" s="2">
        <v>49.5</v>
      </c>
      <c r="BH564" s="8" t="str">
        <f t="shared" si="143"/>
        <v>+</v>
      </c>
      <c r="BI564" s="2">
        <v>55.1</v>
      </c>
      <c r="BJ564" s="8" t="str">
        <f t="shared" si="144"/>
        <v>-</v>
      </c>
      <c r="BK564" s="2">
        <v>50.7</v>
      </c>
      <c r="BL564" s="8" t="str">
        <f t="shared" si="145"/>
        <v>+</v>
      </c>
    </row>
    <row r="565" spans="1:64">
      <c r="A565" s="1">
        <v>35400</v>
      </c>
      <c r="B565">
        <v>53</v>
      </c>
      <c r="C565">
        <v>56.9</v>
      </c>
      <c r="D565">
        <v>47.6</v>
      </c>
      <c r="E565">
        <v>58.1</v>
      </c>
      <c r="F565">
        <v>51.2</v>
      </c>
      <c r="G565">
        <v>42.3</v>
      </c>
      <c r="I565">
        <v>46.3</v>
      </c>
      <c r="J565">
        <v>49</v>
      </c>
      <c r="K565">
        <v>55.5</v>
      </c>
      <c r="L565">
        <v>53.2</v>
      </c>
      <c r="W565" s="1">
        <v>35400</v>
      </c>
      <c r="X565">
        <v>740.73999000000003</v>
      </c>
      <c r="Y565" s="4">
        <f t="shared" si="132"/>
        <v>-2.1505415404998153E-2</v>
      </c>
      <c r="Z565" s="4">
        <f t="shared" si="134"/>
        <v>0.2026366606894561</v>
      </c>
      <c r="AA565">
        <v>53</v>
      </c>
      <c r="AB565">
        <f t="shared" si="135"/>
        <v>45.9</v>
      </c>
      <c r="AP565" s="3">
        <v>35370</v>
      </c>
      <c r="AQ565" s="2">
        <v>50.5</v>
      </c>
      <c r="AR565" s="2" t="str">
        <f t="shared" si="136"/>
        <v>-</v>
      </c>
      <c r="AS565" s="2">
        <v>52.9</v>
      </c>
      <c r="AT565" s="8" t="str">
        <f t="shared" si="137"/>
        <v>-</v>
      </c>
      <c r="AU565" s="2">
        <v>55.4</v>
      </c>
      <c r="AV565" s="8" t="str">
        <f t="shared" si="138"/>
        <v>+</v>
      </c>
      <c r="AW565" s="2">
        <v>46</v>
      </c>
      <c r="AX565" s="8" t="str">
        <f t="shared" si="139"/>
        <v>-</v>
      </c>
      <c r="AY565" s="2">
        <v>50.9</v>
      </c>
      <c r="AZ565" s="8" t="str">
        <f t="shared" si="140"/>
        <v>+</v>
      </c>
      <c r="BA565" s="2">
        <v>39.6</v>
      </c>
      <c r="BB565" s="8" t="str">
        <f t="shared" si="141"/>
        <v>-</v>
      </c>
      <c r="BC565" s="2"/>
      <c r="BD565" s="8" t="str">
        <f t="shared" si="142"/>
        <v>+</v>
      </c>
      <c r="BE565" s="2">
        <v>45.7</v>
      </c>
      <c r="BF565" s="8" t="str">
        <f t="shared" si="133"/>
        <v>-</v>
      </c>
      <c r="BG565" s="2">
        <v>44.5</v>
      </c>
      <c r="BH565" s="8" t="str">
        <f t="shared" si="143"/>
        <v>-</v>
      </c>
      <c r="BI565" s="2">
        <v>57</v>
      </c>
      <c r="BJ565" s="8" t="str">
        <f t="shared" si="144"/>
        <v>+</v>
      </c>
      <c r="BK565" s="2">
        <v>52.8</v>
      </c>
      <c r="BL565" s="8" t="str">
        <f t="shared" si="145"/>
        <v>+</v>
      </c>
    </row>
    <row r="566" spans="1:64">
      <c r="A566" s="1">
        <v>35431</v>
      </c>
      <c r="B566">
        <v>55.2</v>
      </c>
      <c r="C566">
        <v>61.7</v>
      </c>
      <c r="D566">
        <v>48.6</v>
      </c>
      <c r="E566">
        <v>58.9</v>
      </c>
      <c r="F566">
        <v>52</v>
      </c>
      <c r="G566">
        <v>44.4</v>
      </c>
      <c r="I566">
        <v>52</v>
      </c>
      <c r="J566">
        <v>51</v>
      </c>
      <c r="K566">
        <v>56.5</v>
      </c>
      <c r="L566">
        <v>51.6</v>
      </c>
      <c r="W566" s="1">
        <v>35431</v>
      </c>
      <c r="X566">
        <v>786.15997300000004</v>
      </c>
      <c r="Y566" s="4">
        <f t="shared" si="132"/>
        <v>6.1317039194819227E-2</v>
      </c>
      <c r="Z566" s="4">
        <f t="shared" si="134"/>
        <v>0.2360616777440433</v>
      </c>
      <c r="AA566">
        <v>55.2</v>
      </c>
      <c r="AB566">
        <f t="shared" si="135"/>
        <v>46.2</v>
      </c>
      <c r="AP566" s="3">
        <v>35400</v>
      </c>
      <c r="AQ566" s="2">
        <v>53</v>
      </c>
      <c r="AR566" s="2" t="str">
        <f t="shared" si="136"/>
        <v>+</v>
      </c>
      <c r="AS566" s="2">
        <v>56.9</v>
      </c>
      <c r="AT566" s="8" t="str">
        <f t="shared" si="137"/>
        <v>+</v>
      </c>
      <c r="AU566" s="2">
        <v>58.1</v>
      </c>
      <c r="AV566" s="8" t="str">
        <f t="shared" si="138"/>
        <v>+</v>
      </c>
      <c r="AW566" s="2">
        <v>47.6</v>
      </c>
      <c r="AX566" s="8" t="str">
        <f t="shared" si="139"/>
        <v>+</v>
      </c>
      <c r="AY566" s="2">
        <v>51.2</v>
      </c>
      <c r="AZ566" s="8" t="str">
        <f t="shared" si="140"/>
        <v>+</v>
      </c>
      <c r="BA566" s="2">
        <v>42.3</v>
      </c>
      <c r="BB566" s="8" t="str">
        <f t="shared" si="141"/>
        <v>+</v>
      </c>
      <c r="BC566" s="2"/>
      <c r="BD566" s="8" t="str">
        <f t="shared" si="142"/>
        <v>+</v>
      </c>
      <c r="BE566" s="2">
        <v>46.3</v>
      </c>
      <c r="BF566" s="8" t="str">
        <f t="shared" si="133"/>
        <v>+</v>
      </c>
      <c r="BG566" s="2">
        <v>49</v>
      </c>
      <c r="BH566" s="8" t="str">
        <f t="shared" si="143"/>
        <v>+</v>
      </c>
      <c r="BI566" s="2">
        <v>55.5</v>
      </c>
      <c r="BJ566" s="8" t="str">
        <f t="shared" si="144"/>
        <v>-</v>
      </c>
      <c r="BK566" s="2">
        <v>53.2</v>
      </c>
      <c r="BL566" s="8" t="str">
        <f t="shared" si="145"/>
        <v>+</v>
      </c>
    </row>
    <row r="567" spans="1:64">
      <c r="A567" s="1">
        <v>35462</v>
      </c>
      <c r="B567">
        <v>53.8</v>
      </c>
      <c r="C567">
        <v>57</v>
      </c>
      <c r="D567">
        <v>49.8</v>
      </c>
      <c r="E567">
        <v>59.8</v>
      </c>
      <c r="F567">
        <v>49.7</v>
      </c>
      <c r="G567">
        <v>43.2</v>
      </c>
      <c r="H567">
        <v>46.5</v>
      </c>
      <c r="I567">
        <v>53.3</v>
      </c>
      <c r="J567">
        <v>45.5</v>
      </c>
      <c r="K567">
        <v>56.2</v>
      </c>
      <c r="L567">
        <v>53.5</v>
      </c>
      <c r="W567" s="1">
        <v>35462</v>
      </c>
      <c r="X567">
        <v>790.82000700000003</v>
      </c>
      <c r="Y567" s="4">
        <f t="shared" si="132"/>
        <v>5.9275900071803778E-3</v>
      </c>
      <c r="Z567" s="4">
        <f t="shared" si="134"/>
        <v>0.23482662530453985</v>
      </c>
      <c r="AA567">
        <v>53.8</v>
      </c>
      <c r="AB567">
        <f t="shared" si="135"/>
        <v>45.5</v>
      </c>
      <c r="AP567" s="3">
        <v>35431</v>
      </c>
      <c r="AQ567" s="2">
        <v>55.2</v>
      </c>
      <c r="AR567" s="2" t="str">
        <f t="shared" si="136"/>
        <v>+</v>
      </c>
      <c r="AS567" s="2">
        <v>61.7</v>
      </c>
      <c r="AT567" s="8" t="str">
        <f t="shared" si="137"/>
        <v>+</v>
      </c>
      <c r="AU567" s="2">
        <v>58.9</v>
      </c>
      <c r="AV567" s="8" t="str">
        <f t="shared" si="138"/>
        <v>+</v>
      </c>
      <c r="AW567" s="2">
        <v>48.6</v>
      </c>
      <c r="AX567" s="8" t="str">
        <f t="shared" si="139"/>
        <v>+</v>
      </c>
      <c r="AY567" s="2">
        <v>52</v>
      </c>
      <c r="AZ567" s="8" t="str">
        <f t="shared" si="140"/>
        <v>+</v>
      </c>
      <c r="BA567" s="2">
        <v>44.4</v>
      </c>
      <c r="BB567" s="8" t="str">
        <f t="shared" si="141"/>
        <v>+</v>
      </c>
      <c r="BC567" s="2"/>
      <c r="BD567" s="8" t="str">
        <f t="shared" si="142"/>
        <v>+</v>
      </c>
      <c r="BE567" s="2">
        <v>52</v>
      </c>
      <c r="BF567" s="8" t="str">
        <f t="shared" si="133"/>
        <v>+</v>
      </c>
      <c r="BG567" s="2">
        <v>51</v>
      </c>
      <c r="BH567" s="8" t="str">
        <f t="shared" si="143"/>
        <v>+</v>
      </c>
      <c r="BI567" s="2">
        <v>56.5</v>
      </c>
      <c r="BJ567" s="8" t="str">
        <f t="shared" si="144"/>
        <v>+</v>
      </c>
      <c r="BK567" s="2">
        <v>51.6</v>
      </c>
      <c r="BL567" s="8" t="str">
        <f t="shared" si="145"/>
        <v>-</v>
      </c>
    </row>
    <row r="568" spans="1:64">
      <c r="A568" s="1">
        <v>35490</v>
      </c>
      <c r="B568">
        <v>53.1</v>
      </c>
      <c r="C568">
        <v>57.6</v>
      </c>
      <c r="D568">
        <v>45.9</v>
      </c>
      <c r="E568">
        <v>58.9</v>
      </c>
      <c r="F568">
        <v>52.1</v>
      </c>
      <c r="G568">
        <v>41.3</v>
      </c>
      <c r="H568">
        <v>44.5</v>
      </c>
      <c r="I568">
        <v>56.4</v>
      </c>
      <c r="J568">
        <v>48.5</v>
      </c>
      <c r="K568">
        <v>54.6</v>
      </c>
      <c r="L568">
        <v>53.7</v>
      </c>
      <c r="W568" s="1">
        <v>35490</v>
      </c>
      <c r="X568">
        <v>757.11999500000002</v>
      </c>
      <c r="Y568" s="4">
        <f t="shared" si="132"/>
        <v>-4.261401039642642E-2</v>
      </c>
      <c r="Z568" s="4">
        <f t="shared" si="134"/>
        <v>0.17292020914020143</v>
      </c>
      <c r="AA568">
        <v>53.1</v>
      </c>
      <c r="AB568">
        <f t="shared" si="135"/>
        <v>45.9</v>
      </c>
      <c r="AP568" s="3">
        <v>35462</v>
      </c>
      <c r="AQ568" s="2">
        <v>53.8</v>
      </c>
      <c r="AR568" s="2" t="str">
        <f t="shared" si="136"/>
        <v>-</v>
      </c>
      <c r="AS568" s="2">
        <v>57</v>
      </c>
      <c r="AT568" s="8" t="str">
        <f t="shared" si="137"/>
        <v>-</v>
      </c>
      <c r="AU568" s="2">
        <v>59.8</v>
      </c>
      <c r="AV568" s="8" t="str">
        <f t="shared" si="138"/>
        <v>+</v>
      </c>
      <c r="AW568" s="2">
        <v>49.8</v>
      </c>
      <c r="AX568" s="8" t="str">
        <f t="shared" si="139"/>
        <v>+</v>
      </c>
      <c r="AY568" s="2">
        <v>49.7</v>
      </c>
      <c r="AZ568" s="8" t="str">
        <f t="shared" si="140"/>
        <v>-</v>
      </c>
      <c r="BA568" s="2">
        <v>43.2</v>
      </c>
      <c r="BB568" s="8" t="str">
        <f t="shared" si="141"/>
        <v>-</v>
      </c>
      <c r="BC568" s="2">
        <v>46.5</v>
      </c>
      <c r="BD568" s="8" t="str">
        <f t="shared" si="142"/>
        <v>+</v>
      </c>
      <c r="BE568" s="2">
        <v>53.3</v>
      </c>
      <c r="BF568" s="8" t="str">
        <f t="shared" si="133"/>
        <v>+</v>
      </c>
      <c r="BG568" s="2">
        <v>45.5</v>
      </c>
      <c r="BH568" s="8" t="str">
        <f t="shared" si="143"/>
        <v>-</v>
      </c>
      <c r="BI568" s="2">
        <v>56.2</v>
      </c>
      <c r="BJ568" s="8" t="str">
        <f t="shared" si="144"/>
        <v>-</v>
      </c>
      <c r="BK568" s="2">
        <v>53.5</v>
      </c>
      <c r="BL568" s="8" t="str">
        <f t="shared" si="145"/>
        <v>+</v>
      </c>
    </row>
    <row r="569" spans="1:64">
      <c r="A569" s="1">
        <v>35521</v>
      </c>
      <c r="B569">
        <v>53.8</v>
      </c>
      <c r="C569">
        <v>58.6</v>
      </c>
      <c r="D569">
        <v>50.8</v>
      </c>
      <c r="E569">
        <v>55</v>
      </c>
      <c r="F569">
        <v>53.1</v>
      </c>
      <c r="G569">
        <v>43.5</v>
      </c>
      <c r="H569">
        <v>46.5</v>
      </c>
      <c r="I569">
        <v>51.1</v>
      </c>
      <c r="J569">
        <v>51.5</v>
      </c>
      <c r="K569">
        <v>55.7</v>
      </c>
      <c r="L569">
        <v>48.3</v>
      </c>
      <c r="W569" s="1">
        <v>35521</v>
      </c>
      <c r="X569">
        <v>801.34002699999996</v>
      </c>
      <c r="Y569" s="4">
        <f t="shared" si="132"/>
        <v>5.8405579422057062E-2</v>
      </c>
      <c r="Z569" s="4">
        <f t="shared" si="134"/>
        <v>0.22497217516016776</v>
      </c>
      <c r="AA569">
        <v>53.8</v>
      </c>
      <c r="AB569">
        <f t="shared" si="135"/>
        <v>46.9</v>
      </c>
      <c r="AP569" s="3">
        <v>35490</v>
      </c>
      <c r="AQ569" s="2">
        <v>53.1</v>
      </c>
      <c r="AR569" s="2" t="str">
        <f t="shared" si="136"/>
        <v>-</v>
      </c>
      <c r="AS569" s="2">
        <v>57.6</v>
      </c>
      <c r="AT569" s="8" t="str">
        <f t="shared" si="137"/>
        <v>+</v>
      </c>
      <c r="AU569" s="2">
        <v>58.9</v>
      </c>
      <c r="AV569" s="8" t="str">
        <f t="shared" si="138"/>
        <v>-</v>
      </c>
      <c r="AW569" s="2">
        <v>45.9</v>
      </c>
      <c r="AX569" s="8" t="str">
        <f t="shared" si="139"/>
        <v>-</v>
      </c>
      <c r="AY569" s="2">
        <v>52.1</v>
      </c>
      <c r="AZ569" s="8" t="str">
        <f t="shared" si="140"/>
        <v>+</v>
      </c>
      <c r="BA569" s="2">
        <v>41.3</v>
      </c>
      <c r="BB569" s="8" t="str">
        <f t="shared" si="141"/>
        <v>-</v>
      </c>
      <c r="BC569" s="2">
        <v>44.5</v>
      </c>
      <c r="BD569" s="8" t="str">
        <f t="shared" si="142"/>
        <v>-</v>
      </c>
      <c r="BE569" s="2">
        <v>56.4</v>
      </c>
      <c r="BF569" s="8" t="str">
        <f t="shared" si="133"/>
        <v>+</v>
      </c>
      <c r="BG569" s="2">
        <v>48.5</v>
      </c>
      <c r="BH569" s="8" t="str">
        <f t="shared" si="143"/>
        <v>+</v>
      </c>
      <c r="BI569" s="2">
        <v>54.6</v>
      </c>
      <c r="BJ569" s="8" t="str">
        <f t="shared" si="144"/>
        <v>-</v>
      </c>
      <c r="BK569" s="2">
        <v>53.7</v>
      </c>
      <c r="BL569" s="8" t="str">
        <f t="shared" si="145"/>
        <v>+</v>
      </c>
    </row>
    <row r="570" spans="1:64">
      <c r="A570" s="1">
        <v>35551</v>
      </c>
      <c r="B570">
        <v>53.7</v>
      </c>
      <c r="C570">
        <v>56.6</v>
      </c>
      <c r="D570">
        <v>51.8</v>
      </c>
      <c r="E570">
        <v>56.8</v>
      </c>
      <c r="F570">
        <v>53.4</v>
      </c>
      <c r="G570">
        <v>41.4</v>
      </c>
      <c r="H570">
        <v>47</v>
      </c>
      <c r="I570">
        <v>50.3</v>
      </c>
      <c r="J570">
        <v>54</v>
      </c>
      <c r="K570">
        <v>54.7</v>
      </c>
      <c r="L570">
        <v>51.4</v>
      </c>
      <c r="W570" s="1">
        <v>35551</v>
      </c>
      <c r="X570">
        <v>848.28002900000001</v>
      </c>
      <c r="Y570" s="4">
        <f t="shared" si="132"/>
        <v>5.8576884241924997E-2</v>
      </c>
      <c r="Z570" s="4">
        <f t="shared" si="134"/>
        <v>0.26775471565455161</v>
      </c>
      <c r="AA570">
        <v>53.7</v>
      </c>
      <c r="AB570">
        <f t="shared" si="135"/>
        <v>49.3</v>
      </c>
      <c r="AP570" s="3">
        <v>35521</v>
      </c>
      <c r="AQ570" s="2">
        <v>53.8</v>
      </c>
      <c r="AR570" s="2" t="str">
        <f t="shared" si="136"/>
        <v>+</v>
      </c>
      <c r="AS570" s="2">
        <v>58.6</v>
      </c>
      <c r="AT570" s="8" t="str">
        <f t="shared" si="137"/>
        <v>+</v>
      </c>
      <c r="AU570" s="2">
        <v>55</v>
      </c>
      <c r="AV570" s="8" t="str">
        <f t="shared" si="138"/>
        <v>-</v>
      </c>
      <c r="AW570" s="2">
        <v>50.8</v>
      </c>
      <c r="AX570" s="8" t="str">
        <f t="shared" si="139"/>
        <v>+</v>
      </c>
      <c r="AY570" s="2">
        <v>53.1</v>
      </c>
      <c r="AZ570" s="8" t="str">
        <f t="shared" si="140"/>
        <v>+</v>
      </c>
      <c r="BA570" s="2">
        <v>43.5</v>
      </c>
      <c r="BB570" s="8" t="str">
        <f t="shared" si="141"/>
        <v>+</v>
      </c>
      <c r="BC570" s="2">
        <v>46.5</v>
      </c>
      <c r="BD570" s="8" t="str">
        <f t="shared" si="142"/>
        <v>+</v>
      </c>
      <c r="BE570" s="2">
        <v>51.1</v>
      </c>
      <c r="BF570" s="8" t="str">
        <f t="shared" si="133"/>
        <v>-</v>
      </c>
      <c r="BG570" s="2">
        <v>51.5</v>
      </c>
      <c r="BH570" s="8" t="str">
        <f t="shared" si="143"/>
        <v>+</v>
      </c>
      <c r="BI570" s="2">
        <v>55.7</v>
      </c>
      <c r="BJ570" s="8" t="str">
        <f t="shared" si="144"/>
        <v>+</v>
      </c>
      <c r="BK570" s="2">
        <v>48.3</v>
      </c>
      <c r="BL570" s="8" t="str">
        <f t="shared" si="145"/>
        <v>-</v>
      </c>
    </row>
    <row r="571" spans="1:64">
      <c r="A571" s="1">
        <v>35582</v>
      </c>
      <c r="B571">
        <v>56.1</v>
      </c>
      <c r="C571">
        <v>62.3</v>
      </c>
      <c r="D571">
        <v>50.7</v>
      </c>
      <c r="E571">
        <v>56.7</v>
      </c>
      <c r="F571">
        <v>55</v>
      </c>
      <c r="G571">
        <v>48.1</v>
      </c>
      <c r="H571">
        <v>44.5</v>
      </c>
      <c r="I571">
        <v>48.5</v>
      </c>
      <c r="J571">
        <v>58</v>
      </c>
      <c r="K571">
        <v>53.6</v>
      </c>
      <c r="L571">
        <v>52.1</v>
      </c>
      <c r="W571" s="1">
        <v>35582</v>
      </c>
      <c r="X571">
        <v>885.14001499999995</v>
      </c>
      <c r="Y571" s="4">
        <f t="shared" si="132"/>
        <v>4.3452615574897539E-2</v>
      </c>
      <c r="Z571" s="4">
        <f t="shared" si="134"/>
        <v>0.31986342454212136</v>
      </c>
      <c r="AA571">
        <v>56.1</v>
      </c>
      <c r="AB571">
        <f t="shared" si="135"/>
        <v>49.1</v>
      </c>
      <c r="AP571" s="3">
        <v>35551</v>
      </c>
      <c r="AQ571" s="2">
        <v>53.7</v>
      </c>
      <c r="AR571" s="2" t="str">
        <f t="shared" si="136"/>
        <v>-</v>
      </c>
      <c r="AS571" s="2">
        <v>56.6</v>
      </c>
      <c r="AT571" s="8" t="str">
        <f t="shared" si="137"/>
        <v>-</v>
      </c>
      <c r="AU571" s="2">
        <v>56.8</v>
      </c>
      <c r="AV571" s="8" t="str">
        <f t="shared" si="138"/>
        <v>+</v>
      </c>
      <c r="AW571" s="2">
        <v>51.8</v>
      </c>
      <c r="AX571" s="8" t="str">
        <f t="shared" si="139"/>
        <v>+</v>
      </c>
      <c r="AY571" s="2">
        <v>53.4</v>
      </c>
      <c r="AZ571" s="8" t="str">
        <f t="shared" si="140"/>
        <v>+</v>
      </c>
      <c r="BA571" s="2">
        <v>41.4</v>
      </c>
      <c r="BB571" s="8" t="str">
        <f t="shared" si="141"/>
        <v>-</v>
      </c>
      <c r="BC571" s="2">
        <v>47</v>
      </c>
      <c r="BD571" s="8" t="str">
        <f t="shared" si="142"/>
        <v>+</v>
      </c>
      <c r="BE571" s="2">
        <v>50.3</v>
      </c>
      <c r="BF571" s="8" t="str">
        <f t="shared" si="133"/>
        <v>-</v>
      </c>
      <c r="BG571" s="2">
        <v>54</v>
      </c>
      <c r="BH571" s="8" t="str">
        <f t="shared" si="143"/>
        <v>+</v>
      </c>
      <c r="BI571" s="2">
        <v>54.7</v>
      </c>
      <c r="BJ571" s="8" t="str">
        <f t="shared" si="144"/>
        <v>-</v>
      </c>
      <c r="BK571" s="2">
        <v>51.4</v>
      </c>
      <c r="BL571" s="8" t="str">
        <f t="shared" si="145"/>
        <v>+</v>
      </c>
    </row>
    <row r="572" spans="1:64">
      <c r="A572" s="1">
        <v>35612</v>
      </c>
      <c r="B572">
        <v>54.9</v>
      </c>
      <c r="C572">
        <v>59.4</v>
      </c>
      <c r="D572">
        <v>51.3</v>
      </c>
      <c r="E572">
        <v>56.5</v>
      </c>
      <c r="F572">
        <v>54.6</v>
      </c>
      <c r="G572">
        <v>45.2</v>
      </c>
      <c r="H572">
        <v>50.5</v>
      </c>
      <c r="I572">
        <v>48.9</v>
      </c>
      <c r="J572">
        <v>53.5</v>
      </c>
      <c r="K572">
        <v>53.5</v>
      </c>
      <c r="L572">
        <v>54.1</v>
      </c>
      <c r="W572" s="1">
        <v>35612</v>
      </c>
      <c r="X572">
        <v>954.30999799999995</v>
      </c>
      <c r="Y572" s="4">
        <f t="shared" si="132"/>
        <v>7.8145809507888991E-2</v>
      </c>
      <c r="Z572" s="4">
        <f t="shared" si="134"/>
        <v>0.49122584593372887</v>
      </c>
      <c r="AA572">
        <v>54.9</v>
      </c>
      <c r="AB572">
        <f t="shared" si="135"/>
        <v>53.6</v>
      </c>
      <c r="AP572" s="3">
        <v>35582</v>
      </c>
      <c r="AQ572" s="2">
        <v>56.1</v>
      </c>
      <c r="AR572" s="2" t="str">
        <f t="shared" si="136"/>
        <v>+</v>
      </c>
      <c r="AS572" s="2">
        <v>62.3</v>
      </c>
      <c r="AT572" s="8" t="str">
        <f t="shared" si="137"/>
        <v>+</v>
      </c>
      <c r="AU572" s="2">
        <v>56.7</v>
      </c>
      <c r="AV572" s="8" t="str">
        <f t="shared" si="138"/>
        <v>-</v>
      </c>
      <c r="AW572" s="2">
        <v>50.7</v>
      </c>
      <c r="AX572" s="8" t="str">
        <f t="shared" si="139"/>
        <v>-</v>
      </c>
      <c r="AY572" s="2">
        <v>55</v>
      </c>
      <c r="AZ572" s="8" t="str">
        <f t="shared" si="140"/>
        <v>+</v>
      </c>
      <c r="BA572" s="2">
        <v>48.1</v>
      </c>
      <c r="BB572" s="8" t="str">
        <f t="shared" si="141"/>
        <v>+</v>
      </c>
      <c r="BC572" s="2">
        <v>44.5</v>
      </c>
      <c r="BD572" s="8" t="str">
        <f t="shared" si="142"/>
        <v>-</v>
      </c>
      <c r="BE572" s="2">
        <v>48.5</v>
      </c>
      <c r="BF572" s="8" t="str">
        <f t="shared" si="133"/>
        <v>-</v>
      </c>
      <c r="BG572" s="2">
        <v>58</v>
      </c>
      <c r="BH572" s="8" t="str">
        <f t="shared" si="143"/>
        <v>+</v>
      </c>
      <c r="BI572" s="2">
        <v>53.6</v>
      </c>
      <c r="BJ572" s="8" t="str">
        <f t="shared" si="144"/>
        <v>-</v>
      </c>
      <c r="BK572" s="2">
        <v>52.1</v>
      </c>
      <c r="BL572" s="8" t="str">
        <f t="shared" si="145"/>
        <v>+</v>
      </c>
    </row>
    <row r="573" spans="1:64">
      <c r="A573" s="1">
        <v>35643</v>
      </c>
      <c r="B573">
        <v>57.7</v>
      </c>
      <c r="C573">
        <v>61.3</v>
      </c>
      <c r="D573">
        <v>51.7</v>
      </c>
      <c r="E573">
        <v>64.5</v>
      </c>
      <c r="F573">
        <v>54.7</v>
      </c>
      <c r="G573">
        <v>45.9</v>
      </c>
      <c r="H573">
        <v>47.5</v>
      </c>
      <c r="I573">
        <v>52</v>
      </c>
      <c r="J573">
        <v>56.5</v>
      </c>
      <c r="K573">
        <v>56.2</v>
      </c>
      <c r="L573">
        <v>55.2</v>
      </c>
      <c r="W573" s="1">
        <v>35643</v>
      </c>
      <c r="X573">
        <v>899.46997099999999</v>
      </c>
      <c r="Y573" s="4">
        <f t="shared" si="132"/>
        <v>-5.7465631833399242E-2</v>
      </c>
      <c r="Z573" s="4">
        <f t="shared" si="134"/>
        <v>0.37957635055102601</v>
      </c>
      <c r="AA573">
        <v>57.7</v>
      </c>
      <c r="AB573">
        <f t="shared" si="135"/>
        <v>49.7</v>
      </c>
      <c r="AP573" s="3">
        <v>35612</v>
      </c>
      <c r="AQ573" s="2">
        <v>54.9</v>
      </c>
      <c r="AR573" s="2" t="str">
        <f t="shared" si="136"/>
        <v>-</v>
      </c>
      <c r="AS573" s="2">
        <v>59.4</v>
      </c>
      <c r="AT573" s="8" t="str">
        <f t="shared" si="137"/>
        <v>-</v>
      </c>
      <c r="AU573" s="2">
        <v>56.5</v>
      </c>
      <c r="AV573" s="8" t="str">
        <f t="shared" si="138"/>
        <v>-</v>
      </c>
      <c r="AW573" s="2">
        <v>51.3</v>
      </c>
      <c r="AX573" s="8" t="str">
        <f t="shared" si="139"/>
        <v>+</v>
      </c>
      <c r="AY573" s="2">
        <v>54.6</v>
      </c>
      <c r="AZ573" s="8" t="str">
        <f t="shared" si="140"/>
        <v>-</v>
      </c>
      <c r="BA573" s="2">
        <v>45.2</v>
      </c>
      <c r="BB573" s="8" t="str">
        <f t="shared" si="141"/>
        <v>-</v>
      </c>
      <c r="BC573" s="2">
        <v>50.5</v>
      </c>
      <c r="BD573" s="8" t="str">
        <f t="shared" si="142"/>
        <v>+</v>
      </c>
      <c r="BE573" s="2">
        <v>48.9</v>
      </c>
      <c r="BF573" s="8" t="str">
        <f t="shared" si="133"/>
        <v>+</v>
      </c>
      <c r="BG573" s="2">
        <v>53.5</v>
      </c>
      <c r="BH573" s="8" t="str">
        <f t="shared" si="143"/>
        <v>-</v>
      </c>
      <c r="BI573" s="2">
        <v>53.5</v>
      </c>
      <c r="BJ573" s="8" t="str">
        <f t="shared" si="144"/>
        <v>-</v>
      </c>
      <c r="BK573" s="2">
        <v>54.1</v>
      </c>
      <c r="BL573" s="8" t="str">
        <f t="shared" si="145"/>
        <v>+</v>
      </c>
    </row>
    <row r="574" spans="1:64">
      <c r="A574" s="1">
        <v>35674</v>
      </c>
      <c r="B574">
        <v>56.3</v>
      </c>
      <c r="C574">
        <v>60.3</v>
      </c>
      <c r="D574">
        <v>51.3</v>
      </c>
      <c r="E574">
        <v>61.5</v>
      </c>
      <c r="F574">
        <v>55.2</v>
      </c>
      <c r="G574">
        <v>43</v>
      </c>
      <c r="H574">
        <v>47</v>
      </c>
      <c r="I574">
        <v>52.1</v>
      </c>
      <c r="J574">
        <v>60</v>
      </c>
      <c r="K574">
        <v>54.9</v>
      </c>
      <c r="L574">
        <v>53.7</v>
      </c>
      <c r="W574" s="1">
        <v>35674</v>
      </c>
      <c r="X574">
        <v>947.28002900000001</v>
      </c>
      <c r="Y574" s="4">
        <f t="shared" si="132"/>
        <v>5.3153589937912478E-2</v>
      </c>
      <c r="Z574" s="4">
        <f t="shared" si="134"/>
        <v>0.37820261820458223</v>
      </c>
      <c r="AA574">
        <v>56.3</v>
      </c>
      <c r="AB574">
        <f t="shared" si="135"/>
        <v>51.6</v>
      </c>
      <c r="AP574" s="3">
        <v>35643</v>
      </c>
      <c r="AQ574" s="2">
        <v>57.7</v>
      </c>
      <c r="AR574" s="2" t="str">
        <f t="shared" si="136"/>
        <v>+</v>
      </c>
      <c r="AS574" s="2">
        <v>61.3</v>
      </c>
      <c r="AT574" s="8" t="str">
        <f t="shared" si="137"/>
        <v>+</v>
      </c>
      <c r="AU574" s="2">
        <v>64.5</v>
      </c>
      <c r="AV574" s="8" t="str">
        <f t="shared" si="138"/>
        <v>+</v>
      </c>
      <c r="AW574" s="2">
        <v>51.7</v>
      </c>
      <c r="AX574" s="8" t="str">
        <f t="shared" si="139"/>
        <v>+</v>
      </c>
      <c r="AY574" s="2">
        <v>54.7</v>
      </c>
      <c r="AZ574" s="8" t="str">
        <f t="shared" si="140"/>
        <v>+</v>
      </c>
      <c r="BA574" s="2">
        <v>45.9</v>
      </c>
      <c r="BB574" s="8" t="str">
        <f t="shared" si="141"/>
        <v>+</v>
      </c>
      <c r="BC574" s="2">
        <v>47.5</v>
      </c>
      <c r="BD574" s="8" t="str">
        <f t="shared" si="142"/>
        <v>-</v>
      </c>
      <c r="BE574" s="2">
        <v>52</v>
      </c>
      <c r="BF574" s="8" t="str">
        <f t="shared" si="133"/>
        <v>+</v>
      </c>
      <c r="BG574" s="2">
        <v>56.5</v>
      </c>
      <c r="BH574" s="8" t="str">
        <f t="shared" si="143"/>
        <v>+</v>
      </c>
      <c r="BI574" s="2">
        <v>56.2</v>
      </c>
      <c r="BJ574" s="8" t="str">
        <f t="shared" si="144"/>
        <v>+</v>
      </c>
      <c r="BK574" s="2">
        <v>55.2</v>
      </c>
      <c r="BL574" s="8" t="str">
        <f t="shared" si="145"/>
        <v>+</v>
      </c>
    </row>
    <row r="575" spans="1:64">
      <c r="A575" s="1">
        <v>35704</v>
      </c>
      <c r="B575">
        <v>53.9</v>
      </c>
      <c r="C575">
        <v>55.4</v>
      </c>
      <c r="D575">
        <v>51.2</v>
      </c>
      <c r="E575">
        <v>56.6</v>
      </c>
      <c r="F575">
        <v>54.8</v>
      </c>
      <c r="G575">
        <v>47.2</v>
      </c>
      <c r="H575">
        <v>49.5</v>
      </c>
      <c r="I575">
        <v>53</v>
      </c>
      <c r="J575">
        <v>50</v>
      </c>
      <c r="K575">
        <v>49.4</v>
      </c>
      <c r="L575">
        <v>51.6</v>
      </c>
      <c r="W575" s="1">
        <v>35704</v>
      </c>
      <c r="X575">
        <v>914.61999500000002</v>
      </c>
      <c r="Y575" s="4">
        <f t="shared" si="132"/>
        <v>-3.4477697196337698E-2</v>
      </c>
      <c r="Z575" s="4">
        <f t="shared" si="134"/>
        <v>0.29683662861495225</v>
      </c>
      <c r="AA575">
        <v>53.9</v>
      </c>
      <c r="AB575">
        <f t="shared" si="135"/>
        <v>51.1</v>
      </c>
      <c r="AP575" s="3">
        <v>35674</v>
      </c>
      <c r="AQ575" s="2">
        <v>56.3</v>
      </c>
      <c r="AR575" s="2" t="str">
        <f t="shared" si="136"/>
        <v>-</v>
      </c>
      <c r="AS575" s="2">
        <v>60.3</v>
      </c>
      <c r="AT575" s="8" t="str">
        <f t="shared" si="137"/>
        <v>-</v>
      </c>
      <c r="AU575" s="2">
        <v>61.5</v>
      </c>
      <c r="AV575" s="8" t="str">
        <f t="shared" si="138"/>
        <v>-</v>
      </c>
      <c r="AW575" s="2">
        <v>51.3</v>
      </c>
      <c r="AX575" s="8" t="str">
        <f t="shared" si="139"/>
        <v>-</v>
      </c>
      <c r="AY575" s="2">
        <v>55.2</v>
      </c>
      <c r="AZ575" s="8" t="str">
        <f t="shared" si="140"/>
        <v>+</v>
      </c>
      <c r="BA575" s="2">
        <v>43</v>
      </c>
      <c r="BB575" s="8" t="str">
        <f t="shared" si="141"/>
        <v>-</v>
      </c>
      <c r="BC575" s="2">
        <v>47</v>
      </c>
      <c r="BD575" s="8" t="str">
        <f t="shared" si="142"/>
        <v>-</v>
      </c>
      <c r="BE575" s="2">
        <v>52.1</v>
      </c>
      <c r="BF575" s="8" t="str">
        <f t="shared" si="133"/>
        <v>+</v>
      </c>
      <c r="BG575" s="2">
        <v>60</v>
      </c>
      <c r="BH575" s="8" t="str">
        <f t="shared" si="143"/>
        <v>+</v>
      </c>
      <c r="BI575" s="2">
        <v>54.9</v>
      </c>
      <c r="BJ575" s="8" t="str">
        <f t="shared" si="144"/>
        <v>-</v>
      </c>
      <c r="BK575" s="2">
        <v>53.7</v>
      </c>
      <c r="BL575" s="8" t="str">
        <f t="shared" si="145"/>
        <v>-</v>
      </c>
    </row>
    <row r="576" spans="1:64">
      <c r="A576" s="1">
        <v>35735</v>
      </c>
      <c r="B576">
        <v>56.4</v>
      </c>
      <c r="C576">
        <v>60.9</v>
      </c>
      <c r="D576">
        <v>52.8</v>
      </c>
      <c r="E576">
        <v>59.4</v>
      </c>
      <c r="F576">
        <v>54.9</v>
      </c>
      <c r="G576">
        <v>45</v>
      </c>
      <c r="H576">
        <v>47</v>
      </c>
      <c r="I576">
        <v>53.6</v>
      </c>
      <c r="J576">
        <v>56.5</v>
      </c>
      <c r="K576">
        <v>54.9</v>
      </c>
      <c r="L576">
        <v>51.8</v>
      </c>
      <c r="W576" s="1">
        <v>35735</v>
      </c>
      <c r="X576">
        <v>955.40002400000003</v>
      </c>
      <c r="Y576" s="4">
        <f t="shared" si="132"/>
        <v>4.4586854893763843E-2</v>
      </c>
      <c r="Z576" s="4">
        <f t="shared" si="134"/>
        <v>0.26205384105957985</v>
      </c>
      <c r="AA576">
        <v>56.4</v>
      </c>
      <c r="AB576">
        <f t="shared" si="135"/>
        <v>50.5</v>
      </c>
      <c r="AP576" s="3">
        <v>35704</v>
      </c>
      <c r="AQ576" s="2">
        <v>53.9</v>
      </c>
      <c r="AR576" s="2" t="str">
        <f t="shared" si="136"/>
        <v>-</v>
      </c>
      <c r="AS576" s="2">
        <v>55.4</v>
      </c>
      <c r="AT576" s="8" t="str">
        <f t="shared" si="137"/>
        <v>-</v>
      </c>
      <c r="AU576" s="2">
        <v>56.6</v>
      </c>
      <c r="AV576" s="8" t="str">
        <f t="shared" si="138"/>
        <v>-</v>
      </c>
      <c r="AW576" s="2">
        <v>51.2</v>
      </c>
      <c r="AX576" s="8" t="str">
        <f t="shared" si="139"/>
        <v>-</v>
      </c>
      <c r="AY576" s="2">
        <v>54.8</v>
      </c>
      <c r="AZ576" s="8" t="str">
        <f t="shared" si="140"/>
        <v>-</v>
      </c>
      <c r="BA576" s="2">
        <v>47.2</v>
      </c>
      <c r="BB576" s="8" t="str">
        <f t="shared" si="141"/>
        <v>+</v>
      </c>
      <c r="BC576" s="2">
        <v>49.5</v>
      </c>
      <c r="BD576" s="8" t="str">
        <f t="shared" si="142"/>
        <v>+</v>
      </c>
      <c r="BE576" s="2">
        <v>53</v>
      </c>
      <c r="BF576" s="8" t="str">
        <f t="shared" si="133"/>
        <v>+</v>
      </c>
      <c r="BG576" s="2">
        <v>50</v>
      </c>
      <c r="BH576" s="8" t="str">
        <f t="shared" si="143"/>
        <v>-</v>
      </c>
      <c r="BI576" s="2">
        <v>49.4</v>
      </c>
      <c r="BJ576" s="8" t="str">
        <f t="shared" si="144"/>
        <v>-</v>
      </c>
      <c r="BK576" s="2">
        <v>51.6</v>
      </c>
      <c r="BL576" s="8" t="str">
        <f t="shared" si="145"/>
        <v>-</v>
      </c>
    </row>
    <row r="577" spans="1:64">
      <c r="A577" s="1">
        <v>35765</v>
      </c>
      <c r="B577">
        <v>55.7</v>
      </c>
      <c r="C577">
        <v>57.4</v>
      </c>
      <c r="D577">
        <v>53.7</v>
      </c>
      <c r="E577">
        <v>60.1</v>
      </c>
      <c r="F577">
        <v>55.2</v>
      </c>
      <c r="G577">
        <v>43.8</v>
      </c>
      <c r="H577">
        <v>48</v>
      </c>
      <c r="I577">
        <v>52.1</v>
      </c>
      <c r="J577">
        <v>50</v>
      </c>
      <c r="K577">
        <v>53.6</v>
      </c>
      <c r="L577">
        <v>54.7</v>
      </c>
      <c r="W577" s="1">
        <v>35765</v>
      </c>
      <c r="X577">
        <v>970.42999299999997</v>
      </c>
      <c r="Y577" s="4">
        <f t="shared" si="132"/>
        <v>1.5731597888257891E-2</v>
      </c>
      <c r="Z577" s="4">
        <f t="shared" si="134"/>
        <v>0.31008181831792275</v>
      </c>
      <c r="AA577">
        <v>55.7</v>
      </c>
      <c r="AB577">
        <f t="shared" si="135"/>
        <v>53</v>
      </c>
      <c r="AP577" s="3">
        <v>35735</v>
      </c>
      <c r="AQ577" s="2">
        <v>56.4</v>
      </c>
      <c r="AR577" s="2" t="str">
        <f t="shared" si="136"/>
        <v>+</v>
      </c>
      <c r="AS577" s="2">
        <v>60.9</v>
      </c>
      <c r="AT577" s="8" t="str">
        <f t="shared" si="137"/>
        <v>+</v>
      </c>
      <c r="AU577" s="2">
        <v>59.4</v>
      </c>
      <c r="AV577" s="8" t="str">
        <f t="shared" si="138"/>
        <v>+</v>
      </c>
      <c r="AW577" s="2">
        <v>52.8</v>
      </c>
      <c r="AX577" s="8" t="str">
        <f t="shared" si="139"/>
        <v>+</v>
      </c>
      <c r="AY577" s="2">
        <v>54.9</v>
      </c>
      <c r="AZ577" s="8" t="str">
        <f t="shared" si="140"/>
        <v>+</v>
      </c>
      <c r="BA577" s="2">
        <v>45</v>
      </c>
      <c r="BB577" s="8" t="str">
        <f t="shared" si="141"/>
        <v>-</v>
      </c>
      <c r="BC577" s="2">
        <v>47</v>
      </c>
      <c r="BD577" s="8" t="str">
        <f t="shared" si="142"/>
        <v>-</v>
      </c>
      <c r="BE577" s="2">
        <v>53.6</v>
      </c>
      <c r="BF577" s="8" t="str">
        <f t="shared" si="133"/>
        <v>+</v>
      </c>
      <c r="BG577" s="2">
        <v>56.5</v>
      </c>
      <c r="BH577" s="8" t="str">
        <f t="shared" si="143"/>
        <v>+</v>
      </c>
      <c r="BI577" s="2">
        <v>54.9</v>
      </c>
      <c r="BJ577" s="8" t="str">
        <f t="shared" si="144"/>
        <v>+</v>
      </c>
      <c r="BK577" s="2">
        <v>51.8</v>
      </c>
      <c r="BL577" s="8" t="str">
        <f t="shared" si="145"/>
        <v>+</v>
      </c>
    </row>
    <row r="578" spans="1:64">
      <c r="A578" s="1">
        <v>35796</v>
      </c>
      <c r="B578">
        <v>54.5</v>
      </c>
      <c r="C578">
        <v>57.2</v>
      </c>
      <c r="D578">
        <v>52.1</v>
      </c>
      <c r="E578">
        <v>56.7</v>
      </c>
      <c r="F578">
        <v>53.9</v>
      </c>
      <c r="G578">
        <v>46.2</v>
      </c>
      <c r="H578">
        <v>46.5</v>
      </c>
      <c r="I578">
        <v>52.2</v>
      </c>
      <c r="J578">
        <v>52</v>
      </c>
      <c r="K578">
        <v>51.4</v>
      </c>
      <c r="L578">
        <v>56</v>
      </c>
      <c r="W578" s="1">
        <v>35796</v>
      </c>
      <c r="X578">
        <v>980.28002900000001</v>
      </c>
      <c r="Y578" s="4">
        <f t="shared" si="132"/>
        <v>1.0150176798997644E-2</v>
      </c>
      <c r="Z578" s="4">
        <f t="shared" si="134"/>
        <v>0.24692182592206327</v>
      </c>
      <c r="AA578">
        <v>54.5</v>
      </c>
      <c r="AB578">
        <f t="shared" si="135"/>
        <v>55.2</v>
      </c>
      <c r="AP578" s="3">
        <v>35765</v>
      </c>
      <c r="AQ578" s="2">
        <v>55.7</v>
      </c>
      <c r="AR578" s="2" t="str">
        <f t="shared" si="136"/>
        <v>-</v>
      </c>
      <c r="AS578" s="2">
        <v>57.4</v>
      </c>
      <c r="AT578" s="8" t="str">
        <f t="shared" si="137"/>
        <v>-</v>
      </c>
      <c r="AU578" s="2">
        <v>60.1</v>
      </c>
      <c r="AV578" s="8" t="str">
        <f t="shared" si="138"/>
        <v>+</v>
      </c>
      <c r="AW578" s="2">
        <v>53.7</v>
      </c>
      <c r="AX578" s="8" t="str">
        <f t="shared" si="139"/>
        <v>+</v>
      </c>
      <c r="AY578" s="2">
        <v>55.2</v>
      </c>
      <c r="AZ578" s="8" t="str">
        <f t="shared" si="140"/>
        <v>+</v>
      </c>
      <c r="BA578" s="2">
        <v>43.8</v>
      </c>
      <c r="BB578" s="8" t="str">
        <f t="shared" si="141"/>
        <v>-</v>
      </c>
      <c r="BC578" s="2">
        <v>48</v>
      </c>
      <c r="BD578" s="8" t="str">
        <f t="shared" si="142"/>
        <v>+</v>
      </c>
      <c r="BE578" s="2">
        <v>52.1</v>
      </c>
      <c r="BF578" s="8" t="str">
        <f t="shared" si="133"/>
        <v>-</v>
      </c>
      <c r="BG578" s="2">
        <v>50</v>
      </c>
      <c r="BH578" s="8" t="str">
        <f t="shared" si="143"/>
        <v>-</v>
      </c>
      <c r="BI578" s="2">
        <v>53.6</v>
      </c>
      <c r="BJ578" s="8" t="str">
        <f t="shared" si="144"/>
        <v>-</v>
      </c>
      <c r="BK578" s="2">
        <v>54.7</v>
      </c>
      <c r="BL578" s="8" t="str">
        <f t="shared" si="145"/>
        <v>+</v>
      </c>
    </row>
    <row r="579" spans="1:64">
      <c r="A579" s="1">
        <v>35827</v>
      </c>
      <c r="B579">
        <v>53.8</v>
      </c>
      <c r="C579">
        <v>57.1</v>
      </c>
      <c r="D579">
        <v>51.1</v>
      </c>
      <c r="E579">
        <v>55.6</v>
      </c>
      <c r="F579">
        <v>53</v>
      </c>
      <c r="G579">
        <v>46.2</v>
      </c>
      <c r="H579">
        <v>47.5</v>
      </c>
      <c r="I579">
        <v>47</v>
      </c>
      <c r="J579">
        <v>47</v>
      </c>
      <c r="K579">
        <v>46.2</v>
      </c>
      <c r="L579">
        <v>55.1</v>
      </c>
      <c r="W579" s="1">
        <v>35827</v>
      </c>
      <c r="X579">
        <v>1049.339966</v>
      </c>
      <c r="Y579" s="4">
        <f t="shared" si="132"/>
        <v>7.044919304379707E-2</v>
      </c>
      <c r="Z579" s="4">
        <f t="shared" si="134"/>
        <v>0.32690113643015101</v>
      </c>
      <c r="AA579">
        <v>53.8</v>
      </c>
      <c r="AB579">
        <f t="shared" si="135"/>
        <v>53.8</v>
      </c>
      <c r="AP579" s="3">
        <v>35796</v>
      </c>
      <c r="AQ579" s="2">
        <v>54.5</v>
      </c>
      <c r="AR579" s="2" t="str">
        <f t="shared" si="136"/>
        <v>-</v>
      </c>
      <c r="AS579" s="2">
        <v>57.2</v>
      </c>
      <c r="AT579" s="8" t="str">
        <f t="shared" si="137"/>
        <v>-</v>
      </c>
      <c r="AU579" s="2">
        <v>56.7</v>
      </c>
      <c r="AV579" s="8" t="str">
        <f t="shared" si="138"/>
        <v>-</v>
      </c>
      <c r="AW579" s="2">
        <v>52.1</v>
      </c>
      <c r="AX579" s="8" t="str">
        <f t="shared" si="139"/>
        <v>-</v>
      </c>
      <c r="AY579" s="2">
        <v>53.9</v>
      </c>
      <c r="AZ579" s="8" t="str">
        <f t="shared" si="140"/>
        <v>-</v>
      </c>
      <c r="BA579" s="2">
        <v>46.2</v>
      </c>
      <c r="BB579" s="8" t="str">
        <f t="shared" si="141"/>
        <v>+</v>
      </c>
      <c r="BC579" s="2">
        <v>46.5</v>
      </c>
      <c r="BD579" s="8" t="str">
        <f t="shared" si="142"/>
        <v>-</v>
      </c>
      <c r="BE579" s="2">
        <v>52.2</v>
      </c>
      <c r="BF579" s="8" t="str">
        <f t="shared" si="133"/>
        <v>+</v>
      </c>
      <c r="BG579" s="2">
        <v>52</v>
      </c>
      <c r="BH579" s="8" t="str">
        <f t="shared" si="143"/>
        <v>+</v>
      </c>
      <c r="BI579" s="2">
        <v>51.4</v>
      </c>
      <c r="BJ579" s="8" t="str">
        <f t="shared" si="144"/>
        <v>-</v>
      </c>
      <c r="BK579" s="2">
        <v>56</v>
      </c>
      <c r="BL579" s="8" t="str">
        <f t="shared" si="145"/>
        <v>+</v>
      </c>
    </row>
    <row r="580" spans="1:64">
      <c r="A580" s="1">
        <v>35855</v>
      </c>
      <c r="B580">
        <v>52.9</v>
      </c>
      <c r="C580">
        <v>54.6</v>
      </c>
      <c r="D580">
        <v>51.7</v>
      </c>
      <c r="E580">
        <v>54.6</v>
      </c>
      <c r="F580">
        <v>52.8</v>
      </c>
      <c r="G580">
        <v>46.2</v>
      </c>
      <c r="H580">
        <v>46.5</v>
      </c>
      <c r="I580">
        <v>45.5</v>
      </c>
      <c r="J580">
        <v>48</v>
      </c>
      <c r="K580">
        <v>48.3</v>
      </c>
      <c r="L580">
        <v>53.4</v>
      </c>
      <c r="W580" s="1">
        <v>35855</v>
      </c>
      <c r="X580">
        <v>1101.75</v>
      </c>
      <c r="Y580" s="4">
        <f t="shared" ref="Y580:Y643" si="146">(X580-X579)/X579</f>
        <v>4.9945714161429351E-2</v>
      </c>
      <c r="Z580" s="4">
        <f t="shared" si="134"/>
        <v>0.45518544917044484</v>
      </c>
      <c r="AA580">
        <v>52.9</v>
      </c>
      <c r="AB580">
        <f t="shared" si="135"/>
        <v>53.1</v>
      </c>
      <c r="AP580" s="3">
        <v>35827</v>
      </c>
      <c r="AQ580" s="2">
        <v>53.8</v>
      </c>
      <c r="AR580" s="2" t="str">
        <f t="shared" si="136"/>
        <v>-</v>
      </c>
      <c r="AS580" s="2">
        <v>57.1</v>
      </c>
      <c r="AT580" s="8" t="str">
        <f t="shared" si="137"/>
        <v>-</v>
      </c>
      <c r="AU580" s="2">
        <v>55.6</v>
      </c>
      <c r="AV580" s="8" t="str">
        <f t="shared" si="138"/>
        <v>-</v>
      </c>
      <c r="AW580" s="2">
        <v>51.1</v>
      </c>
      <c r="AX580" s="8" t="str">
        <f t="shared" si="139"/>
        <v>-</v>
      </c>
      <c r="AY580" s="2">
        <v>53</v>
      </c>
      <c r="AZ580" s="8" t="str">
        <f t="shared" si="140"/>
        <v>-</v>
      </c>
      <c r="BA580" s="2">
        <v>46.2</v>
      </c>
      <c r="BB580" s="8" t="str">
        <f t="shared" si="141"/>
        <v>+</v>
      </c>
      <c r="BC580" s="2">
        <v>47.5</v>
      </c>
      <c r="BD580" s="8" t="str">
        <f t="shared" si="142"/>
        <v>+</v>
      </c>
      <c r="BE580" s="2">
        <v>47</v>
      </c>
      <c r="BF580" s="8" t="str">
        <f t="shared" si="133"/>
        <v>-</v>
      </c>
      <c r="BG580" s="2">
        <v>47</v>
      </c>
      <c r="BH580" s="8" t="str">
        <f t="shared" si="143"/>
        <v>-</v>
      </c>
      <c r="BI580" s="2">
        <v>46.2</v>
      </c>
      <c r="BJ580" s="8" t="str">
        <f t="shared" si="144"/>
        <v>-</v>
      </c>
      <c r="BK580" s="2">
        <v>55.1</v>
      </c>
      <c r="BL580" s="8" t="str">
        <f t="shared" si="145"/>
        <v>-</v>
      </c>
    </row>
    <row r="581" spans="1:64">
      <c r="A581" s="1">
        <v>35886</v>
      </c>
      <c r="B581">
        <v>52.9</v>
      </c>
      <c r="C581">
        <v>54.9</v>
      </c>
      <c r="D581">
        <v>51.4</v>
      </c>
      <c r="E581">
        <v>54.5</v>
      </c>
      <c r="F581">
        <v>53</v>
      </c>
      <c r="G581">
        <v>46</v>
      </c>
      <c r="H581">
        <v>47</v>
      </c>
      <c r="I581">
        <v>44.2</v>
      </c>
      <c r="J581">
        <v>51.5</v>
      </c>
      <c r="K581">
        <v>46.7</v>
      </c>
      <c r="L581">
        <v>52.1</v>
      </c>
      <c r="W581" s="1">
        <v>35886</v>
      </c>
      <c r="X581">
        <v>1111.75</v>
      </c>
      <c r="Y581" s="4">
        <f t="shared" si="146"/>
        <v>9.0764692534604039E-3</v>
      </c>
      <c r="Z581" s="4">
        <f t="shared" si="134"/>
        <v>0.38736361911446121</v>
      </c>
      <c r="AA581">
        <v>52.9</v>
      </c>
      <c r="AB581">
        <f t="shared" si="135"/>
        <v>53.8</v>
      </c>
      <c r="AP581" s="3">
        <v>35855</v>
      </c>
      <c r="AQ581" s="2">
        <v>52.9</v>
      </c>
      <c r="AR581" s="2" t="str">
        <f t="shared" si="136"/>
        <v>-</v>
      </c>
      <c r="AS581" s="2">
        <v>54.6</v>
      </c>
      <c r="AT581" s="8" t="str">
        <f t="shared" si="137"/>
        <v>-</v>
      </c>
      <c r="AU581" s="2">
        <v>54.6</v>
      </c>
      <c r="AV581" s="8" t="str">
        <f t="shared" si="138"/>
        <v>-</v>
      </c>
      <c r="AW581" s="2">
        <v>51.7</v>
      </c>
      <c r="AX581" s="8" t="str">
        <f t="shared" si="139"/>
        <v>+</v>
      </c>
      <c r="AY581" s="2">
        <v>52.8</v>
      </c>
      <c r="AZ581" s="8" t="str">
        <f t="shared" si="140"/>
        <v>-</v>
      </c>
      <c r="BA581" s="2">
        <v>46.2</v>
      </c>
      <c r="BB581" s="8" t="str">
        <f t="shared" si="141"/>
        <v>+</v>
      </c>
      <c r="BC581" s="2">
        <v>46.5</v>
      </c>
      <c r="BD581" s="8" t="str">
        <f t="shared" si="142"/>
        <v>-</v>
      </c>
      <c r="BE581" s="2">
        <v>45.5</v>
      </c>
      <c r="BF581" s="8" t="str">
        <f t="shared" si="133"/>
        <v>-</v>
      </c>
      <c r="BG581" s="2">
        <v>48</v>
      </c>
      <c r="BH581" s="8" t="str">
        <f t="shared" si="143"/>
        <v>+</v>
      </c>
      <c r="BI581" s="2">
        <v>48.3</v>
      </c>
      <c r="BJ581" s="8" t="str">
        <f t="shared" si="144"/>
        <v>+</v>
      </c>
      <c r="BK581" s="2">
        <v>53.4</v>
      </c>
      <c r="BL581" s="8" t="str">
        <f t="shared" si="145"/>
        <v>-</v>
      </c>
    </row>
    <row r="582" spans="1:64">
      <c r="A582" s="1">
        <v>35916</v>
      </c>
      <c r="B582">
        <v>52.2</v>
      </c>
      <c r="C582">
        <v>55.3</v>
      </c>
      <c r="D582">
        <v>49</v>
      </c>
      <c r="E582">
        <v>53.3</v>
      </c>
      <c r="F582">
        <v>52.4</v>
      </c>
      <c r="G582">
        <v>46.1</v>
      </c>
      <c r="H582">
        <v>49</v>
      </c>
      <c r="I582">
        <v>40.5</v>
      </c>
      <c r="J582">
        <v>52.5</v>
      </c>
      <c r="K582">
        <v>48.5</v>
      </c>
      <c r="L582">
        <v>53.9</v>
      </c>
      <c r="W582" s="1">
        <v>35916</v>
      </c>
      <c r="X582">
        <v>1090.8199460000001</v>
      </c>
      <c r="Y582" s="4">
        <f t="shared" si="146"/>
        <v>-1.8826223521475085E-2</v>
      </c>
      <c r="Z582" s="4">
        <f t="shared" si="134"/>
        <v>0.2859196358611904</v>
      </c>
      <c r="AA582">
        <v>52.2</v>
      </c>
      <c r="AB582">
        <f t="shared" si="135"/>
        <v>53.7</v>
      </c>
      <c r="AP582" s="3">
        <v>35886</v>
      </c>
      <c r="AQ582" s="2">
        <v>52.9</v>
      </c>
      <c r="AR582" s="2" t="str">
        <f t="shared" si="136"/>
        <v>+</v>
      </c>
      <c r="AS582" s="2">
        <v>54.9</v>
      </c>
      <c r="AT582" s="8" t="str">
        <f t="shared" si="137"/>
        <v>+</v>
      </c>
      <c r="AU582" s="2">
        <v>54.5</v>
      </c>
      <c r="AV582" s="8" t="str">
        <f t="shared" si="138"/>
        <v>-</v>
      </c>
      <c r="AW582" s="2">
        <v>51.4</v>
      </c>
      <c r="AX582" s="8" t="str">
        <f t="shared" si="139"/>
        <v>-</v>
      </c>
      <c r="AY582" s="2">
        <v>53</v>
      </c>
      <c r="AZ582" s="8" t="str">
        <f t="shared" si="140"/>
        <v>+</v>
      </c>
      <c r="BA582" s="2">
        <v>46</v>
      </c>
      <c r="BB582" s="8" t="str">
        <f t="shared" si="141"/>
        <v>-</v>
      </c>
      <c r="BC582" s="2">
        <v>47</v>
      </c>
      <c r="BD582" s="8" t="str">
        <f t="shared" si="142"/>
        <v>+</v>
      </c>
      <c r="BE582" s="2">
        <v>44.2</v>
      </c>
      <c r="BF582" s="8" t="str">
        <f t="shared" ref="BF582:BF645" si="147">IF(OR(BE582&gt;BE581,BE582=BE581),"+","-")</f>
        <v>-</v>
      </c>
      <c r="BG582" s="2">
        <v>51.5</v>
      </c>
      <c r="BH582" s="8" t="str">
        <f t="shared" si="143"/>
        <v>+</v>
      </c>
      <c r="BI582" s="2">
        <v>46.7</v>
      </c>
      <c r="BJ582" s="8" t="str">
        <f t="shared" si="144"/>
        <v>-</v>
      </c>
      <c r="BK582" s="2">
        <v>52.1</v>
      </c>
      <c r="BL582" s="8" t="str">
        <f t="shared" si="145"/>
        <v>-</v>
      </c>
    </row>
    <row r="583" spans="1:64">
      <c r="A583" s="1">
        <v>35947</v>
      </c>
      <c r="B583">
        <v>50.9</v>
      </c>
      <c r="C583">
        <v>51.5</v>
      </c>
      <c r="D583">
        <v>49.3</v>
      </c>
      <c r="E583">
        <v>53.2</v>
      </c>
      <c r="F583">
        <v>51.5</v>
      </c>
      <c r="G583">
        <v>46</v>
      </c>
      <c r="H583">
        <v>47.5</v>
      </c>
      <c r="I583">
        <v>41.1</v>
      </c>
      <c r="J583">
        <v>48.5</v>
      </c>
      <c r="K583">
        <v>46.1</v>
      </c>
      <c r="L583">
        <v>52.1</v>
      </c>
      <c r="W583" s="1">
        <v>35947</v>
      </c>
      <c r="X583">
        <v>1133.839966</v>
      </c>
      <c r="Y583" s="4">
        <f t="shared" si="146"/>
        <v>3.9438241075214008E-2</v>
      </c>
      <c r="Z583" s="4">
        <f t="shared" si="134"/>
        <v>0.28097244140521666</v>
      </c>
      <c r="AA583">
        <v>50.9</v>
      </c>
      <c r="AB583">
        <f t="shared" si="135"/>
        <v>56.1</v>
      </c>
      <c r="AP583" s="3">
        <v>35916</v>
      </c>
      <c r="AQ583" s="2">
        <v>52.2</v>
      </c>
      <c r="AR583" s="2" t="str">
        <f t="shared" si="136"/>
        <v>-</v>
      </c>
      <c r="AS583" s="2">
        <v>55.3</v>
      </c>
      <c r="AT583" s="8" t="str">
        <f t="shared" si="137"/>
        <v>+</v>
      </c>
      <c r="AU583" s="2">
        <v>53.3</v>
      </c>
      <c r="AV583" s="8" t="str">
        <f t="shared" si="138"/>
        <v>-</v>
      </c>
      <c r="AW583" s="2">
        <v>49</v>
      </c>
      <c r="AX583" s="8" t="str">
        <f t="shared" si="139"/>
        <v>-</v>
      </c>
      <c r="AY583" s="2">
        <v>52.4</v>
      </c>
      <c r="AZ583" s="8" t="str">
        <f t="shared" si="140"/>
        <v>-</v>
      </c>
      <c r="BA583" s="2">
        <v>46.1</v>
      </c>
      <c r="BB583" s="8" t="str">
        <f t="shared" si="141"/>
        <v>+</v>
      </c>
      <c r="BC583" s="2">
        <v>49</v>
      </c>
      <c r="BD583" s="8" t="str">
        <f t="shared" si="142"/>
        <v>+</v>
      </c>
      <c r="BE583" s="2">
        <v>40.5</v>
      </c>
      <c r="BF583" s="8" t="str">
        <f t="shared" si="147"/>
        <v>-</v>
      </c>
      <c r="BG583" s="2">
        <v>52.5</v>
      </c>
      <c r="BH583" s="8" t="str">
        <f t="shared" si="143"/>
        <v>+</v>
      </c>
      <c r="BI583" s="2">
        <v>48.5</v>
      </c>
      <c r="BJ583" s="8" t="str">
        <f t="shared" si="144"/>
        <v>+</v>
      </c>
      <c r="BK583" s="2">
        <v>53.9</v>
      </c>
      <c r="BL583" s="8" t="str">
        <f t="shared" si="145"/>
        <v>+</v>
      </c>
    </row>
    <row r="584" spans="1:64">
      <c r="A584" s="1">
        <v>35977</v>
      </c>
      <c r="B584">
        <v>48.9</v>
      </c>
      <c r="C584">
        <v>50.2</v>
      </c>
      <c r="D584">
        <v>47</v>
      </c>
      <c r="E584">
        <v>50.6</v>
      </c>
      <c r="F584">
        <v>50.9</v>
      </c>
      <c r="G584">
        <v>42</v>
      </c>
      <c r="H584">
        <v>44.5</v>
      </c>
      <c r="I584">
        <v>39.299999999999997</v>
      </c>
      <c r="J584">
        <v>48.5</v>
      </c>
      <c r="K584">
        <v>46.3</v>
      </c>
      <c r="L584">
        <v>51.7</v>
      </c>
      <c r="W584" s="1">
        <v>35977</v>
      </c>
      <c r="X584">
        <v>1120.670044</v>
      </c>
      <c r="Y584" s="4">
        <f t="shared" si="146"/>
        <v>-1.1615327025789495E-2</v>
      </c>
      <c r="Z584" s="4">
        <f t="shared" si="134"/>
        <v>0.17432495347282323</v>
      </c>
      <c r="AA584">
        <v>48.9</v>
      </c>
      <c r="AB584">
        <f t="shared" si="135"/>
        <v>54.9</v>
      </c>
      <c r="AP584" s="3">
        <v>35947</v>
      </c>
      <c r="AQ584" s="2">
        <v>50.9</v>
      </c>
      <c r="AR584" s="2" t="str">
        <f t="shared" si="136"/>
        <v>-</v>
      </c>
      <c r="AS584" s="2">
        <v>51.5</v>
      </c>
      <c r="AT584" s="8" t="str">
        <f t="shared" si="137"/>
        <v>-</v>
      </c>
      <c r="AU584" s="2">
        <v>53.2</v>
      </c>
      <c r="AV584" s="8" t="str">
        <f t="shared" si="138"/>
        <v>-</v>
      </c>
      <c r="AW584" s="2">
        <v>49.3</v>
      </c>
      <c r="AX584" s="8" t="str">
        <f t="shared" si="139"/>
        <v>+</v>
      </c>
      <c r="AY584" s="2">
        <v>51.5</v>
      </c>
      <c r="AZ584" s="8" t="str">
        <f t="shared" si="140"/>
        <v>-</v>
      </c>
      <c r="BA584" s="2">
        <v>46</v>
      </c>
      <c r="BB584" s="8" t="str">
        <f t="shared" si="141"/>
        <v>-</v>
      </c>
      <c r="BC584" s="2">
        <v>47.5</v>
      </c>
      <c r="BD584" s="8" t="str">
        <f t="shared" si="142"/>
        <v>-</v>
      </c>
      <c r="BE584" s="2">
        <v>41.1</v>
      </c>
      <c r="BF584" s="8" t="str">
        <f t="shared" si="147"/>
        <v>+</v>
      </c>
      <c r="BG584" s="2">
        <v>48.5</v>
      </c>
      <c r="BH584" s="8" t="str">
        <f t="shared" si="143"/>
        <v>-</v>
      </c>
      <c r="BI584" s="2">
        <v>46.1</v>
      </c>
      <c r="BJ584" s="8" t="str">
        <f t="shared" si="144"/>
        <v>-</v>
      </c>
      <c r="BK584" s="2">
        <v>52.1</v>
      </c>
      <c r="BL584" s="8" t="str">
        <f t="shared" si="145"/>
        <v>-</v>
      </c>
    </row>
    <row r="585" spans="1:64">
      <c r="A585" s="1">
        <v>36008</v>
      </c>
      <c r="B585">
        <v>49.2</v>
      </c>
      <c r="C585">
        <v>51.8</v>
      </c>
      <c r="D585">
        <v>45.1</v>
      </c>
      <c r="E585">
        <v>50.8</v>
      </c>
      <c r="F585">
        <v>50.2</v>
      </c>
      <c r="G585">
        <v>44.1</v>
      </c>
      <c r="H585">
        <v>47</v>
      </c>
      <c r="I585">
        <v>38.4</v>
      </c>
      <c r="J585">
        <v>44.5</v>
      </c>
      <c r="K585">
        <v>45.6</v>
      </c>
      <c r="L585">
        <v>51.4</v>
      </c>
      <c r="W585" s="1">
        <v>36008</v>
      </c>
      <c r="X585">
        <v>957.28002900000001</v>
      </c>
      <c r="Y585" s="4">
        <f t="shared" si="146"/>
        <v>-0.14579671855670656</v>
      </c>
      <c r="Z585" s="4">
        <f t="shared" si="134"/>
        <v>6.4271248472840936E-2</v>
      </c>
      <c r="AA585">
        <v>49.2</v>
      </c>
      <c r="AB585">
        <f t="shared" si="135"/>
        <v>57.7</v>
      </c>
      <c r="AP585" s="3">
        <v>35977</v>
      </c>
      <c r="AQ585" s="2">
        <v>48.9</v>
      </c>
      <c r="AR585" s="2" t="str">
        <f t="shared" si="136"/>
        <v>-</v>
      </c>
      <c r="AS585" s="2">
        <v>50.2</v>
      </c>
      <c r="AT585" s="8" t="str">
        <f t="shared" si="137"/>
        <v>-</v>
      </c>
      <c r="AU585" s="2">
        <v>50.6</v>
      </c>
      <c r="AV585" s="8" t="str">
        <f t="shared" si="138"/>
        <v>-</v>
      </c>
      <c r="AW585" s="2">
        <v>47</v>
      </c>
      <c r="AX585" s="8" t="str">
        <f t="shared" si="139"/>
        <v>-</v>
      </c>
      <c r="AY585" s="2">
        <v>50.9</v>
      </c>
      <c r="AZ585" s="8" t="str">
        <f t="shared" si="140"/>
        <v>-</v>
      </c>
      <c r="BA585" s="2">
        <v>42</v>
      </c>
      <c r="BB585" s="8" t="str">
        <f t="shared" si="141"/>
        <v>-</v>
      </c>
      <c r="BC585" s="2">
        <v>44.5</v>
      </c>
      <c r="BD585" s="8" t="str">
        <f t="shared" si="142"/>
        <v>-</v>
      </c>
      <c r="BE585" s="2">
        <v>39.299999999999997</v>
      </c>
      <c r="BF585" s="8" t="str">
        <f t="shared" si="147"/>
        <v>-</v>
      </c>
      <c r="BG585" s="2">
        <v>48.5</v>
      </c>
      <c r="BH585" s="8" t="str">
        <f t="shared" si="143"/>
        <v>+</v>
      </c>
      <c r="BI585" s="2">
        <v>46.3</v>
      </c>
      <c r="BJ585" s="8" t="str">
        <f t="shared" si="144"/>
        <v>+</v>
      </c>
      <c r="BK585" s="2">
        <v>51.7</v>
      </c>
      <c r="BL585" s="8" t="str">
        <f t="shared" si="145"/>
        <v>-</v>
      </c>
    </row>
    <row r="586" spans="1:64">
      <c r="A586" s="1">
        <v>36039</v>
      </c>
      <c r="B586">
        <v>49.3</v>
      </c>
      <c r="C586">
        <v>50.9</v>
      </c>
      <c r="D586">
        <v>46.7</v>
      </c>
      <c r="E586">
        <v>50.7</v>
      </c>
      <c r="F586">
        <v>50.3</v>
      </c>
      <c r="G586">
        <v>44.8</v>
      </c>
      <c r="H586">
        <v>50.5</v>
      </c>
      <c r="I586">
        <v>37.799999999999997</v>
      </c>
      <c r="J586">
        <v>48.5</v>
      </c>
      <c r="K586">
        <v>44</v>
      </c>
      <c r="L586">
        <v>51.2</v>
      </c>
      <c r="W586" s="1">
        <v>36039</v>
      </c>
      <c r="X586">
        <v>1017.01001</v>
      </c>
      <c r="Y586" s="4">
        <f t="shared" si="146"/>
        <v>6.2395515617718951E-2</v>
      </c>
      <c r="Z586" s="4">
        <f t="shared" si="134"/>
        <v>7.3610736915472277E-2</v>
      </c>
      <c r="AA586">
        <v>49.3</v>
      </c>
      <c r="AB586">
        <f t="shared" si="135"/>
        <v>56.3</v>
      </c>
      <c r="AP586" s="3">
        <v>36008</v>
      </c>
      <c r="AQ586" s="2">
        <v>49.2</v>
      </c>
      <c r="AR586" s="2" t="str">
        <f t="shared" si="136"/>
        <v>+</v>
      </c>
      <c r="AS586" s="2">
        <v>51.8</v>
      </c>
      <c r="AT586" s="8" t="str">
        <f t="shared" si="137"/>
        <v>+</v>
      </c>
      <c r="AU586" s="2">
        <v>50.8</v>
      </c>
      <c r="AV586" s="8" t="str">
        <f t="shared" si="138"/>
        <v>+</v>
      </c>
      <c r="AW586" s="2">
        <v>45.1</v>
      </c>
      <c r="AX586" s="8" t="str">
        <f t="shared" si="139"/>
        <v>-</v>
      </c>
      <c r="AY586" s="2">
        <v>50.2</v>
      </c>
      <c r="AZ586" s="8" t="str">
        <f t="shared" si="140"/>
        <v>-</v>
      </c>
      <c r="BA586" s="2">
        <v>44.1</v>
      </c>
      <c r="BB586" s="8" t="str">
        <f t="shared" si="141"/>
        <v>+</v>
      </c>
      <c r="BC586" s="2">
        <v>47</v>
      </c>
      <c r="BD586" s="8" t="str">
        <f t="shared" si="142"/>
        <v>+</v>
      </c>
      <c r="BE586" s="2">
        <v>38.4</v>
      </c>
      <c r="BF586" s="8" t="str">
        <f t="shared" si="147"/>
        <v>-</v>
      </c>
      <c r="BG586" s="2">
        <v>44.5</v>
      </c>
      <c r="BH586" s="8" t="str">
        <f t="shared" si="143"/>
        <v>-</v>
      </c>
      <c r="BI586" s="2">
        <v>45.6</v>
      </c>
      <c r="BJ586" s="8" t="str">
        <f t="shared" si="144"/>
        <v>-</v>
      </c>
      <c r="BK586" s="2">
        <v>51.4</v>
      </c>
      <c r="BL586" s="8" t="str">
        <f t="shared" si="145"/>
        <v>-</v>
      </c>
    </row>
    <row r="587" spans="1:64">
      <c r="A587" s="1">
        <v>36069</v>
      </c>
      <c r="B587">
        <v>48.7</v>
      </c>
      <c r="C587">
        <v>49.4</v>
      </c>
      <c r="D587">
        <v>45.7</v>
      </c>
      <c r="E587">
        <v>51.2</v>
      </c>
      <c r="F587">
        <v>50.8</v>
      </c>
      <c r="G587">
        <v>43.2</v>
      </c>
      <c r="H587">
        <v>49</v>
      </c>
      <c r="I587">
        <v>34</v>
      </c>
      <c r="J587">
        <v>46</v>
      </c>
      <c r="K587">
        <v>44.2</v>
      </c>
      <c r="L587">
        <v>51.5</v>
      </c>
      <c r="W587" s="1">
        <v>36069</v>
      </c>
      <c r="X587">
        <v>1098.670044</v>
      </c>
      <c r="Y587" s="4">
        <f t="shared" si="146"/>
        <v>8.0294228372442475E-2</v>
      </c>
      <c r="Z587" s="4">
        <f t="shared" si="134"/>
        <v>0.20123116704878066</v>
      </c>
      <c r="AA587">
        <v>48.7</v>
      </c>
      <c r="AB587">
        <f t="shared" si="135"/>
        <v>53.9</v>
      </c>
      <c r="AP587" s="3">
        <v>36039</v>
      </c>
      <c r="AQ587" s="2">
        <v>49.3</v>
      </c>
      <c r="AR587" s="2" t="str">
        <f t="shared" si="136"/>
        <v>+</v>
      </c>
      <c r="AS587" s="2">
        <v>50.9</v>
      </c>
      <c r="AT587" s="8" t="str">
        <f t="shared" si="137"/>
        <v>-</v>
      </c>
      <c r="AU587" s="2">
        <v>50.7</v>
      </c>
      <c r="AV587" s="8" t="str">
        <f t="shared" si="138"/>
        <v>-</v>
      </c>
      <c r="AW587" s="2">
        <v>46.7</v>
      </c>
      <c r="AX587" s="8" t="str">
        <f t="shared" si="139"/>
        <v>+</v>
      </c>
      <c r="AY587" s="2">
        <v>50.3</v>
      </c>
      <c r="AZ587" s="8" t="str">
        <f t="shared" si="140"/>
        <v>+</v>
      </c>
      <c r="BA587" s="2">
        <v>44.8</v>
      </c>
      <c r="BB587" s="8" t="str">
        <f t="shared" si="141"/>
        <v>+</v>
      </c>
      <c r="BC587" s="2">
        <v>50.5</v>
      </c>
      <c r="BD587" s="8" t="str">
        <f t="shared" si="142"/>
        <v>+</v>
      </c>
      <c r="BE587" s="2">
        <v>37.799999999999997</v>
      </c>
      <c r="BF587" s="8" t="str">
        <f t="shared" si="147"/>
        <v>-</v>
      </c>
      <c r="BG587" s="2">
        <v>48.5</v>
      </c>
      <c r="BH587" s="8" t="str">
        <f t="shared" si="143"/>
        <v>+</v>
      </c>
      <c r="BI587" s="2">
        <v>44</v>
      </c>
      <c r="BJ587" s="8" t="str">
        <f t="shared" si="144"/>
        <v>-</v>
      </c>
      <c r="BK587" s="2">
        <v>51.2</v>
      </c>
      <c r="BL587" s="8" t="str">
        <f t="shared" si="145"/>
        <v>-</v>
      </c>
    </row>
    <row r="588" spans="1:64">
      <c r="A588" s="1">
        <v>36100</v>
      </c>
      <c r="B588">
        <v>48.7</v>
      </c>
      <c r="C588">
        <v>48</v>
      </c>
      <c r="D588">
        <v>45.2</v>
      </c>
      <c r="E588">
        <v>52.4</v>
      </c>
      <c r="F588">
        <v>49.8</v>
      </c>
      <c r="G588">
        <v>47.1</v>
      </c>
      <c r="H588">
        <v>50.5</v>
      </c>
      <c r="I588">
        <v>34.700000000000003</v>
      </c>
      <c r="J588">
        <v>45.5</v>
      </c>
      <c r="K588">
        <v>44.4</v>
      </c>
      <c r="L588">
        <v>51.3</v>
      </c>
      <c r="W588" s="1">
        <v>36100</v>
      </c>
      <c r="X588">
        <v>1163.630005</v>
      </c>
      <c r="Y588" s="4">
        <f t="shared" si="146"/>
        <v>5.9125996339625349E-2</v>
      </c>
      <c r="Z588" s="4">
        <f t="shared" si="134"/>
        <v>0.21795057124679321</v>
      </c>
      <c r="AA588">
        <v>48.7</v>
      </c>
      <c r="AB588">
        <f t="shared" si="135"/>
        <v>56.4</v>
      </c>
      <c r="AP588" s="3">
        <v>36069</v>
      </c>
      <c r="AQ588" s="2">
        <v>48.7</v>
      </c>
      <c r="AR588" s="2" t="str">
        <f t="shared" si="136"/>
        <v>-</v>
      </c>
      <c r="AS588" s="2">
        <v>49.4</v>
      </c>
      <c r="AT588" s="8" t="str">
        <f t="shared" si="137"/>
        <v>-</v>
      </c>
      <c r="AU588" s="2">
        <v>51.2</v>
      </c>
      <c r="AV588" s="8" t="str">
        <f t="shared" si="138"/>
        <v>+</v>
      </c>
      <c r="AW588" s="2">
        <v>45.7</v>
      </c>
      <c r="AX588" s="8" t="str">
        <f t="shared" si="139"/>
        <v>-</v>
      </c>
      <c r="AY588" s="2">
        <v>50.8</v>
      </c>
      <c r="AZ588" s="8" t="str">
        <f t="shared" si="140"/>
        <v>+</v>
      </c>
      <c r="BA588" s="2">
        <v>43.2</v>
      </c>
      <c r="BB588" s="8" t="str">
        <f t="shared" si="141"/>
        <v>-</v>
      </c>
      <c r="BC588" s="2">
        <v>49</v>
      </c>
      <c r="BD588" s="8" t="str">
        <f t="shared" si="142"/>
        <v>-</v>
      </c>
      <c r="BE588" s="2">
        <v>34</v>
      </c>
      <c r="BF588" s="8" t="str">
        <f t="shared" si="147"/>
        <v>-</v>
      </c>
      <c r="BG588" s="2">
        <v>46</v>
      </c>
      <c r="BH588" s="8" t="str">
        <f t="shared" si="143"/>
        <v>-</v>
      </c>
      <c r="BI588" s="2">
        <v>44.2</v>
      </c>
      <c r="BJ588" s="8" t="str">
        <f t="shared" si="144"/>
        <v>+</v>
      </c>
      <c r="BK588" s="2">
        <v>51.5</v>
      </c>
      <c r="BL588" s="8" t="str">
        <f t="shared" si="145"/>
        <v>+</v>
      </c>
    </row>
    <row r="589" spans="1:64">
      <c r="A589" s="1">
        <v>36130</v>
      </c>
      <c r="B589">
        <v>48.2</v>
      </c>
      <c r="C589">
        <v>48.3</v>
      </c>
      <c r="D589">
        <v>45.3</v>
      </c>
      <c r="E589">
        <v>50.4</v>
      </c>
      <c r="F589">
        <v>50.4</v>
      </c>
      <c r="G589">
        <v>44.5</v>
      </c>
      <c r="H589">
        <v>47.5</v>
      </c>
      <c r="I589">
        <v>34.5</v>
      </c>
      <c r="J589">
        <v>40.5</v>
      </c>
      <c r="K589">
        <v>43.7</v>
      </c>
      <c r="L589">
        <v>51.1</v>
      </c>
      <c r="W589" s="1">
        <v>36130</v>
      </c>
      <c r="X589">
        <v>1229.2299800000001</v>
      </c>
      <c r="Y589" s="4">
        <f t="shared" si="146"/>
        <v>5.6375286575735976E-2</v>
      </c>
      <c r="Z589" s="4">
        <f t="shared" si="134"/>
        <v>0.26668589065342307</v>
      </c>
      <c r="AA589">
        <v>48.2</v>
      </c>
      <c r="AB589">
        <f t="shared" si="135"/>
        <v>55.7</v>
      </c>
      <c r="AP589" s="3">
        <v>36100</v>
      </c>
      <c r="AQ589" s="2">
        <v>48.7</v>
      </c>
      <c r="AR589" s="2" t="str">
        <f t="shared" si="136"/>
        <v>+</v>
      </c>
      <c r="AS589" s="2">
        <v>48</v>
      </c>
      <c r="AT589" s="8" t="str">
        <f t="shared" si="137"/>
        <v>-</v>
      </c>
      <c r="AU589" s="2">
        <v>52.4</v>
      </c>
      <c r="AV589" s="8" t="str">
        <f t="shared" si="138"/>
        <v>+</v>
      </c>
      <c r="AW589" s="2">
        <v>45.2</v>
      </c>
      <c r="AX589" s="8" t="str">
        <f t="shared" si="139"/>
        <v>-</v>
      </c>
      <c r="AY589" s="2">
        <v>49.8</v>
      </c>
      <c r="AZ589" s="8" t="str">
        <f t="shared" si="140"/>
        <v>-</v>
      </c>
      <c r="BA589" s="2">
        <v>47.1</v>
      </c>
      <c r="BB589" s="8" t="str">
        <f t="shared" si="141"/>
        <v>+</v>
      </c>
      <c r="BC589" s="2">
        <v>50.5</v>
      </c>
      <c r="BD589" s="8" t="str">
        <f t="shared" si="142"/>
        <v>+</v>
      </c>
      <c r="BE589" s="2">
        <v>34.700000000000003</v>
      </c>
      <c r="BF589" s="8" t="str">
        <f t="shared" si="147"/>
        <v>+</v>
      </c>
      <c r="BG589" s="2">
        <v>45.5</v>
      </c>
      <c r="BH589" s="8" t="str">
        <f t="shared" si="143"/>
        <v>-</v>
      </c>
      <c r="BI589" s="2">
        <v>44.4</v>
      </c>
      <c r="BJ589" s="8" t="str">
        <f t="shared" si="144"/>
        <v>+</v>
      </c>
      <c r="BK589" s="2">
        <v>51.3</v>
      </c>
      <c r="BL589" s="8" t="str">
        <f t="shared" si="145"/>
        <v>-</v>
      </c>
    </row>
    <row r="590" spans="1:64">
      <c r="A590" s="1">
        <v>36161</v>
      </c>
      <c r="B590">
        <v>46.8</v>
      </c>
      <c r="C590">
        <v>49.7</v>
      </c>
      <c r="D590">
        <v>41.9</v>
      </c>
      <c r="E590">
        <v>47.7</v>
      </c>
      <c r="F590">
        <v>48.5</v>
      </c>
      <c r="G590">
        <v>42.7</v>
      </c>
      <c r="H590">
        <v>47</v>
      </c>
      <c r="I590">
        <v>31.9</v>
      </c>
      <c r="J590">
        <v>37</v>
      </c>
      <c r="K590">
        <v>46.2</v>
      </c>
      <c r="L590">
        <v>50.5</v>
      </c>
      <c r="W590" s="1">
        <v>36161</v>
      </c>
      <c r="X590">
        <v>1279.6400149999999</v>
      </c>
      <c r="Y590" s="4">
        <f t="shared" si="146"/>
        <v>4.1009441536725193E-2</v>
      </c>
      <c r="Z590" s="4">
        <f t="shared" si="134"/>
        <v>0.30538211240045565</v>
      </c>
      <c r="AA590">
        <v>46.8</v>
      </c>
      <c r="AB590">
        <f t="shared" si="135"/>
        <v>54.5</v>
      </c>
      <c r="AP590" s="3">
        <v>36130</v>
      </c>
      <c r="AQ590" s="2">
        <v>48.2</v>
      </c>
      <c r="AR590" s="2" t="str">
        <f t="shared" si="136"/>
        <v>-</v>
      </c>
      <c r="AS590" s="2">
        <v>48.3</v>
      </c>
      <c r="AT590" s="8" t="str">
        <f t="shared" si="137"/>
        <v>+</v>
      </c>
      <c r="AU590" s="2">
        <v>50.4</v>
      </c>
      <c r="AV590" s="8" t="str">
        <f t="shared" si="138"/>
        <v>-</v>
      </c>
      <c r="AW590" s="2">
        <v>45.3</v>
      </c>
      <c r="AX590" s="8" t="str">
        <f t="shared" si="139"/>
        <v>+</v>
      </c>
      <c r="AY590" s="2">
        <v>50.4</v>
      </c>
      <c r="AZ590" s="8" t="str">
        <f t="shared" si="140"/>
        <v>+</v>
      </c>
      <c r="BA590" s="2">
        <v>44.5</v>
      </c>
      <c r="BB590" s="8" t="str">
        <f t="shared" si="141"/>
        <v>-</v>
      </c>
      <c r="BC590" s="2">
        <v>47.5</v>
      </c>
      <c r="BD590" s="8" t="str">
        <f t="shared" si="142"/>
        <v>-</v>
      </c>
      <c r="BE590" s="2">
        <v>34.5</v>
      </c>
      <c r="BF590" s="8" t="str">
        <f t="shared" si="147"/>
        <v>-</v>
      </c>
      <c r="BG590" s="2">
        <v>40.5</v>
      </c>
      <c r="BH590" s="8" t="str">
        <f t="shared" si="143"/>
        <v>-</v>
      </c>
      <c r="BI590" s="2">
        <v>43.7</v>
      </c>
      <c r="BJ590" s="8" t="str">
        <f t="shared" si="144"/>
        <v>-</v>
      </c>
      <c r="BK590" s="2">
        <v>51.1</v>
      </c>
      <c r="BL590" s="8" t="str">
        <f t="shared" si="145"/>
        <v>-</v>
      </c>
    </row>
    <row r="591" spans="1:64">
      <c r="A591" s="1">
        <v>36192</v>
      </c>
      <c r="B591">
        <v>50.6</v>
      </c>
      <c r="C591">
        <v>52.4</v>
      </c>
      <c r="D591">
        <v>45.5</v>
      </c>
      <c r="E591">
        <v>55.6</v>
      </c>
      <c r="F591">
        <v>51</v>
      </c>
      <c r="G591">
        <v>42.7</v>
      </c>
      <c r="H591">
        <v>44</v>
      </c>
      <c r="I591">
        <v>33.700000000000003</v>
      </c>
      <c r="J591">
        <v>38</v>
      </c>
      <c r="K591">
        <v>50</v>
      </c>
      <c r="L591">
        <v>50.5</v>
      </c>
      <c r="W591" s="1">
        <v>36192</v>
      </c>
      <c r="X591">
        <v>1238.329956</v>
      </c>
      <c r="Y591" s="4">
        <f t="shared" si="146"/>
        <v>-3.2282562686194144E-2</v>
      </c>
      <c r="Z591" s="4">
        <f t="shared" ref="Z591:Z654" si="148">(X591-X579)/X579</f>
        <v>0.18010368052635484</v>
      </c>
      <c r="AA591">
        <v>50.6</v>
      </c>
      <c r="AB591">
        <f t="shared" ref="AB591:AB654" si="149">AA579</f>
        <v>53.8</v>
      </c>
      <c r="AP591" s="3">
        <v>36161</v>
      </c>
      <c r="AQ591" s="2">
        <v>46.8</v>
      </c>
      <c r="AR591" s="2" t="str">
        <f t="shared" si="136"/>
        <v>-</v>
      </c>
      <c r="AS591" s="2">
        <v>49.7</v>
      </c>
      <c r="AT591" s="8" t="str">
        <f t="shared" si="137"/>
        <v>+</v>
      </c>
      <c r="AU591" s="2">
        <v>47.7</v>
      </c>
      <c r="AV591" s="8" t="str">
        <f t="shared" si="138"/>
        <v>-</v>
      </c>
      <c r="AW591" s="2">
        <v>41.9</v>
      </c>
      <c r="AX591" s="8" t="str">
        <f t="shared" si="139"/>
        <v>-</v>
      </c>
      <c r="AY591" s="2">
        <v>48.5</v>
      </c>
      <c r="AZ591" s="8" t="str">
        <f t="shared" si="140"/>
        <v>-</v>
      </c>
      <c r="BA591" s="2">
        <v>42.7</v>
      </c>
      <c r="BB591" s="8" t="str">
        <f t="shared" si="141"/>
        <v>-</v>
      </c>
      <c r="BC591" s="2">
        <v>47</v>
      </c>
      <c r="BD591" s="8" t="str">
        <f t="shared" si="142"/>
        <v>-</v>
      </c>
      <c r="BE591" s="2">
        <v>31.9</v>
      </c>
      <c r="BF591" s="8" t="str">
        <f t="shared" si="147"/>
        <v>-</v>
      </c>
      <c r="BG591" s="2">
        <v>37</v>
      </c>
      <c r="BH591" s="8" t="str">
        <f t="shared" si="143"/>
        <v>-</v>
      </c>
      <c r="BI591" s="2">
        <v>46.2</v>
      </c>
      <c r="BJ591" s="8" t="str">
        <f t="shared" si="144"/>
        <v>+</v>
      </c>
      <c r="BK591" s="2">
        <v>50.5</v>
      </c>
      <c r="BL591" s="8" t="str">
        <f t="shared" si="145"/>
        <v>-</v>
      </c>
    </row>
    <row r="592" spans="1:64">
      <c r="A592" s="1">
        <v>36220</v>
      </c>
      <c r="B592">
        <v>51.7</v>
      </c>
      <c r="C592">
        <v>55</v>
      </c>
      <c r="D592">
        <v>45.8</v>
      </c>
      <c r="E592">
        <v>56</v>
      </c>
      <c r="F592">
        <v>50.8</v>
      </c>
      <c r="G592">
        <v>43.5</v>
      </c>
      <c r="H592">
        <v>43</v>
      </c>
      <c r="I592">
        <v>35.200000000000003</v>
      </c>
      <c r="J592">
        <v>48.5</v>
      </c>
      <c r="K592">
        <v>53.3</v>
      </c>
      <c r="L592">
        <v>54.6</v>
      </c>
      <c r="W592" s="1">
        <v>36220</v>
      </c>
      <c r="X592">
        <v>1286.369995</v>
      </c>
      <c r="Y592" s="4">
        <f t="shared" si="146"/>
        <v>3.8794215360158806E-2</v>
      </c>
      <c r="Z592" s="4">
        <f t="shared" si="148"/>
        <v>0.16756977081915136</v>
      </c>
      <c r="AA592">
        <v>51.7</v>
      </c>
      <c r="AB592">
        <f t="shared" si="149"/>
        <v>52.9</v>
      </c>
      <c r="AP592" s="3">
        <v>36192</v>
      </c>
      <c r="AQ592" s="2">
        <v>50.6</v>
      </c>
      <c r="AR592" s="2" t="str">
        <f t="shared" si="136"/>
        <v>+</v>
      </c>
      <c r="AS592" s="2">
        <v>52.4</v>
      </c>
      <c r="AT592" s="8" t="str">
        <f t="shared" si="137"/>
        <v>+</v>
      </c>
      <c r="AU592" s="2">
        <v>55.6</v>
      </c>
      <c r="AV592" s="8" t="str">
        <f t="shared" si="138"/>
        <v>+</v>
      </c>
      <c r="AW592" s="2">
        <v>45.5</v>
      </c>
      <c r="AX592" s="8" t="str">
        <f t="shared" si="139"/>
        <v>+</v>
      </c>
      <c r="AY592" s="2">
        <v>51</v>
      </c>
      <c r="AZ592" s="8" t="str">
        <f t="shared" si="140"/>
        <v>+</v>
      </c>
      <c r="BA592" s="2">
        <v>42.7</v>
      </c>
      <c r="BB592" s="8" t="str">
        <f t="shared" si="141"/>
        <v>+</v>
      </c>
      <c r="BC592" s="2">
        <v>44</v>
      </c>
      <c r="BD592" s="8" t="str">
        <f t="shared" si="142"/>
        <v>-</v>
      </c>
      <c r="BE592" s="2">
        <v>33.700000000000003</v>
      </c>
      <c r="BF592" s="8" t="str">
        <f t="shared" si="147"/>
        <v>+</v>
      </c>
      <c r="BG592" s="2">
        <v>38</v>
      </c>
      <c r="BH592" s="8" t="str">
        <f t="shared" si="143"/>
        <v>+</v>
      </c>
      <c r="BI592" s="2">
        <v>50</v>
      </c>
      <c r="BJ592" s="8" t="str">
        <f t="shared" si="144"/>
        <v>+</v>
      </c>
      <c r="BK592" s="2">
        <v>50.5</v>
      </c>
      <c r="BL592" s="8" t="str">
        <f t="shared" si="145"/>
        <v>+</v>
      </c>
    </row>
    <row r="593" spans="1:64">
      <c r="A593" s="1">
        <v>36251</v>
      </c>
      <c r="B593">
        <v>52.4</v>
      </c>
      <c r="C593">
        <v>55.9</v>
      </c>
      <c r="D593">
        <v>47.6</v>
      </c>
      <c r="E593">
        <v>55.7</v>
      </c>
      <c r="F593">
        <v>52.3</v>
      </c>
      <c r="G593">
        <v>43.7</v>
      </c>
      <c r="H593">
        <v>43.5</v>
      </c>
      <c r="I593">
        <v>42.5</v>
      </c>
      <c r="J593">
        <v>52</v>
      </c>
      <c r="K593">
        <v>50.1</v>
      </c>
      <c r="L593">
        <v>52.8</v>
      </c>
      <c r="W593" s="1">
        <v>36251</v>
      </c>
      <c r="X593">
        <v>1335.1800539999999</v>
      </c>
      <c r="Y593" s="4">
        <f t="shared" si="146"/>
        <v>3.7944027915545332E-2</v>
      </c>
      <c r="Z593" s="4">
        <f t="shared" si="148"/>
        <v>0.20097148999325382</v>
      </c>
      <c r="AA593">
        <v>52.4</v>
      </c>
      <c r="AB593">
        <f t="shared" si="149"/>
        <v>52.9</v>
      </c>
      <c r="AP593" s="3">
        <v>36220</v>
      </c>
      <c r="AQ593" s="2">
        <v>51.7</v>
      </c>
      <c r="AR593" s="2" t="str">
        <f t="shared" si="136"/>
        <v>+</v>
      </c>
      <c r="AS593" s="2">
        <v>55</v>
      </c>
      <c r="AT593" s="8" t="str">
        <f t="shared" si="137"/>
        <v>+</v>
      </c>
      <c r="AU593" s="2">
        <v>56</v>
      </c>
      <c r="AV593" s="8" t="str">
        <f t="shared" si="138"/>
        <v>+</v>
      </c>
      <c r="AW593" s="2">
        <v>45.8</v>
      </c>
      <c r="AX593" s="8" t="str">
        <f t="shared" si="139"/>
        <v>+</v>
      </c>
      <c r="AY593" s="2">
        <v>50.8</v>
      </c>
      <c r="AZ593" s="8" t="str">
        <f t="shared" si="140"/>
        <v>-</v>
      </c>
      <c r="BA593" s="2">
        <v>43.5</v>
      </c>
      <c r="BB593" s="8" t="str">
        <f t="shared" si="141"/>
        <v>+</v>
      </c>
      <c r="BC593" s="2">
        <v>43</v>
      </c>
      <c r="BD593" s="8" t="str">
        <f t="shared" si="142"/>
        <v>-</v>
      </c>
      <c r="BE593" s="2">
        <v>35.200000000000003</v>
      </c>
      <c r="BF593" s="8" t="str">
        <f t="shared" si="147"/>
        <v>+</v>
      </c>
      <c r="BG593" s="2">
        <v>48.5</v>
      </c>
      <c r="BH593" s="8" t="str">
        <f t="shared" si="143"/>
        <v>+</v>
      </c>
      <c r="BI593" s="2">
        <v>53.3</v>
      </c>
      <c r="BJ593" s="8" t="str">
        <f t="shared" si="144"/>
        <v>+</v>
      </c>
      <c r="BK593" s="2">
        <v>54.6</v>
      </c>
      <c r="BL593" s="8" t="str">
        <f t="shared" si="145"/>
        <v>+</v>
      </c>
    </row>
    <row r="594" spans="1:64">
      <c r="A594" s="1">
        <v>36281</v>
      </c>
      <c r="B594">
        <v>52.3</v>
      </c>
      <c r="C594">
        <v>54</v>
      </c>
      <c r="D594">
        <v>48.8</v>
      </c>
      <c r="E594">
        <v>57.2</v>
      </c>
      <c r="F594">
        <v>49.5</v>
      </c>
      <c r="G594">
        <v>46.8</v>
      </c>
      <c r="H594">
        <v>45</v>
      </c>
      <c r="I594">
        <v>47.4</v>
      </c>
      <c r="J594">
        <v>53</v>
      </c>
      <c r="K594">
        <v>51.1</v>
      </c>
      <c r="L594">
        <v>51.6</v>
      </c>
      <c r="W594" s="1">
        <v>36281</v>
      </c>
      <c r="X594">
        <v>1301.839966</v>
      </c>
      <c r="Y594" s="4">
        <f t="shared" si="146"/>
        <v>-2.4970480872686798E-2</v>
      </c>
      <c r="Z594" s="4">
        <f t="shared" si="148"/>
        <v>0.1934508263933046</v>
      </c>
      <c r="AA594">
        <v>52.3</v>
      </c>
      <c r="AB594">
        <f t="shared" si="149"/>
        <v>52.2</v>
      </c>
      <c r="AP594" s="3">
        <v>36251</v>
      </c>
      <c r="AQ594" s="2">
        <v>52.4</v>
      </c>
      <c r="AR594" s="2" t="str">
        <f t="shared" si="136"/>
        <v>+</v>
      </c>
      <c r="AS594" s="2">
        <v>55.9</v>
      </c>
      <c r="AT594" s="8" t="str">
        <f t="shared" si="137"/>
        <v>+</v>
      </c>
      <c r="AU594" s="2">
        <v>55.7</v>
      </c>
      <c r="AV594" s="8" t="str">
        <f t="shared" si="138"/>
        <v>-</v>
      </c>
      <c r="AW594" s="2">
        <v>47.6</v>
      </c>
      <c r="AX594" s="8" t="str">
        <f t="shared" si="139"/>
        <v>+</v>
      </c>
      <c r="AY594" s="2">
        <v>52.3</v>
      </c>
      <c r="AZ594" s="8" t="str">
        <f t="shared" si="140"/>
        <v>+</v>
      </c>
      <c r="BA594" s="2">
        <v>43.7</v>
      </c>
      <c r="BB594" s="8" t="str">
        <f t="shared" si="141"/>
        <v>+</v>
      </c>
      <c r="BC594" s="2">
        <v>43.5</v>
      </c>
      <c r="BD594" s="8" t="str">
        <f t="shared" si="142"/>
        <v>+</v>
      </c>
      <c r="BE594" s="2">
        <v>42.5</v>
      </c>
      <c r="BF594" s="8" t="str">
        <f t="shared" si="147"/>
        <v>+</v>
      </c>
      <c r="BG594" s="2">
        <v>52</v>
      </c>
      <c r="BH594" s="8" t="str">
        <f t="shared" si="143"/>
        <v>+</v>
      </c>
      <c r="BI594" s="2">
        <v>50.1</v>
      </c>
      <c r="BJ594" s="8" t="str">
        <f t="shared" si="144"/>
        <v>-</v>
      </c>
      <c r="BK594" s="2">
        <v>52.8</v>
      </c>
      <c r="BL594" s="8" t="str">
        <f t="shared" si="145"/>
        <v>-</v>
      </c>
    </row>
    <row r="595" spans="1:64">
      <c r="A595" s="1">
        <v>36312</v>
      </c>
      <c r="B595">
        <v>54.3</v>
      </c>
      <c r="C595">
        <v>57.8</v>
      </c>
      <c r="D595">
        <v>51.1</v>
      </c>
      <c r="E595">
        <v>58.5</v>
      </c>
      <c r="F595">
        <v>52.1</v>
      </c>
      <c r="G595">
        <v>43.6</v>
      </c>
      <c r="H595">
        <v>45.5</v>
      </c>
      <c r="I595">
        <v>51.2</v>
      </c>
      <c r="J595">
        <v>55.5</v>
      </c>
      <c r="K595">
        <v>50.9</v>
      </c>
      <c r="L595">
        <v>53.1</v>
      </c>
      <c r="W595" s="1">
        <v>36312</v>
      </c>
      <c r="X595">
        <v>1372.709961</v>
      </c>
      <c r="Y595" s="4">
        <f t="shared" si="146"/>
        <v>5.4438331016794128E-2</v>
      </c>
      <c r="Z595" s="4">
        <f t="shared" si="148"/>
        <v>0.21067346553561159</v>
      </c>
      <c r="AA595">
        <v>54.3</v>
      </c>
      <c r="AB595">
        <f t="shared" si="149"/>
        <v>50.9</v>
      </c>
      <c r="AP595" s="3">
        <v>36281</v>
      </c>
      <c r="AQ595" s="2">
        <v>52.3</v>
      </c>
      <c r="AR595" s="2" t="str">
        <f t="shared" si="136"/>
        <v>-</v>
      </c>
      <c r="AS595" s="2">
        <v>54</v>
      </c>
      <c r="AT595" s="8" t="str">
        <f t="shared" si="137"/>
        <v>-</v>
      </c>
      <c r="AU595" s="2">
        <v>57.2</v>
      </c>
      <c r="AV595" s="8" t="str">
        <f t="shared" si="138"/>
        <v>+</v>
      </c>
      <c r="AW595" s="2">
        <v>48.8</v>
      </c>
      <c r="AX595" s="8" t="str">
        <f t="shared" si="139"/>
        <v>+</v>
      </c>
      <c r="AY595" s="2">
        <v>49.5</v>
      </c>
      <c r="AZ595" s="8" t="str">
        <f t="shared" si="140"/>
        <v>-</v>
      </c>
      <c r="BA595" s="2">
        <v>46.8</v>
      </c>
      <c r="BB595" s="8" t="str">
        <f t="shared" si="141"/>
        <v>+</v>
      </c>
      <c r="BC595" s="2">
        <v>45</v>
      </c>
      <c r="BD595" s="8" t="str">
        <f t="shared" si="142"/>
        <v>+</v>
      </c>
      <c r="BE595" s="2">
        <v>47.4</v>
      </c>
      <c r="BF595" s="8" t="str">
        <f t="shared" si="147"/>
        <v>+</v>
      </c>
      <c r="BG595" s="2">
        <v>53</v>
      </c>
      <c r="BH595" s="8" t="str">
        <f t="shared" si="143"/>
        <v>+</v>
      </c>
      <c r="BI595" s="2">
        <v>51.1</v>
      </c>
      <c r="BJ595" s="8" t="str">
        <f t="shared" si="144"/>
        <v>+</v>
      </c>
      <c r="BK595" s="2">
        <v>51.6</v>
      </c>
      <c r="BL595" s="8" t="str">
        <f t="shared" si="145"/>
        <v>-</v>
      </c>
    </row>
    <row r="596" spans="1:64">
      <c r="A596" s="1">
        <v>36342</v>
      </c>
      <c r="B596">
        <v>55.8</v>
      </c>
      <c r="C596">
        <v>59.4</v>
      </c>
      <c r="D596">
        <v>51.3</v>
      </c>
      <c r="E596">
        <v>61.6</v>
      </c>
      <c r="F596">
        <v>52.6</v>
      </c>
      <c r="G596">
        <v>44.7</v>
      </c>
      <c r="H596">
        <v>43.5</v>
      </c>
      <c r="I596">
        <v>54.2</v>
      </c>
      <c r="J596">
        <v>54.5</v>
      </c>
      <c r="K596">
        <v>52.4</v>
      </c>
      <c r="L596">
        <v>52.2</v>
      </c>
      <c r="W596" s="1">
        <v>36342</v>
      </c>
      <c r="X596">
        <v>1328.719971</v>
      </c>
      <c r="Y596" s="4">
        <f t="shared" si="146"/>
        <v>-3.2046092218893742E-2</v>
      </c>
      <c r="Z596" s="4">
        <f t="shared" si="148"/>
        <v>0.18564779893411698</v>
      </c>
      <c r="AA596">
        <v>55.8</v>
      </c>
      <c r="AB596">
        <f t="shared" si="149"/>
        <v>48.9</v>
      </c>
      <c r="AP596" s="3">
        <v>36312</v>
      </c>
      <c r="AQ596" s="2">
        <v>54.3</v>
      </c>
      <c r="AR596" s="2" t="str">
        <f t="shared" si="136"/>
        <v>+</v>
      </c>
      <c r="AS596" s="2">
        <v>57.8</v>
      </c>
      <c r="AT596" s="8" t="str">
        <f t="shared" si="137"/>
        <v>+</v>
      </c>
      <c r="AU596" s="2">
        <v>58.5</v>
      </c>
      <c r="AV596" s="8" t="str">
        <f t="shared" si="138"/>
        <v>+</v>
      </c>
      <c r="AW596" s="2">
        <v>51.1</v>
      </c>
      <c r="AX596" s="8" t="str">
        <f t="shared" si="139"/>
        <v>+</v>
      </c>
      <c r="AY596" s="2">
        <v>52.1</v>
      </c>
      <c r="AZ596" s="8" t="str">
        <f t="shared" si="140"/>
        <v>+</v>
      </c>
      <c r="BA596" s="2">
        <v>43.6</v>
      </c>
      <c r="BB596" s="8" t="str">
        <f t="shared" si="141"/>
        <v>-</v>
      </c>
      <c r="BC596" s="2">
        <v>45.5</v>
      </c>
      <c r="BD596" s="8" t="str">
        <f t="shared" si="142"/>
        <v>+</v>
      </c>
      <c r="BE596" s="2">
        <v>51.2</v>
      </c>
      <c r="BF596" s="8" t="str">
        <f t="shared" si="147"/>
        <v>+</v>
      </c>
      <c r="BG596" s="2">
        <v>55.5</v>
      </c>
      <c r="BH596" s="8" t="str">
        <f t="shared" si="143"/>
        <v>+</v>
      </c>
      <c r="BI596" s="2">
        <v>50.9</v>
      </c>
      <c r="BJ596" s="8" t="str">
        <f t="shared" si="144"/>
        <v>-</v>
      </c>
      <c r="BK596" s="2">
        <v>53.1</v>
      </c>
      <c r="BL596" s="8" t="str">
        <f t="shared" si="145"/>
        <v>+</v>
      </c>
    </row>
    <row r="597" spans="1:64">
      <c r="A597" s="1">
        <v>36373</v>
      </c>
      <c r="B597">
        <v>53.6</v>
      </c>
      <c r="C597">
        <v>54.6</v>
      </c>
      <c r="D597">
        <v>50.4</v>
      </c>
      <c r="E597">
        <v>58.1</v>
      </c>
      <c r="F597">
        <v>54</v>
      </c>
      <c r="G597">
        <v>44.9</v>
      </c>
      <c r="H597">
        <v>45</v>
      </c>
      <c r="I597">
        <v>55.5</v>
      </c>
      <c r="J597">
        <v>50.5</v>
      </c>
      <c r="K597">
        <v>51.1</v>
      </c>
      <c r="L597">
        <v>54.1</v>
      </c>
      <c r="W597" s="1">
        <v>36373</v>
      </c>
      <c r="X597">
        <v>1320.410034</v>
      </c>
      <c r="Y597" s="4">
        <f t="shared" si="146"/>
        <v>-6.2540920445004668E-3</v>
      </c>
      <c r="Z597" s="4">
        <f t="shared" si="148"/>
        <v>0.37933519346406419</v>
      </c>
      <c r="AA597">
        <v>53.6</v>
      </c>
      <c r="AB597">
        <f t="shared" si="149"/>
        <v>49.2</v>
      </c>
      <c r="AP597" s="3">
        <v>36342</v>
      </c>
      <c r="AQ597" s="2">
        <v>55.8</v>
      </c>
      <c r="AR597" s="2" t="str">
        <f t="shared" si="136"/>
        <v>+</v>
      </c>
      <c r="AS597" s="2">
        <v>59.4</v>
      </c>
      <c r="AT597" s="8" t="str">
        <f t="shared" si="137"/>
        <v>+</v>
      </c>
      <c r="AU597" s="2">
        <v>61.6</v>
      </c>
      <c r="AV597" s="8" t="str">
        <f t="shared" si="138"/>
        <v>+</v>
      </c>
      <c r="AW597" s="2">
        <v>51.3</v>
      </c>
      <c r="AX597" s="8" t="str">
        <f t="shared" si="139"/>
        <v>+</v>
      </c>
      <c r="AY597" s="2">
        <v>52.6</v>
      </c>
      <c r="AZ597" s="8" t="str">
        <f t="shared" si="140"/>
        <v>+</v>
      </c>
      <c r="BA597" s="2">
        <v>44.7</v>
      </c>
      <c r="BB597" s="8" t="str">
        <f t="shared" si="141"/>
        <v>+</v>
      </c>
      <c r="BC597" s="2">
        <v>43.5</v>
      </c>
      <c r="BD597" s="8" t="str">
        <f t="shared" si="142"/>
        <v>-</v>
      </c>
      <c r="BE597" s="2">
        <v>54.2</v>
      </c>
      <c r="BF597" s="8" t="str">
        <f t="shared" si="147"/>
        <v>+</v>
      </c>
      <c r="BG597" s="2">
        <v>54.5</v>
      </c>
      <c r="BH597" s="8" t="str">
        <f t="shared" si="143"/>
        <v>-</v>
      </c>
      <c r="BI597" s="2">
        <v>52.4</v>
      </c>
      <c r="BJ597" s="8" t="str">
        <f t="shared" si="144"/>
        <v>+</v>
      </c>
      <c r="BK597" s="2">
        <v>52.2</v>
      </c>
      <c r="BL597" s="8" t="str">
        <f t="shared" si="145"/>
        <v>-</v>
      </c>
    </row>
    <row r="598" spans="1:64">
      <c r="A598" s="1">
        <v>36404</v>
      </c>
      <c r="B598">
        <v>54.8</v>
      </c>
      <c r="C598">
        <v>57.5</v>
      </c>
      <c r="D598">
        <v>53.1</v>
      </c>
      <c r="E598">
        <v>58.3</v>
      </c>
      <c r="F598">
        <v>51.4</v>
      </c>
      <c r="G598">
        <v>46.2</v>
      </c>
      <c r="H598">
        <v>45.5</v>
      </c>
      <c r="I598">
        <v>60.6</v>
      </c>
      <c r="J598">
        <v>52.5</v>
      </c>
      <c r="K598">
        <v>54.4</v>
      </c>
      <c r="L598">
        <v>53.7</v>
      </c>
      <c r="W598" s="1">
        <v>36404</v>
      </c>
      <c r="X598">
        <v>1282.709961</v>
      </c>
      <c r="Y598" s="4">
        <f t="shared" si="146"/>
        <v>-2.8551792268491635E-2</v>
      </c>
      <c r="Z598" s="4">
        <f t="shared" si="148"/>
        <v>0.26125598409793438</v>
      </c>
      <c r="AA598">
        <v>54.8</v>
      </c>
      <c r="AB598">
        <f t="shared" si="149"/>
        <v>49.3</v>
      </c>
      <c r="AP598" s="3">
        <v>36373</v>
      </c>
      <c r="AQ598" s="2">
        <v>53.6</v>
      </c>
      <c r="AR598" s="2" t="str">
        <f t="shared" si="136"/>
        <v>-</v>
      </c>
      <c r="AS598" s="2">
        <v>54.6</v>
      </c>
      <c r="AT598" s="8" t="str">
        <f t="shared" si="137"/>
        <v>-</v>
      </c>
      <c r="AU598" s="2">
        <v>58.1</v>
      </c>
      <c r="AV598" s="8" t="str">
        <f t="shared" si="138"/>
        <v>-</v>
      </c>
      <c r="AW598" s="2">
        <v>50.4</v>
      </c>
      <c r="AX598" s="8" t="str">
        <f t="shared" si="139"/>
        <v>-</v>
      </c>
      <c r="AY598" s="2">
        <v>54</v>
      </c>
      <c r="AZ598" s="8" t="str">
        <f t="shared" si="140"/>
        <v>+</v>
      </c>
      <c r="BA598" s="2">
        <v>44.9</v>
      </c>
      <c r="BB598" s="8" t="str">
        <f t="shared" si="141"/>
        <v>+</v>
      </c>
      <c r="BC598" s="2">
        <v>45</v>
      </c>
      <c r="BD598" s="8" t="str">
        <f t="shared" si="142"/>
        <v>+</v>
      </c>
      <c r="BE598" s="2">
        <v>55.5</v>
      </c>
      <c r="BF598" s="8" t="str">
        <f t="shared" si="147"/>
        <v>+</v>
      </c>
      <c r="BG598" s="2">
        <v>50.5</v>
      </c>
      <c r="BH598" s="8" t="str">
        <f t="shared" si="143"/>
        <v>-</v>
      </c>
      <c r="BI598" s="2">
        <v>51.1</v>
      </c>
      <c r="BJ598" s="8" t="str">
        <f t="shared" si="144"/>
        <v>-</v>
      </c>
      <c r="BK598" s="2">
        <v>54.1</v>
      </c>
      <c r="BL598" s="8" t="str">
        <f t="shared" si="145"/>
        <v>+</v>
      </c>
    </row>
    <row r="599" spans="1:64">
      <c r="A599" s="1">
        <v>36434</v>
      </c>
      <c r="B599">
        <v>57</v>
      </c>
      <c r="C599">
        <v>63.5</v>
      </c>
      <c r="D599">
        <v>51.3</v>
      </c>
      <c r="E599">
        <v>59.9</v>
      </c>
      <c r="F599">
        <v>55.8</v>
      </c>
      <c r="G599">
        <v>43.8</v>
      </c>
      <c r="H599">
        <v>43.5</v>
      </c>
      <c r="I599">
        <v>65.8</v>
      </c>
      <c r="J599">
        <v>54.5</v>
      </c>
      <c r="K599">
        <v>55.8</v>
      </c>
      <c r="L599">
        <v>54.2</v>
      </c>
      <c r="W599" s="1">
        <v>36434</v>
      </c>
      <c r="X599">
        <v>1362.9300539999999</v>
      </c>
      <c r="Y599" s="4">
        <f t="shared" si="146"/>
        <v>6.2539541625965367E-2</v>
      </c>
      <c r="Z599" s="4">
        <f t="shared" si="148"/>
        <v>0.24052718233573681</v>
      </c>
      <c r="AA599">
        <v>57</v>
      </c>
      <c r="AB599">
        <f t="shared" si="149"/>
        <v>48.7</v>
      </c>
      <c r="AP599" s="3">
        <v>36404</v>
      </c>
      <c r="AQ599" s="2">
        <v>54.8</v>
      </c>
      <c r="AR599" s="2" t="str">
        <f t="shared" si="136"/>
        <v>+</v>
      </c>
      <c r="AS599" s="2">
        <v>57.5</v>
      </c>
      <c r="AT599" s="8" t="str">
        <f t="shared" si="137"/>
        <v>+</v>
      </c>
      <c r="AU599" s="2">
        <v>58.3</v>
      </c>
      <c r="AV599" s="8" t="str">
        <f t="shared" si="138"/>
        <v>+</v>
      </c>
      <c r="AW599" s="2">
        <v>53.1</v>
      </c>
      <c r="AX599" s="8" t="str">
        <f t="shared" si="139"/>
        <v>+</v>
      </c>
      <c r="AY599" s="2">
        <v>51.4</v>
      </c>
      <c r="AZ599" s="8" t="str">
        <f t="shared" si="140"/>
        <v>-</v>
      </c>
      <c r="BA599" s="2">
        <v>46.2</v>
      </c>
      <c r="BB599" s="8" t="str">
        <f t="shared" si="141"/>
        <v>+</v>
      </c>
      <c r="BC599" s="2">
        <v>45.5</v>
      </c>
      <c r="BD599" s="8" t="str">
        <f t="shared" si="142"/>
        <v>+</v>
      </c>
      <c r="BE599" s="2">
        <v>60.6</v>
      </c>
      <c r="BF599" s="8" t="str">
        <f t="shared" si="147"/>
        <v>+</v>
      </c>
      <c r="BG599" s="2">
        <v>52.5</v>
      </c>
      <c r="BH599" s="8" t="str">
        <f t="shared" si="143"/>
        <v>+</v>
      </c>
      <c r="BI599" s="2">
        <v>54.4</v>
      </c>
      <c r="BJ599" s="8" t="str">
        <f t="shared" si="144"/>
        <v>+</v>
      </c>
      <c r="BK599" s="2">
        <v>53.7</v>
      </c>
      <c r="BL599" s="8" t="str">
        <f t="shared" si="145"/>
        <v>-</v>
      </c>
    </row>
    <row r="600" spans="1:64">
      <c r="A600" s="1">
        <v>36465</v>
      </c>
      <c r="B600">
        <v>57.2</v>
      </c>
      <c r="C600">
        <v>61.3</v>
      </c>
      <c r="D600">
        <v>53</v>
      </c>
      <c r="E600">
        <v>59.7</v>
      </c>
      <c r="F600">
        <v>56.2</v>
      </c>
      <c r="G600">
        <v>48</v>
      </c>
      <c r="H600">
        <v>44.5</v>
      </c>
      <c r="I600">
        <v>68.8</v>
      </c>
      <c r="J600">
        <v>54</v>
      </c>
      <c r="K600">
        <v>54.9</v>
      </c>
      <c r="L600">
        <v>54.3</v>
      </c>
      <c r="W600" s="1">
        <v>36465</v>
      </c>
      <c r="X600">
        <v>1388.910034</v>
      </c>
      <c r="Y600" s="4">
        <f t="shared" si="146"/>
        <v>1.9061858621249591E-2</v>
      </c>
      <c r="Z600" s="4">
        <f t="shared" si="148"/>
        <v>0.19360108284591718</v>
      </c>
      <c r="AA600">
        <v>57.2</v>
      </c>
      <c r="AB600">
        <f t="shared" si="149"/>
        <v>48.7</v>
      </c>
      <c r="AP600" s="3">
        <v>36434</v>
      </c>
      <c r="AQ600" s="2">
        <v>57</v>
      </c>
      <c r="AR600" s="2" t="str">
        <f t="shared" si="136"/>
        <v>+</v>
      </c>
      <c r="AS600" s="2">
        <v>63.5</v>
      </c>
      <c r="AT600" s="8" t="str">
        <f t="shared" si="137"/>
        <v>+</v>
      </c>
      <c r="AU600" s="2">
        <v>59.9</v>
      </c>
      <c r="AV600" s="8" t="str">
        <f t="shared" si="138"/>
        <v>+</v>
      </c>
      <c r="AW600" s="2">
        <v>51.3</v>
      </c>
      <c r="AX600" s="8" t="str">
        <f t="shared" si="139"/>
        <v>-</v>
      </c>
      <c r="AY600" s="2">
        <v>55.8</v>
      </c>
      <c r="AZ600" s="8" t="str">
        <f t="shared" si="140"/>
        <v>+</v>
      </c>
      <c r="BA600" s="2">
        <v>43.8</v>
      </c>
      <c r="BB600" s="8" t="str">
        <f t="shared" si="141"/>
        <v>-</v>
      </c>
      <c r="BC600" s="2">
        <v>43.5</v>
      </c>
      <c r="BD600" s="8" t="str">
        <f t="shared" si="142"/>
        <v>-</v>
      </c>
      <c r="BE600" s="2">
        <v>65.8</v>
      </c>
      <c r="BF600" s="8" t="str">
        <f t="shared" si="147"/>
        <v>+</v>
      </c>
      <c r="BG600" s="2">
        <v>54.5</v>
      </c>
      <c r="BH600" s="8" t="str">
        <f t="shared" si="143"/>
        <v>+</v>
      </c>
      <c r="BI600" s="2">
        <v>55.8</v>
      </c>
      <c r="BJ600" s="8" t="str">
        <f t="shared" si="144"/>
        <v>+</v>
      </c>
      <c r="BK600" s="2">
        <v>54.2</v>
      </c>
      <c r="BL600" s="8" t="str">
        <f t="shared" si="145"/>
        <v>+</v>
      </c>
    </row>
    <row r="601" spans="1:64">
      <c r="A601" s="1">
        <v>36495</v>
      </c>
      <c r="B601">
        <v>58.1</v>
      </c>
      <c r="C601">
        <v>63.1</v>
      </c>
      <c r="D601">
        <v>53.1</v>
      </c>
      <c r="E601">
        <v>60.2</v>
      </c>
      <c r="F601">
        <v>56.8</v>
      </c>
      <c r="G601">
        <v>49.7</v>
      </c>
      <c r="H601">
        <v>48.5</v>
      </c>
      <c r="I601">
        <v>68.099999999999994</v>
      </c>
      <c r="J601">
        <v>58.5</v>
      </c>
      <c r="K601">
        <v>55.8</v>
      </c>
      <c r="L601">
        <v>52.7</v>
      </c>
      <c r="W601" s="1">
        <v>36495</v>
      </c>
      <c r="X601">
        <v>1469.25</v>
      </c>
      <c r="Y601" s="4">
        <f t="shared" si="146"/>
        <v>5.784389487677933E-2</v>
      </c>
      <c r="Z601" s="4">
        <f t="shared" si="148"/>
        <v>0.19526046704458014</v>
      </c>
      <c r="AA601">
        <v>58.1</v>
      </c>
      <c r="AB601">
        <f t="shared" si="149"/>
        <v>48.2</v>
      </c>
      <c r="AP601" s="3">
        <v>36465</v>
      </c>
      <c r="AQ601" s="2">
        <v>57.2</v>
      </c>
      <c r="AR601" s="2" t="str">
        <f t="shared" si="136"/>
        <v>+</v>
      </c>
      <c r="AS601" s="2">
        <v>61.3</v>
      </c>
      <c r="AT601" s="8" t="str">
        <f t="shared" si="137"/>
        <v>-</v>
      </c>
      <c r="AU601" s="2">
        <v>59.7</v>
      </c>
      <c r="AV601" s="8" t="str">
        <f t="shared" si="138"/>
        <v>-</v>
      </c>
      <c r="AW601" s="2">
        <v>53</v>
      </c>
      <c r="AX601" s="8" t="str">
        <f t="shared" si="139"/>
        <v>+</v>
      </c>
      <c r="AY601" s="2">
        <v>56.2</v>
      </c>
      <c r="AZ601" s="8" t="str">
        <f t="shared" si="140"/>
        <v>+</v>
      </c>
      <c r="BA601" s="2">
        <v>48</v>
      </c>
      <c r="BB601" s="8" t="str">
        <f t="shared" si="141"/>
        <v>+</v>
      </c>
      <c r="BC601" s="2">
        <v>44.5</v>
      </c>
      <c r="BD601" s="8" t="str">
        <f t="shared" si="142"/>
        <v>+</v>
      </c>
      <c r="BE601" s="2">
        <v>68.8</v>
      </c>
      <c r="BF601" s="8" t="str">
        <f t="shared" si="147"/>
        <v>+</v>
      </c>
      <c r="BG601" s="2">
        <v>54</v>
      </c>
      <c r="BH601" s="8" t="str">
        <f t="shared" si="143"/>
        <v>-</v>
      </c>
      <c r="BI601" s="2">
        <v>54.9</v>
      </c>
      <c r="BJ601" s="8" t="str">
        <f t="shared" si="144"/>
        <v>-</v>
      </c>
      <c r="BK601" s="2">
        <v>54.3</v>
      </c>
      <c r="BL601" s="8" t="str">
        <f t="shared" si="145"/>
        <v>+</v>
      </c>
    </row>
    <row r="602" spans="1:64">
      <c r="A602" s="1">
        <v>36526</v>
      </c>
      <c r="B602">
        <v>57.8</v>
      </c>
      <c r="C602">
        <v>60.3</v>
      </c>
      <c r="D602">
        <v>55.7</v>
      </c>
      <c r="E602">
        <v>60.6</v>
      </c>
      <c r="F602">
        <v>56.7</v>
      </c>
      <c r="G602">
        <v>49</v>
      </c>
      <c r="H602">
        <v>48.5</v>
      </c>
      <c r="I602">
        <v>67.400000000000006</v>
      </c>
      <c r="J602">
        <v>50</v>
      </c>
      <c r="K602">
        <v>55</v>
      </c>
      <c r="L602">
        <v>52</v>
      </c>
      <c r="W602" s="1">
        <v>36526</v>
      </c>
      <c r="X602">
        <v>1394.459961</v>
      </c>
      <c r="Y602" s="4">
        <f t="shared" si="146"/>
        <v>-5.0903548749361906E-2</v>
      </c>
      <c r="Z602" s="4">
        <f t="shared" si="148"/>
        <v>8.9728317850391759E-2</v>
      </c>
      <c r="AA602">
        <v>57.8</v>
      </c>
      <c r="AB602">
        <f t="shared" si="149"/>
        <v>46.8</v>
      </c>
      <c r="AP602" s="3">
        <v>36495</v>
      </c>
      <c r="AQ602" s="2">
        <v>58.1</v>
      </c>
      <c r="AR602" s="2" t="str">
        <f t="shared" si="136"/>
        <v>+</v>
      </c>
      <c r="AS602" s="2">
        <v>63.1</v>
      </c>
      <c r="AT602" s="8" t="str">
        <f t="shared" si="137"/>
        <v>+</v>
      </c>
      <c r="AU602" s="2">
        <v>60.2</v>
      </c>
      <c r="AV602" s="8" t="str">
        <f t="shared" si="138"/>
        <v>+</v>
      </c>
      <c r="AW602" s="2">
        <v>53.1</v>
      </c>
      <c r="AX602" s="8" t="str">
        <f t="shared" si="139"/>
        <v>+</v>
      </c>
      <c r="AY602" s="2">
        <v>56.8</v>
      </c>
      <c r="AZ602" s="8" t="str">
        <f t="shared" si="140"/>
        <v>+</v>
      </c>
      <c r="BA602" s="2">
        <v>49.7</v>
      </c>
      <c r="BB602" s="8" t="str">
        <f t="shared" si="141"/>
        <v>+</v>
      </c>
      <c r="BC602" s="2">
        <v>48.5</v>
      </c>
      <c r="BD602" s="8" t="str">
        <f t="shared" si="142"/>
        <v>+</v>
      </c>
      <c r="BE602" s="2">
        <v>68.099999999999994</v>
      </c>
      <c r="BF602" s="8" t="str">
        <f t="shared" si="147"/>
        <v>-</v>
      </c>
      <c r="BG602" s="2">
        <v>58.5</v>
      </c>
      <c r="BH602" s="8" t="str">
        <f t="shared" si="143"/>
        <v>+</v>
      </c>
      <c r="BI602" s="2">
        <v>55.8</v>
      </c>
      <c r="BJ602" s="8" t="str">
        <f t="shared" si="144"/>
        <v>+</v>
      </c>
      <c r="BK602" s="2">
        <v>52.7</v>
      </c>
      <c r="BL602" s="8" t="str">
        <f t="shared" si="145"/>
        <v>-</v>
      </c>
    </row>
    <row r="603" spans="1:64">
      <c r="A603" s="1">
        <v>36557</v>
      </c>
      <c r="B603">
        <v>56.7</v>
      </c>
      <c r="C603">
        <v>60.4</v>
      </c>
      <c r="D603">
        <v>52.8</v>
      </c>
      <c r="E603">
        <v>57.8</v>
      </c>
      <c r="F603">
        <v>55</v>
      </c>
      <c r="G603">
        <v>52.8</v>
      </c>
      <c r="H603">
        <v>46.5</v>
      </c>
      <c r="I603">
        <v>72.400000000000006</v>
      </c>
      <c r="J603">
        <v>52</v>
      </c>
      <c r="K603">
        <v>53.4</v>
      </c>
      <c r="L603">
        <v>52.9</v>
      </c>
      <c r="W603" s="1">
        <v>36557</v>
      </c>
      <c r="X603">
        <v>1366.420044</v>
      </c>
      <c r="Y603" s="4">
        <f t="shared" si="146"/>
        <v>-2.0108083261058264E-2</v>
      </c>
      <c r="Z603" s="4">
        <f t="shared" si="148"/>
        <v>0.10343776905288717</v>
      </c>
      <c r="AA603">
        <v>56.7</v>
      </c>
      <c r="AB603">
        <f t="shared" si="149"/>
        <v>50.6</v>
      </c>
      <c r="AP603" s="3">
        <v>36526</v>
      </c>
      <c r="AQ603" s="2">
        <v>57.8</v>
      </c>
      <c r="AR603" s="2" t="str">
        <f t="shared" si="136"/>
        <v>-</v>
      </c>
      <c r="AS603" s="2">
        <v>60.3</v>
      </c>
      <c r="AT603" s="8" t="str">
        <f t="shared" si="137"/>
        <v>-</v>
      </c>
      <c r="AU603" s="2">
        <v>60.6</v>
      </c>
      <c r="AV603" s="8" t="str">
        <f t="shared" si="138"/>
        <v>+</v>
      </c>
      <c r="AW603" s="2">
        <v>55.7</v>
      </c>
      <c r="AX603" s="8" t="str">
        <f t="shared" si="139"/>
        <v>+</v>
      </c>
      <c r="AY603" s="2">
        <v>56.7</v>
      </c>
      <c r="AZ603" s="8" t="str">
        <f t="shared" si="140"/>
        <v>-</v>
      </c>
      <c r="BA603" s="2">
        <v>49</v>
      </c>
      <c r="BB603" s="8" t="str">
        <f t="shared" si="141"/>
        <v>-</v>
      </c>
      <c r="BC603" s="2">
        <v>48.5</v>
      </c>
      <c r="BD603" s="8" t="str">
        <f t="shared" si="142"/>
        <v>+</v>
      </c>
      <c r="BE603" s="2">
        <v>67.400000000000006</v>
      </c>
      <c r="BF603" s="8" t="str">
        <f t="shared" si="147"/>
        <v>-</v>
      </c>
      <c r="BG603" s="2">
        <v>50</v>
      </c>
      <c r="BH603" s="8" t="str">
        <f t="shared" si="143"/>
        <v>-</v>
      </c>
      <c r="BI603" s="2">
        <v>55</v>
      </c>
      <c r="BJ603" s="8" t="str">
        <f t="shared" si="144"/>
        <v>-</v>
      </c>
      <c r="BK603" s="2">
        <v>52</v>
      </c>
      <c r="BL603" s="8" t="str">
        <f t="shared" si="145"/>
        <v>-</v>
      </c>
    </row>
    <row r="604" spans="1:64">
      <c r="A604" s="1">
        <v>36586</v>
      </c>
      <c r="B604">
        <v>55.8</v>
      </c>
      <c r="C604">
        <v>58.7</v>
      </c>
      <c r="D604">
        <v>53.6</v>
      </c>
      <c r="E604">
        <v>59.1</v>
      </c>
      <c r="F604">
        <v>54.4</v>
      </c>
      <c r="G604">
        <v>44.9</v>
      </c>
      <c r="H604">
        <v>48</v>
      </c>
      <c r="I604">
        <v>71.599999999999994</v>
      </c>
      <c r="J604">
        <v>54</v>
      </c>
      <c r="K604">
        <v>54.2</v>
      </c>
      <c r="L604">
        <v>53</v>
      </c>
      <c r="W604" s="1">
        <v>36586</v>
      </c>
      <c r="X604">
        <v>1498.579956</v>
      </c>
      <c r="Y604" s="4">
        <f t="shared" si="146"/>
        <v>9.6719828269732314E-2</v>
      </c>
      <c r="Z604" s="4">
        <f t="shared" si="148"/>
        <v>0.16496805882043294</v>
      </c>
      <c r="AA604">
        <v>55.8</v>
      </c>
      <c r="AB604">
        <f t="shared" si="149"/>
        <v>51.7</v>
      </c>
      <c r="AP604" s="3">
        <v>36557</v>
      </c>
      <c r="AQ604" s="2">
        <v>56.7</v>
      </c>
      <c r="AR604" s="2" t="str">
        <f t="shared" si="136"/>
        <v>-</v>
      </c>
      <c r="AS604" s="2">
        <v>60.4</v>
      </c>
      <c r="AT604" s="8" t="str">
        <f t="shared" si="137"/>
        <v>+</v>
      </c>
      <c r="AU604" s="2">
        <v>57.8</v>
      </c>
      <c r="AV604" s="8" t="str">
        <f t="shared" si="138"/>
        <v>-</v>
      </c>
      <c r="AW604" s="2">
        <v>52.8</v>
      </c>
      <c r="AX604" s="8" t="str">
        <f t="shared" si="139"/>
        <v>-</v>
      </c>
      <c r="AY604" s="2">
        <v>55</v>
      </c>
      <c r="AZ604" s="8" t="str">
        <f t="shared" si="140"/>
        <v>-</v>
      </c>
      <c r="BA604" s="2">
        <v>52.8</v>
      </c>
      <c r="BB604" s="8" t="str">
        <f t="shared" si="141"/>
        <v>+</v>
      </c>
      <c r="BC604" s="2">
        <v>46.5</v>
      </c>
      <c r="BD604" s="8" t="str">
        <f t="shared" si="142"/>
        <v>-</v>
      </c>
      <c r="BE604" s="2">
        <v>72.400000000000006</v>
      </c>
      <c r="BF604" s="8" t="str">
        <f t="shared" si="147"/>
        <v>+</v>
      </c>
      <c r="BG604" s="2">
        <v>52</v>
      </c>
      <c r="BH604" s="8" t="str">
        <f t="shared" si="143"/>
        <v>+</v>
      </c>
      <c r="BI604" s="2">
        <v>53.4</v>
      </c>
      <c r="BJ604" s="8" t="str">
        <f t="shared" si="144"/>
        <v>-</v>
      </c>
      <c r="BK604" s="2">
        <v>52.9</v>
      </c>
      <c r="BL604" s="8" t="str">
        <f t="shared" si="145"/>
        <v>+</v>
      </c>
    </row>
    <row r="605" spans="1:64">
      <c r="A605" s="1">
        <v>36617</v>
      </c>
      <c r="B605">
        <v>54.9</v>
      </c>
      <c r="C605">
        <v>56.2</v>
      </c>
      <c r="D605">
        <v>51.2</v>
      </c>
      <c r="E605">
        <v>59.5</v>
      </c>
      <c r="F605">
        <v>54.3</v>
      </c>
      <c r="G605">
        <v>47.5</v>
      </c>
      <c r="H605">
        <v>48</v>
      </c>
      <c r="I605">
        <v>78.7</v>
      </c>
      <c r="J605">
        <v>51</v>
      </c>
      <c r="K605">
        <v>54.8</v>
      </c>
      <c r="L605">
        <v>53.5</v>
      </c>
      <c r="W605" s="1">
        <v>36617</v>
      </c>
      <c r="X605">
        <v>1452.4300539999999</v>
      </c>
      <c r="Y605" s="4">
        <f t="shared" si="146"/>
        <v>-3.0795755551931397E-2</v>
      </c>
      <c r="Z605" s="4">
        <f t="shared" si="148"/>
        <v>8.781587146148305E-2</v>
      </c>
      <c r="AA605">
        <v>54.9</v>
      </c>
      <c r="AB605">
        <f t="shared" si="149"/>
        <v>52.4</v>
      </c>
      <c r="AP605" s="3">
        <v>36586</v>
      </c>
      <c r="AQ605" s="2">
        <v>55.8</v>
      </c>
      <c r="AR605" s="2" t="str">
        <f t="shared" si="136"/>
        <v>-</v>
      </c>
      <c r="AS605" s="2">
        <v>58.7</v>
      </c>
      <c r="AT605" s="8" t="str">
        <f t="shared" si="137"/>
        <v>-</v>
      </c>
      <c r="AU605" s="2">
        <v>59.1</v>
      </c>
      <c r="AV605" s="8" t="str">
        <f t="shared" si="138"/>
        <v>+</v>
      </c>
      <c r="AW605" s="2">
        <v>53.6</v>
      </c>
      <c r="AX605" s="8" t="str">
        <f t="shared" si="139"/>
        <v>+</v>
      </c>
      <c r="AY605" s="2">
        <v>54.4</v>
      </c>
      <c r="AZ605" s="8" t="str">
        <f t="shared" si="140"/>
        <v>-</v>
      </c>
      <c r="BA605" s="2">
        <v>44.9</v>
      </c>
      <c r="BB605" s="8" t="str">
        <f t="shared" si="141"/>
        <v>-</v>
      </c>
      <c r="BC605" s="2">
        <v>48</v>
      </c>
      <c r="BD605" s="8" t="str">
        <f t="shared" si="142"/>
        <v>+</v>
      </c>
      <c r="BE605" s="2">
        <v>71.599999999999994</v>
      </c>
      <c r="BF605" s="8" t="str">
        <f t="shared" si="147"/>
        <v>-</v>
      </c>
      <c r="BG605" s="2">
        <v>54</v>
      </c>
      <c r="BH605" s="8" t="str">
        <f t="shared" si="143"/>
        <v>+</v>
      </c>
      <c r="BI605" s="2">
        <v>54.2</v>
      </c>
      <c r="BJ605" s="8" t="str">
        <f t="shared" si="144"/>
        <v>+</v>
      </c>
      <c r="BK605" s="2">
        <v>53</v>
      </c>
      <c r="BL605" s="8" t="str">
        <f t="shared" si="145"/>
        <v>+</v>
      </c>
    </row>
    <row r="606" spans="1:64">
      <c r="A606" s="1">
        <v>36647</v>
      </c>
      <c r="B606">
        <v>54.7</v>
      </c>
      <c r="C606">
        <v>55.4</v>
      </c>
      <c r="D606">
        <v>53.2</v>
      </c>
      <c r="E606">
        <v>58.1</v>
      </c>
      <c r="F606">
        <v>55.4</v>
      </c>
      <c r="G606">
        <v>46.1</v>
      </c>
      <c r="H606">
        <v>47</v>
      </c>
      <c r="I606">
        <v>71.2</v>
      </c>
      <c r="J606">
        <v>51</v>
      </c>
      <c r="K606">
        <v>51.5</v>
      </c>
      <c r="L606">
        <v>53.8</v>
      </c>
      <c r="W606" s="1">
        <v>36647</v>
      </c>
      <c r="X606">
        <v>1420.599976</v>
      </c>
      <c r="Y606" s="4">
        <f t="shared" si="146"/>
        <v>-2.1915050512993556E-2</v>
      </c>
      <c r="Z606" s="4">
        <f t="shared" si="148"/>
        <v>9.1224738141124154E-2</v>
      </c>
      <c r="AA606">
        <v>54.7</v>
      </c>
      <c r="AB606">
        <f t="shared" si="149"/>
        <v>52.3</v>
      </c>
      <c r="AP606" s="3">
        <v>36617</v>
      </c>
      <c r="AQ606" s="2">
        <v>54.9</v>
      </c>
      <c r="AR606" s="2" t="str">
        <f t="shared" si="136"/>
        <v>-</v>
      </c>
      <c r="AS606" s="2">
        <v>56.2</v>
      </c>
      <c r="AT606" s="8" t="str">
        <f t="shared" si="137"/>
        <v>-</v>
      </c>
      <c r="AU606" s="2">
        <v>59.5</v>
      </c>
      <c r="AV606" s="8" t="str">
        <f t="shared" si="138"/>
        <v>+</v>
      </c>
      <c r="AW606" s="2">
        <v>51.2</v>
      </c>
      <c r="AX606" s="8" t="str">
        <f t="shared" si="139"/>
        <v>-</v>
      </c>
      <c r="AY606" s="2">
        <v>54.3</v>
      </c>
      <c r="AZ606" s="8" t="str">
        <f t="shared" si="140"/>
        <v>-</v>
      </c>
      <c r="BA606" s="2">
        <v>47.5</v>
      </c>
      <c r="BB606" s="8" t="str">
        <f t="shared" si="141"/>
        <v>+</v>
      </c>
      <c r="BC606" s="2">
        <v>48</v>
      </c>
      <c r="BD606" s="8" t="str">
        <f t="shared" si="142"/>
        <v>+</v>
      </c>
      <c r="BE606" s="2">
        <v>78.7</v>
      </c>
      <c r="BF606" s="8" t="str">
        <f t="shared" si="147"/>
        <v>+</v>
      </c>
      <c r="BG606" s="2">
        <v>51</v>
      </c>
      <c r="BH606" s="8" t="str">
        <f t="shared" si="143"/>
        <v>-</v>
      </c>
      <c r="BI606" s="2">
        <v>54.8</v>
      </c>
      <c r="BJ606" s="8" t="str">
        <f t="shared" si="144"/>
        <v>+</v>
      </c>
      <c r="BK606" s="2">
        <v>53.5</v>
      </c>
      <c r="BL606" s="8" t="str">
        <f t="shared" si="145"/>
        <v>+</v>
      </c>
    </row>
    <row r="607" spans="1:64">
      <c r="A607" s="1">
        <v>36678</v>
      </c>
      <c r="B607">
        <v>53.2</v>
      </c>
      <c r="C607">
        <v>51.5</v>
      </c>
      <c r="D607">
        <v>53</v>
      </c>
      <c r="E607">
        <v>56.4</v>
      </c>
      <c r="F607">
        <v>55.4</v>
      </c>
      <c r="G607">
        <v>46.9</v>
      </c>
      <c r="H607">
        <v>50.5</v>
      </c>
      <c r="I607">
        <v>65.7</v>
      </c>
      <c r="J607">
        <v>49</v>
      </c>
      <c r="K607">
        <v>56.4</v>
      </c>
      <c r="L607">
        <v>54.2</v>
      </c>
      <c r="W607" s="1">
        <v>36678</v>
      </c>
      <c r="X607">
        <v>1454.599976</v>
      </c>
      <c r="Y607" s="4">
        <f t="shared" si="146"/>
        <v>2.3933549608901303E-2</v>
      </c>
      <c r="Z607" s="4">
        <f t="shared" si="148"/>
        <v>5.9655730144439409E-2</v>
      </c>
      <c r="AA607">
        <v>53.2</v>
      </c>
      <c r="AB607">
        <f t="shared" si="149"/>
        <v>54.3</v>
      </c>
      <c r="AP607" s="3">
        <v>36647</v>
      </c>
      <c r="AQ607" s="2">
        <v>54.7</v>
      </c>
      <c r="AR607" s="2" t="str">
        <f t="shared" si="136"/>
        <v>-</v>
      </c>
      <c r="AS607" s="2">
        <v>55.4</v>
      </c>
      <c r="AT607" s="8" t="str">
        <f t="shared" si="137"/>
        <v>-</v>
      </c>
      <c r="AU607" s="2">
        <v>58.1</v>
      </c>
      <c r="AV607" s="8" t="str">
        <f t="shared" si="138"/>
        <v>-</v>
      </c>
      <c r="AW607" s="2">
        <v>53.2</v>
      </c>
      <c r="AX607" s="8" t="str">
        <f t="shared" si="139"/>
        <v>+</v>
      </c>
      <c r="AY607" s="2">
        <v>55.4</v>
      </c>
      <c r="AZ607" s="8" t="str">
        <f t="shared" si="140"/>
        <v>+</v>
      </c>
      <c r="BA607" s="2">
        <v>46.1</v>
      </c>
      <c r="BB607" s="8" t="str">
        <f t="shared" si="141"/>
        <v>-</v>
      </c>
      <c r="BC607" s="2">
        <v>47</v>
      </c>
      <c r="BD607" s="8" t="str">
        <f t="shared" si="142"/>
        <v>-</v>
      </c>
      <c r="BE607" s="2">
        <v>71.2</v>
      </c>
      <c r="BF607" s="8" t="str">
        <f t="shared" si="147"/>
        <v>-</v>
      </c>
      <c r="BG607" s="2">
        <v>51</v>
      </c>
      <c r="BH607" s="8" t="str">
        <f t="shared" si="143"/>
        <v>+</v>
      </c>
      <c r="BI607" s="2">
        <v>51.5</v>
      </c>
      <c r="BJ607" s="8" t="str">
        <f t="shared" si="144"/>
        <v>-</v>
      </c>
      <c r="BK607" s="2">
        <v>53.8</v>
      </c>
      <c r="BL607" s="8" t="str">
        <f t="shared" si="145"/>
        <v>+</v>
      </c>
    </row>
    <row r="608" spans="1:64">
      <c r="A608" s="1">
        <v>36708</v>
      </c>
      <c r="B608">
        <v>51.4</v>
      </c>
      <c r="C608">
        <v>50</v>
      </c>
      <c r="D608">
        <v>50.7</v>
      </c>
      <c r="E608">
        <v>53.4</v>
      </c>
      <c r="F608">
        <v>54.5</v>
      </c>
      <c r="G608">
        <v>47</v>
      </c>
      <c r="H608">
        <v>47</v>
      </c>
      <c r="I608">
        <v>62.9</v>
      </c>
      <c r="J608">
        <v>48.5</v>
      </c>
      <c r="K608">
        <v>52.8</v>
      </c>
      <c r="L608">
        <v>55.7</v>
      </c>
      <c r="W608" s="1">
        <v>36708</v>
      </c>
      <c r="X608">
        <v>1430.829956</v>
      </c>
      <c r="Y608" s="4">
        <f t="shared" si="146"/>
        <v>-1.6341276221772696E-2</v>
      </c>
      <c r="Z608" s="4">
        <f t="shared" si="148"/>
        <v>7.6848385836446542E-2</v>
      </c>
      <c r="AA608">
        <v>51.4</v>
      </c>
      <c r="AB608">
        <f t="shared" si="149"/>
        <v>55.8</v>
      </c>
      <c r="AP608" s="3">
        <v>36678</v>
      </c>
      <c r="AQ608" s="2">
        <v>53.2</v>
      </c>
      <c r="AR608" s="2" t="str">
        <f t="shared" si="136"/>
        <v>-</v>
      </c>
      <c r="AS608" s="2">
        <v>51.5</v>
      </c>
      <c r="AT608" s="8" t="str">
        <f t="shared" si="137"/>
        <v>-</v>
      </c>
      <c r="AU608" s="2">
        <v>56.4</v>
      </c>
      <c r="AV608" s="8" t="str">
        <f t="shared" si="138"/>
        <v>-</v>
      </c>
      <c r="AW608" s="2">
        <v>53</v>
      </c>
      <c r="AX608" s="8" t="str">
        <f t="shared" si="139"/>
        <v>-</v>
      </c>
      <c r="AY608" s="2">
        <v>55.4</v>
      </c>
      <c r="AZ608" s="8" t="str">
        <f t="shared" si="140"/>
        <v>+</v>
      </c>
      <c r="BA608" s="2">
        <v>46.9</v>
      </c>
      <c r="BB608" s="8" t="str">
        <f t="shared" si="141"/>
        <v>+</v>
      </c>
      <c r="BC608" s="2">
        <v>50.5</v>
      </c>
      <c r="BD608" s="8" t="str">
        <f t="shared" si="142"/>
        <v>+</v>
      </c>
      <c r="BE608" s="2">
        <v>65.7</v>
      </c>
      <c r="BF608" s="8" t="str">
        <f t="shared" si="147"/>
        <v>-</v>
      </c>
      <c r="BG608" s="2">
        <v>49</v>
      </c>
      <c r="BH608" s="8" t="str">
        <f t="shared" si="143"/>
        <v>-</v>
      </c>
      <c r="BI608" s="2">
        <v>56.4</v>
      </c>
      <c r="BJ608" s="8" t="str">
        <f t="shared" si="144"/>
        <v>+</v>
      </c>
      <c r="BK608" s="2">
        <v>54.2</v>
      </c>
      <c r="BL608" s="8" t="str">
        <f t="shared" si="145"/>
        <v>+</v>
      </c>
    </row>
    <row r="609" spans="1:64">
      <c r="A609" s="1">
        <v>36739</v>
      </c>
      <c r="B609">
        <v>52.5</v>
      </c>
      <c r="C609">
        <v>52</v>
      </c>
      <c r="D609">
        <v>52.5</v>
      </c>
      <c r="E609">
        <v>53.7</v>
      </c>
      <c r="F609">
        <v>53.9</v>
      </c>
      <c r="G609">
        <v>48.5</v>
      </c>
      <c r="H609">
        <v>49.5</v>
      </c>
      <c r="I609">
        <v>63.4</v>
      </c>
      <c r="J609">
        <v>45</v>
      </c>
      <c r="K609">
        <v>51.7</v>
      </c>
      <c r="L609">
        <v>50.8</v>
      </c>
      <c r="W609" s="1">
        <v>36739</v>
      </c>
      <c r="X609">
        <v>1517.6800539999999</v>
      </c>
      <c r="Y609" s="4">
        <f t="shared" si="146"/>
        <v>6.0699105184236081E-2</v>
      </c>
      <c r="Z609" s="4">
        <f t="shared" si="148"/>
        <v>0.14940057627583883</v>
      </c>
      <c r="AA609">
        <v>52.5</v>
      </c>
      <c r="AB609">
        <f t="shared" si="149"/>
        <v>53.6</v>
      </c>
      <c r="AP609" s="3">
        <v>36708</v>
      </c>
      <c r="AQ609" s="2">
        <v>51.4</v>
      </c>
      <c r="AR609" s="2" t="str">
        <f t="shared" si="136"/>
        <v>-</v>
      </c>
      <c r="AS609" s="2">
        <v>50</v>
      </c>
      <c r="AT609" s="8" t="str">
        <f t="shared" si="137"/>
        <v>-</v>
      </c>
      <c r="AU609" s="2">
        <v>53.4</v>
      </c>
      <c r="AV609" s="8" t="str">
        <f t="shared" si="138"/>
        <v>-</v>
      </c>
      <c r="AW609" s="2">
        <v>50.7</v>
      </c>
      <c r="AX609" s="8" t="str">
        <f t="shared" si="139"/>
        <v>-</v>
      </c>
      <c r="AY609" s="2">
        <v>54.5</v>
      </c>
      <c r="AZ609" s="8" t="str">
        <f t="shared" si="140"/>
        <v>-</v>
      </c>
      <c r="BA609" s="2">
        <v>47</v>
      </c>
      <c r="BB609" s="8" t="str">
        <f t="shared" si="141"/>
        <v>+</v>
      </c>
      <c r="BC609" s="2">
        <v>47</v>
      </c>
      <c r="BD609" s="8" t="str">
        <f t="shared" si="142"/>
        <v>-</v>
      </c>
      <c r="BE609" s="2">
        <v>62.9</v>
      </c>
      <c r="BF609" s="8" t="str">
        <f t="shared" si="147"/>
        <v>-</v>
      </c>
      <c r="BG609" s="2">
        <v>48.5</v>
      </c>
      <c r="BH609" s="8" t="str">
        <f t="shared" si="143"/>
        <v>-</v>
      </c>
      <c r="BI609" s="2">
        <v>52.8</v>
      </c>
      <c r="BJ609" s="8" t="str">
        <f t="shared" si="144"/>
        <v>-</v>
      </c>
      <c r="BK609" s="2">
        <v>55.7</v>
      </c>
      <c r="BL609" s="8" t="str">
        <f t="shared" si="145"/>
        <v>+</v>
      </c>
    </row>
    <row r="610" spans="1:64">
      <c r="A610" s="1">
        <v>36770</v>
      </c>
      <c r="B610">
        <v>49.9</v>
      </c>
      <c r="C610">
        <v>50</v>
      </c>
      <c r="D610">
        <v>48.8</v>
      </c>
      <c r="E610">
        <v>49.7</v>
      </c>
      <c r="F610">
        <v>53.5</v>
      </c>
      <c r="G610">
        <v>47.1</v>
      </c>
      <c r="H610">
        <v>50.5</v>
      </c>
      <c r="I610">
        <v>58.1</v>
      </c>
      <c r="J610">
        <v>49</v>
      </c>
      <c r="K610">
        <v>50.8</v>
      </c>
      <c r="L610">
        <v>52.2</v>
      </c>
      <c r="W610" s="1">
        <v>36770</v>
      </c>
      <c r="X610">
        <v>1436.51001</v>
      </c>
      <c r="Y610" s="4">
        <f t="shared" si="146"/>
        <v>-5.3482974745611284E-2</v>
      </c>
      <c r="Z610" s="4">
        <f t="shared" si="148"/>
        <v>0.1199024359958174</v>
      </c>
      <c r="AA610">
        <v>49.9</v>
      </c>
      <c r="AB610">
        <f t="shared" si="149"/>
        <v>54.8</v>
      </c>
      <c r="AP610" s="3">
        <v>36739</v>
      </c>
      <c r="AQ610" s="2">
        <v>52.5</v>
      </c>
      <c r="AR610" s="2" t="str">
        <f t="shared" si="136"/>
        <v>+</v>
      </c>
      <c r="AS610" s="2">
        <v>52</v>
      </c>
      <c r="AT610" s="8" t="str">
        <f t="shared" si="137"/>
        <v>+</v>
      </c>
      <c r="AU610" s="2">
        <v>53.7</v>
      </c>
      <c r="AV610" s="8" t="str">
        <f t="shared" si="138"/>
        <v>+</v>
      </c>
      <c r="AW610" s="2">
        <v>52.5</v>
      </c>
      <c r="AX610" s="8" t="str">
        <f t="shared" si="139"/>
        <v>+</v>
      </c>
      <c r="AY610" s="2">
        <v>53.9</v>
      </c>
      <c r="AZ610" s="8" t="str">
        <f t="shared" si="140"/>
        <v>-</v>
      </c>
      <c r="BA610" s="2">
        <v>48.5</v>
      </c>
      <c r="BB610" s="8" t="str">
        <f t="shared" si="141"/>
        <v>+</v>
      </c>
      <c r="BC610" s="2">
        <v>49.5</v>
      </c>
      <c r="BD610" s="8" t="str">
        <f t="shared" si="142"/>
        <v>+</v>
      </c>
      <c r="BE610" s="2">
        <v>63.4</v>
      </c>
      <c r="BF610" s="8" t="str">
        <f t="shared" si="147"/>
        <v>+</v>
      </c>
      <c r="BG610" s="2">
        <v>45</v>
      </c>
      <c r="BH610" s="8" t="str">
        <f t="shared" si="143"/>
        <v>-</v>
      </c>
      <c r="BI610" s="2">
        <v>51.7</v>
      </c>
      <c r="BJ610" s="8" t="str">
        <f t="shared" si="144"/>
        <v>-</v>
      </c>
      <c r="BK610" s="2">
        <v>50.8</v>
      </c>
      <c r="BL610" s="8" t="str">
        <f t="shared" si="145"/>
        <v>-</v>
      </c>
    </row>
    <row r="611" spans="1:64">
      <c r="A611" s="1">
        <v>36800</v>
      </c>
      <c r="B611">
        <v>49.7</v>
      </c>
      <c r="C611">
        <v>48.9</v>
      </c>
      <c r="D611">
        <v>50.6</v>
      </c>
      <c r="E611">
        <v>51.5</v>
      </c>
      <c r="F611">
        <v>49.6</v>
      </c>
      <c r="G611">
        <v>45.9</v>
      </c>
      <c r="H611">
        <v>48.5</v>
      </c>
      <c r="I611">
        <v>58.4</v>
      </c>
      <c r="J611">
        <v>47</v>
      </c>
      <c r="K611">
        <v>50.7</v>
      </c>
      <c r="L611">
        <v>48.9</v>
      </c>
      <c r="W611" s="1">
        <v>36800</v>
      </c>
      <c r="X611">
        <v>1429.400024</v>
      </c>
      <c r="Y611" s="4">
        <f t="shared" si="146"/>
        <v>-4.9494858723608441E-3</v>
      </c>
      <c r="Z611" s="4">
        <f t="shared" si="148"/>
        <v>4.8769905546451546E-2</v>
      </c>
      <c r="AA611">
        <v>49.7</v>
      </c>
      <c r="AB611">
        <f t="shared" si="149"/>
        <v>57</v>
      </c>
      <c r="AP611" s="3">
        <v>36770</v>
      </c>
      <c r="AQ611" s="2">
        <v>49.9</v>
      </c>
      <c r="AR611" s="2" t="str">
        <f t="shared" si="136"/>
        <v>-</v>
      </c>
      <c r="AS611" s="2">
        <v>50</v>
      </c>
      <c r="AT611" s="8" t="str">
        <f t="shared" si="137"/>
        <v>-</v>
      </c>
      <c r="AU611" s="2">
        <v>49.7</v>
      </c>
      <c r="AV611" s="8" t="str">
        <f t="shared" si="138"/>
        <v>-</v>
      </c>
      <c r="AW611" s="2">
        <v>48.8</v>
      </c>
      <c r="AX611" s="8" t="str">
        <f t="shared" si="139"/>
        <v>-</v>
      </c>
      <c r="AY611" s="2">
        <v>53.5</v>
      </c>
      <c r="AZ611" s="8" t="str">
        <f t="shared" si="140"/>
        <v>-</v>
      </c>
      <c r="BA611" s="2">
        <v>47.1</v>
      </c>
      <c r="BB611" s="8" t="str">
        <f t="shared" si="141"/>
        <v>-</v>
      </c>
      <c r="BC611" s="2">
        <v>50.5</v>
      </c>
      <c r="BD611" s="8" t="str">
        <f t="shared" si="142"/>
        <v>+</v>
      </c>
      <c r="BE611" s="2">
        <v>58.1</v>
      </c>
      <c r="BF611" s="8" t="str">
        <f t="shared" si="147"/>
        <v>-</v>
      </c>
      <c r="BG611" s="2">
        <v>49</v>
      </c>
      <c r="BH611" s="8" t="str">
        <f t="shared" si="143"/>
        <v>+</v>
      </c>
      <c r="BI611" s="2">
        <v>50.8</v>
      </c>
      <c r="BJ611" s="8" t="str">
        <f t="shared" si="144"/>
        <v>-</v>
      </c>
      <c r="BK611" s="2">
        <v>52.2</v>
      </c>
      <c r="BL611" s="8" t="str">
        <f t="shared" si="145"/>
        <v>+</v>
      </c>
    </row>
    <row r="612" spans="1:64">
      <c r="A612" s="1">
        <v>36831</v>
      </c>
      <c r="B612">
        <v>48.7</v>
      </c>
      <c r="C612">
        <v>48.4</v>
      </c>
      <c r="D612">
        <v>48.2</v>
      </c>
      <c r="E612">
        <v>49.3</v>
      </c>
      <c r="F612">
        <v>51.1</v>
      </c>
      <c r="G612">
        <v>45.9</v>
      </c>
      <c r="H612">
        <v>50.5</v>
      </c>
      <c r="I612">
        <v>57.7</v>
      </c>
      <c r="J612">
        <v>41</v>
      </c>
      <c r="K612">
        <v>48.7</v>
      </c>
      <c r="L612">
        <v>52.4</v>
      </c>
      <c r="W612" s="1">
        <v>36831</v>
      </c>
      <c r="X612">
        <v>1314.9499510000001</v>
      </c>
      <c r="Y612" s="4">
        <f t="shared" si="146"/>
        <v>-8.0068609961069917E-2</v>
      </c>
      <c r="Z612" s="4">
        <f t="shared" si="148"/>
        <v>-5.325044904960341E-2</v>
      </c>
      <c r="AA612">
        <v>48.7</v>
      </c>
      <c r="AB612">
        <f t="shared" si="149"/>
        <v>57.2</v>
      </c>
      <c r="AP612" s="3">
        <v>36800</v>
      </c>
      <c r="AQ612" s="2">
        <v>49.7</v>
      </c>
      <c r="AR612" s="2" t="str">
        <f t="shared" si="136"/>
        <v>-</v>
      </c>
      <c r="AS612" s="2">
        <v>48.9</v>
      </c>
      <c r="AT612" s="8" t="str">
        <f t="shared" si="137"/>
        <v>-</v>
      </c>
      <c r="AU612" s="2">
        <v>51.5</v>
      </c>
      <c r="AV612" s="8" t="str">
        <f t="shared" si="138"/>
        <v>+</v>
      </c>
      <c r="AW612" s="2">
        <v>50.6</v>
      </c>
      <c r="AX612" s="8" t="str">
        <f t="shared" si="139"/>
        <v>+</v>
      </c>
      <c r="AY612" s="2">
        <v>49.6</v>
      </c>
      <c r="AZ612" s="8" t="str">
        <f t="shared" si="140"/>
        <v>-</v>
      </c>
      <c r="BA612" s="2">
        <v>45.9</v>
      </c>
      <c r="BB612" s="8" t="str">
        <f t="shared" si="141"/>
        <v>-</v>
      </c>
      <c r="BC612" s="2">
        <v>48.5</v>
      </c>
      <c r="BD612" s="8" t="str">
        <f t="shared" si="142"/>
        <v>-</v>
      </c>
      <c r="BE612" s="2">
        <v>58.4</v>
      </c>
      <c r="BF612" s="8" t="str">
        <f t="shared" si="147"/>
        <v>+</v>
      </c>
      <c r="BG612" s="2">
        <v>47</v>
      </c>
      <c r="BH612" s="8" t="str">
        <f t="shared" si="143"/>
        <v>-</v>
      </c>
      <c r="BI612" s="2">
        <v>50.7</v>
      </c>
      <c r="BJ612" s="8" t="str">
        <f t="shared" si="144"/>
        <v>-</v>
      </c>
      <c r="BK612" s="2">
        <v>48.9</v>
      </c>
      <c r="BL612" s="8" t="str">
        <f t="shared" si="145"/>
        <v>-</v>
      </c>
    </row>
    <row r="613" spans="1:64">
      <c r="A613" s="1">
        <v>36861</v>
      </c>
      <c r="B613">
        <v>48.5</v>
      </c>
      <c r="C613">
        <v>49.1</v>
      </c>
      <c r="D613">
        <v>47.1</v>
      </c>
      <c r="E613">
        <v>50.1</v>
      </c>
      <c r="F613">
        <v>50.3</v>
      </c>
      <c r="G613">
        <v>42.8</v>
      </c>
      <c r="H613">
        <v>51.5</v>
      </c>
      <c r="I613">
        <v>58.1</v>
      </c>
      <c r="J613">
        <v>42</v>
      </c>
      <c r="K613">
        <v>48.6</v>
      </c>
      <c r="L613">
        <v>53.2</v>
      </c>
      <c r="W613" s="1">
        <v>36861</v>
      </c>
      <c r="X613">
        <v>1320.280029</v>
      </c>
      <c r="Y613" s="4">
        <f t="shared" si="146"/>
        <v>4.0534455291979079E-3</v>
      </c>
      <c r="Z613" s="4">
        <f t="shared" si="148"/>
        <v>-0.10139184686064318</v>
      </c>
      <c r="AA613">
        <v>48.5</v>
      </c>
      <c r="AB613">
        <f t="shared" si="149"/>
        <v>58.1</v>
      </c>
      <c r="AP613" s="3">
        <v>36831</v>
      </c>
      <c r="AQ613" s="2">
        <v>48.7</v>
      </c>
      <c r="AR613" s="2" t="str">
        <f t="shared" si="136"/>
        <v>-</v>
      </c>
      <c r="AS613" s="2">
        <v>48.4</v>
      </c>
      <c r="AT613" s="8" t="str">
        <f t="shared" si="137"/>
        <v>-</v>
      </c>
      <c r="AU613" s="2">
        <v>49.3</v>
      </c>
      <c r="AV613" s="8" t="str">
        <f t="shared" si="138"/>
        <v>-</v>
      </c>
      <c r="AW613" s="2">
        <v>48.2</v>
      </c>
      <c r="AX613" s="8" t="str">
        <f t="shared" si="139"/>
        <v>-</v>
      </c>
      <c r="AY613" s="2">
        <v>51.1</v>
      </c>
      <c r="AZ613" s="8" t="str">
        <f t="shared" si="140"/>
        <v>+</v>
      </c>
      <c r="BA613" s="2">
        <v>45.9</v>
      </c>
      <c r="BB613" s="8" t="str">
        <f t="shared" si="141"/>
        <v>+</v>
      </c>
      <c r="BC613" s="2">
        <v>50.5</v>
      </c>
      <c r="BD613" s="8" t="str">
        <f t="shared" si="142"/>
        <v>+</v>
      </c>
      <c r="BE613" s="2">
        <v>57.7</v>
      </c>
      <c r="BF613" s="8" t="str">
        <f t="shared" si="147"/>
        <v>-</v>
      </c>
      <c r="BG613" s="2">
        <v>41</v>
      </c>
      <c r="BH613" s="8" t="str">
        <f t="shared" si="143"/>
        <v>-</v>
      </c>
      <c r="BI613" s="2">
        <v>48.7</v>
      </c>
      <c r="BJ613" s="8" t="str">
        <f t="shared" si="144"/>
        <v>-</v>
      </c>
      <c r="BK613" s="2">
        <v>52.4</v>
      </c>
      <c r="BL613" s="8" t="str">
        <f t="shared" si="145"/>
        <v>+</v>
      </c>
    </row>
    <row r="614" spans="1:64">
      <c r="A614" s="1">
        <v>36892</v>
      </c>
      <c r="B614">
        <v>43.9</v>
      </c>
      <c r="C614">
        <v>42.1</v>
      </c>
      <c r="D614">
        <v>42.7</v>
      </c>
      <c r="E614">
        <v>42.9</v>
      </c>
      <c r="F614">
        <v>52.8</v>
      </c>
      <c r="G614">
        <v>40.4</v>
      </c>
      <c r="H614">
        <v>51</v>
      </c>
      <c r="I614">
        <v>59.8</v>
      </c>
      <c r="J614">
        <v>36</v>
      </c>
      <c r="K614">
        <v>49.5</v>
      </c>
      <c r="L614">
        <v>51.2</v>
      </c>
      <c r="W614" s="1">
        <v>36892</v>
      </c>
      <c r="X614">
        <v>1366.01001</v>
      </c>
      <c r="Y614" s="4">
        <f t="shared" si="146"/>
        <v>3.4636577086329577E-2</v>
      </c>
      <c r="Z614" s="4">
        <f t="shared" si="148"/>
        <v>-2.0402128275951305E-2</v>
      </c>
      <c r="AA614">
        <v>43.9</v>
      </c>
      <c r="AB614">
        <f t="shared" si="149"/>
        <v>57.8</v>
      </c>
      <c r="AP614" s="3">
        <v>36861</v>
      </c>
      <c r="AQ614" s="2">
        <v>48.5</v>
      </c>
      <c r="AR614" s="2" t="str">
        <f t="shared" ref="AR614:AR677" si="150">IF(OR(AQ614&gt;AQ613,AQ614=AQ613),"+","-")</f>
        <v>-</v>
      </c>
      <c r="AS614" s="2">
        <v>49.1</v>
      </c>
      <c r="AT614" s="8" t="str">
        <f t="shared" si="137"/>
        <v>+</v>
      </c>
      <c r="AU614" s="2">
        <v>50.1</v>
      </c>
      <c r="AV614" s="8" t="str">
        <f t="shared" si="138"/>
        <v>+</v>
      </c>
      <c r="AW614" s="2">
        <v>47.1</v>
      </c>
      <c r="AX614" s="8" t="str">
        <f t="shared" si="139"/>
        <v>-</v>
      </c>
      <c r="AY614" s="2">
        <v>50.3</v>
      </c>
      <c r="AZ614" s="8" t="str">
        <f t="shared" si="140"/>
        <v>-</v>
      </c>
      <c r="BA614" s="2">
        <v>42.8</v>
      </c>
      <c r="BB614" s="8" t="str">
        <f t="shared" si="141"/>
        <v>-</v>
      </c>
      <c r="BC614" s="2">
        <v>51.5</v>
      </c>
      <c r="BD614" s="8" t="str">
        <f t="shared" si="142"/>
        <v>+</v>
      </c>
      <c r="BE614" s="2">
        <v>58.1</v>
      </c>
      <c r="BF614" s="8" t="str">
        <f t="shared" si="147"/>
        <v>+</v>
      </c>
      <c r="BG614" s="2">
        <v>42</v>
      </c>
      <c r="BH614" s="8" t="str">
        <f t="shared" si="143"/>
        <v>+</v>
      </c>
      <c r="BI614" s="2">
        <v>48.6</v>
      </c>
      <c r="BJ614" s="8" t="str">
        <f t="shared" si="144"/>
        <v>-</v>
      </c>
      <c r="BK614" s="2">
        <v>53.2</v>
      </c>
      <c r="BL614" s="8" t="str">
        <f t="shared" si="145"/>
        <v>+</v>
      </c>
    </row>
    <row r="615" spans="1:64">
      <c r="A615" s="1">
        <v>36923</v>
      </c>
      <c r="B615">
        <v>42.3</v>
      </c>
      <c r="C615">
        <v>38.4</v>
      </c>
      <c r="D615">
        <v>42.3</v>
      </c>
      <c r="E615">
        <v>39.200000000000003</v>
      </c>
      <c r="F615">
        <v>49.8</v>
      </c>
      <c r="G615">
        <v>41.8</v>
      </c>
      <c r="H615">
        <v>56</v>
      </c>
      <c r="I615">
        <v>64.599999999999994</v>
      </c>
      <c r="J615">
        <v>32.5</v>
      </c>
      <c r="K615">
        <v>46.7</v>
      </c>
      <c r="L615">
        <v>49.1</v>
      </c>
      <c r="W615" s="1">
        <v>36923</v>
      </c>
      <c r="X615">
        <v>1239.9399410000001</v>
      </c>
      <c r="Y615" s="4">
        <f t="shared" si="146"/>
        <v>-9.2290735849000022E-2</v>
      </c>
      <c r="Z615" s="4">
        <f t="shared" si="148"/>
        <v>-9.2563120363594348E-2</v>
      </c>
      <c r="AA615">
        <v>42.3</v>
      </c>
      <c r="AB615">
        <f t="shared" si="149"/>
        <v>56.7</v>
      </c>
      <c r="AP615" s="3">
        <v>36892</v>
      </c>
      <c r="AQ615" s="2">
        <v>43.9</v>
      </c>
      <c r="AR615" s="2" t="str">
        <f t="shared" si="150"/>
        <v>-</v>
      </c>
      <c r="AS615" s="2">
        <v>42.1</v>
      </c>
      <c r="AT615" s="8" t="str">
        <f t="shared" ref="AT615:AT678" si="151">IF(OR(AS615&gt;AS614,AS615=AS614),"+","-")</f>
        <v>-</v>
      </c>
      <c r="AU615" s="2">
        <v>42.9</v>
      </c>
      <c r="AV615" s="8" t="str">
        <f t="shared" ref="AV615:AV678" si="152">IF(OR(AU615&gt;AU614,AU615=AU614),"+","-")</f>
        <v>-</v>
      </c>
      <c r="AW615" s="2">
        <v>42.7</v>
      </c>
      <c r="AX615" s="8" t="str">
        <f t="shared" ref="AX615:AX678" si="153">IF(OR(AW615&gt;AW614,AW615=AW614),"+","-")</f>
        <v>-</v>
      </c>
      <c r="AY615" s="2">
        <v>52.8</v>
      </c>
      <c r="AZ615" s="8" t="str">
        <f t="shared" ref="AZ615:AZ678" si="154">IF(OR(AY615&gt;AY614,AY615=AY614),"+","-")</f>
        <v>+</v>
      </c>
      <c r="BA615" s="2">
        <v>40.4</v>
      </c>
      <c r="BB615" s="8" t="str">
        <f t="shared" ref="BB615:BB678" si="155">IF(OR(BA615&gt;BA614,BA615=BA614),"+","-")</f>
        <v>-</v>
      </c>
      <c r="BC615" s="2">
        <v>51</v>
      </c>
      <c r="BD615" s="8" t="str">
        <f t="shared" ref="BD615:BD678" si="156">IF(OR(BC615&gt;BC614,BC615=BC614),"+","-")</f>
        <v>-</v>
      </c>
      <c r="BE615" s="2">
        <v>59.8</v>
      </c>
      <c r="BF615" s="8" t="str">
        <f t="shared" si="147"/>
        <v>+</v>
      </c>
      <c r="BG615" s="2">
        <v>36</v>
      </c>
      <c r="BH615" s="8" t="str">
        <f t="shared" ref="BH615:BH678" si="157">IF(OR(BG615&gt;BG614,BG615=BG614),"+","-")</f>
        <v>-</v>
      </c>
      <c r="BI615" s="2">
        <v>49.5</v>
      </c>
      <c r="BJ615" s="8" t="str">
        <f t="shared" ref="BJ615:BJ678" si="158">IF(OR(BI615&gt;BI614,BI615=BI614),"+","-")</f>
        <v>+</v>
      </c>
      <c r="BK615" s="2">
        <v>51.2</v>
      </c>
      <c r="BL615" s="8" t="str">
        <f t="shared" ref="BL615:BL678" si="159">IF(OR(BK615&gt;BK614,BK615=BK614),"+","-")</f>
        <v>-</v>
      </c>
    </row>
    <row r="616" spans="1:64">
      <c r="A616" s="1">
        <v>36951</v>
      </c>
      <c r="B616">
        <v>42.1</v>
      </c>
      <c r="C616">
        <v>39.9</v>
      </c>
      <c r="D616">
        <v>37.799999999999997</v>
      </c>
      <c r="E616">
        <v>38.6</v>
      </c>
      <c r="F616">
        <v>50.2</v>
      </c>
      <c r="G616">
        <v>44.2</v>
      </c>
      <c r="H616">
        <v>52.5</v>
      </c>
      <c r="I616">
        <v>55.6</v>
      </c>
      <c r="J616">
        <v>37</v>
      </c>
      <c r="K616">
        <v>46.8</v>
      </c>
      <c r="L616">
        <v>47.5</v>
      </c>
      <c r="W616" s="1">
        <v>36951</v>
      </c>
      <c r="X616">
        <v>1160.329956</v>
      </c>
      <c r="Y616" s="4">
        <f t="shared" si="146"/>
        <v>-6.4204710540895507E-2</v>
      </c>
      <c r="Z616" s="4">
        <f t="shared" si="148"/>
        <v>-0.22571368224012198</v>
      </c>
      <c r="AA616">
        <v>42.1</v>
      </c>
      <c r="AB616">
        <f t="shared" si="149"/>
        <v>55.8</v>
      </c>
      <c r="AP616" s="3">
        <v>36923</v>
      </c>
      <c r="AQ616" s="2">
        <v>42.3</v>
      </c>
      <c r="AR616" s="2" t="str">
        <f t="shared" si="150"/>
        <v>-</v>
      </c>
      <c r="AS616" s="2">
        <v>38.4</v>
      </c>
      <c r="AT616" s="8" t="str">
        <f t="shared" si="151"/>
        <v>-</v>
      </c>
      <c r="AU616" s="2">
        <v>39.200000000000003</v>
      </c>
      <c r="AV616" s="8" t="str">
        <f t="shared" si="152"/>
        <v>-</v>
      </c>
      <c r="AW616" s="2">
        <v>42.3</v>
      </c>
      <c r="AX616" s="8" t="str">
        <f t="shared" si="153"/>
        <v>-</v>
      </c>
      <c r="AY616" s="2">
        <v>49.8</v>
      </c>
      <c r="AZ616" s="8" t="str">
        <f t="shared" si="154"/>
        <v>-</v>
      </c>
      <c r="BA616" s="2">
        <v>41.8</v>
      </c>
      <c r="BB616" s="8" t="str">
        <f t="shared" si="155"/>
        <v>+</v>
      </c>
      <c r="BC616" s="2">
        <v>56</v>
      </c>
      <c r="BD616" s="8" t="str">
        <f t="shared" si="156"/>
        <v>+</v>
      </c>
      <c r="BE616" s="2">
        <v>64.599999999999994</v>
      </c>
      <c r="BF616" s="8" t="str">
        <f t="shared" si="147"/>
        <v>+</v>
      </c>
      <c r="BG616" s="2">
        <v>32.5</v>
      </c>
      <c r="BH616" s="8" t="str">
        <f t="shared" si="157"/>
        <v>-</v>
      </c>
      <c r="BI616" s="2">
        <v>46.7</v>
      </c>
      <c r="BJ616" s="8" t="str">
        <f t="shared" si="158"/>
        <v>-</v>
      </c>
      <c r="BK616" s="2">
        <v>49.1</v>
      </c>
      <c r="BL616" s="8" t="str">
        <f t="shared" si="159"/>
        <v>-</v>
      </c>
    </row>
    <row r="617" spans="1:64">
      <c r="A617" s="1">
        <v>36982</v>
      </c>
      <c r="B617">
        <v>43.1</v>
      </c>
      <c r="C617">
        <v>41.5</v>
      </c>
      <c r="D617">
        <v>39.9</v>
      </c>
      <c r="E617">
        <v>42.6</v>
      </c>
      <c r="F617">
        <v>47.7</v>
      </c>
      <c r="G617">
        <v>43.7</v>
      </c>
      <c r="H617">
        <v>52</v>
      </c>
      <c r="I617">
        <v>49.9</v>
      </c>
      <c r="J617">
        <v>43.5</v>
      </c>
      <c r="K617">
        <v>50.3</v>
      </c>
      <c r="L617">
        <v>48.8</v>
      </c>
      <c r="W617" s="1">
        <v>36982</v>
      </c>
      <c r="X617">
        <v>1249.459961</v>
      </c>
      <c r="Y617" s="4">
        <f t="shared" si="146"/>
        <v>7.6814361759009853E-2</v>
      </c>
      <c r="Z617" s="4">
        <f t="shared" si="148"/>
        <v>-0.13974517563928068</v>
      </c>
      <c r="AA617">
        <v>43.1</v>
      </c>
      <c r="AB617">
        <f t="shared" si="149"/>
        <v>54.9</v>
      </c>
      <c r="AP617" s="3">
        <v>36951</v>
      </c>
      <c r="AQ617" s="2">
        <v>42.1</v>
      </c>
      <c r="AR617" s="2" t="str">
        <f t="shared" si="150"/>
        <v>-</v>
      </c>
      <c r="AS617" s="2">
        <v>39.9</v>
      </c>
      <c r="AT617" s="8" t="str">
        <f t="shared" si="151"/>
        <v>+</v>
      </c>
      <c r="AU617" s="2">
        <v>38.6</v>
      </c>
      <c r="AV617" s="8" t="str">
        <f t="shared" si="152"/>
        <v>-</v>
      </c>
      <c r="AW617" s="2">
        <v>37.799999999999997</v>
      </c>
      <c r="AX617" s="8" t="str">
        <f t="shared" si="153"/>
        <v>-</v>
      </c>
      <c r="AY617" s="2">
        <v>50.2</v>
      </c>
      <c r="AZ617" s="8" t="str">
        <f t="shared" si="154"/>
        <v>+</v>
      </c>
      <c r="BA617" s="2">
        <v>44.2</v>
      </c>
      <c r="BB617" s="8" t="str">
        <f t="shared" si="155"/>
        <v>+</v>
      </c>
      <c r="BC617" s="2">
        <v>52.5</v>
      </c>
      <c r="BD617" s="8" t="str">
        <f t="shared" si="156"/>
        <v>-</v>
      </c>
      <c r="BE617" s="2">
        <v>55.6</v>
      </c>
      <c r="BF617" s="8" t="str">
        <f t="shared" si="147"/>
        <v>-</v>
      </c>
      <c r="BG617" s="2">
        <v>37</v>
      </c>
      <c r="BH617" s="8" t="str">
        <f t="shared" si="157"/>
        <v>+</v>
      </c>
      <c r="BI617" s="2">
        <v>46.8</v>
      </c>
      <c r="BJ617" s="8" t="str">
        <f t="shared" si="158"/>
        <v>+</v>
      </c>
      <c r="BK617" s="2">
        <v>47.5</v>
      </c>
      <c r="BL617" s="8" t="str">
        <f t="shared" si="159"/>
        <v>-</v>
      </c>
    </row>
    <row r="618" spans="1:64">
      <c r="A618" s="1">
        <v>37012</v>
      </c>
      <c r="B618">
        <v>42.7</v>
      </c>
      <c r="C618">
        <v>45.5</v>
      </c>
      <c r="D618">
        <v>38.200000000000003</v>
      </c>
      <c r="E618">
        <v>43.1</v>
      </c>
      <c r="F618">
        <v>47.2</v>
      </c>
      <c r="G618">
        <v>39.700000000000003</v>
      </c>
      <c r="H618">
        <v>50</v>
      </c>
      <c r="I618">
        <v>48</v>
      </c>
      <c r="J618">
        <v>43.5</v>
      </c>
      <c r="K618">
        <v>47.5</v>
      </c>
      <c r="L618">
        <v>47.2</v>
      </c>
      <c r="W618" s="1">
        <v>37012</v>
      </c>
      <c r="X618">
        <v>1255.8199460000001</v>
      </c>
      <c r="Y618" s="4">
        <f t="shared" si="146"/>
        <v>5.0901871196495675E-3</v>
      </c>
      <c r="Z618" s="4">
        <f t="shared" si="148"/>
        <v>-0.1159932653694483</v>
      </c>
      <c r="AA618">
        <v>42.7</v>
      </c>
      <c r="AB618">
        <f t="shared" si="149"/>
        <v>54.7</v>
      </c>
      <c r="AP618" s="3">
        <v>36982</v>
      </c>
      <c r="AQ618" s="2">
        <v>43.1</v>
      </c>
      <c r="AR618" s="2" t="str">
        <f t="shared" si="150"/>
        <v>+</v>
      </c>
      <c r="AS618" s="2">
        <v>41.5</v>
      </c>
      <c r="AT618" s="8" t="str">
        <f t="shared" si="151"/>
        <v>+</v>
      </c>
      <c r="AU618" s="2">
        <v>42.6</v>
      </c>
      <c r="AV618" s="8" t="str">
        <f t="shared" si="152"/>
        <v>+</v>
      </c>
      <c r="AW618" s="2">
        <v>39.9</v>
      </c>
      <c r="AX618" s="8" t="str">
        <f t="shared" si="153"/>
        <v>+</v>
      </c>
      <c r="AY618" s="2">
        <v>47.7</v>
      </c>
      <c r="AZ618" s="8" t="str">
        <f t="shared" si="154"/>
        <v>-</v>
      </c>
      <c r="BA618" s="2">
        <v>43.7</v>
      </c>
      <c r="BB618" s="8" t="str">
        <f t="shared" si="155"/>
        <v>-</v>
      </c>
      <c r="BC618" s="2">
        <v>52</v>
      </c>
      <c r="BD618" s="8" t="str">
        <f t="shared" si="156"/>
        <v>-</v>
      </c>
      <c r="BE618" s="2">
        <v>49.9</v>
      </c>
      <c r="BF618" s="8" t="str">
        <f t="shared" si="147"/>
        <v>-</v>
      </c>
      <c r="BG618" s="2">
        <v>43.5</v>
      </c>
      <c r="BH618" s="8" t="str">
        <f t="shared" si="157"/>
        <v>+</v>
      </c>
      <c r="BI618" s="2">
        <v>50.3</v>
      </c>
      <c r="BJ618" s="8" t="str">
        <f t="shared" si="158"/>
        <v>+</v>
      </c>
      <c r="BK618" s="2">
        <v>48.8</v>
      </c>
      <c r="BL618" s="8" t="str">
        <f t="shared" si="159"/>
        <v>+</v>
      </c>
    </row>
    <row r="619" spans="1:64">
      <c r="A619" s="1">
        <v>37043</v>
      </c>
      <c r="B619">
        <v>41.3</v>
      </c>
      <c r="C619">
        <v>44.9</v>
      </c>
      <c r="D619">
        <v>35.1</v>
      </c>
      <c r="E619">
        <v>43.1</v>
      </c>
      <c r="F619">
        <v>45.4</v>
      </c>
      <c r="G619">
        <v>38.200000000000003</v>
      </c>
      <c r="H619">
        <v>51</v>
      </c>
      <c r="I619">
        <v>45.1</v>
      </c>
      <c r="J619">
        <v>40</v>
      </c>
      <c r="K619">
        <v>45.3</v>
      </c>
      <c r="L619">
        <v>46.9</v>
      </c>
      <c r="W619" s="1">
        <v>37043</v>
      </c>
      <c r="X619">
        <v>1224.380005</v>
      </c>
      <c r="Y619" s="4">
        <f t="shared" si="146"/>
        <v>-2.5035389109833495E-2</v>
      </c>
      <c r="Z619" s="4">
        <f t="shared" si="148"/>
        <v>-0.15827029753780222</v>
      </c>
      <c r="AA619">
        <v>41.3</v>
      </c>
      <c r="AB619">
        <f t="shared" si="149"/>
        <v>53.2</v>
      </c>
      <c r="AP619" s="3">
        <v>37012</v>
      </c>
      <c r="AQ619" s="2">
        <v>42.7</v>
      </c>
      <c r="AR619" s="2" t="str">
        <f t="shared" si="150"/>
        <v>-</v>
      </c>
      <c r="AS619" s="2">
        <v>45.5</v>
      </c>
      <c r="AT619" s="8" t="str">
        <f t="shared" si="151"/>
        <v>+</v>
      </c>
      <c r="AU619" s="2">
        <v>43.1</v>
      </c>
      <c r="AV619" s="8" t="str">
        <f t="shared" si="152"/>
        <v>+</v>
      </c>
      <c r="AW619" s="2">
        <v>38.200000000000003</v>
      </c>
      <c r="AX619" s="8" t="str">
        <f t="shared" si="153"/>
        <v>-</v>
      </c>
      <c r="AY619" s="2">
        <v>47.2</v>
      </c>
      <c r="AZ619" s="8" t="str">
        <f t="shared" si="154"/>
        <v>-</v>
      </c>
      <c r="BA619" s="2">
        <v>39.700000000000003</v>
      </c>
      <c r="BB619" s="8" t="str">
        <f t="shared" si="155"/>
        <v>-</v>
      </c>
      <c r="BC619" s="2">
        <v>50</v>
      </c>
      <c r="BD619" s="8" t="str">
        <f t="shared" si="156"/>
        <v>-</v>
      </c>
      <c r="BE619" s="2">
        <v>48</v>
      </c>
      <c r="BF619" s="8" t="str">
        <f t="shared" si="147"/>
        <v>-</v>
      </c>
      <c r="BG619" s="2">
        <v>43.5</v>
      </c>
      <c r="BH619" s="8" t="str">
        <f t="shared" si="157"/>
        <v>+</v>
      </c>
      <c r="BI619" s="2">
        <v>47.5</v>
      </c>
      <c r="BJ619" s="8" t="str">
        <f t="shared" si="158"/>
        <v>-</v>
      </c>
      <c r="BK619" s="2">
        <v>47.2</v>
      </c>
      <c r="BL619" s="8" t="str">
        <f t="shared" si="159"/>
        <v>-</v>
      </c>
    </row>
    <row r="620" spans="1:64">
      <c r="A620" s="1">
        <v>37073</v>
      </c>
      <c r="B620">
        <v>43.2</v>
      </c>
      <c r="C620">
        <v>47.8</v>
      </c>
      <c r="D620">
        <v>35.700000000000003</v>
      </c>
      <c r="E620">
        <v>45.3</v>
      </c>
      <c r="F620">
        <v>47.1</v>
      </c>
      <c r="G620">
        <v>39.9</v>
      </c>
      <c r="H620">
        <v>48</v>
      </c>
      <c r="I620">
        <v>42.8</v>
      </c>
      <c r="J620">
        <v>42</v>
      </c>
      <c r="K620">
        <v>45.2</v>
      </c>
      <c r="L620">
        <v>47</v>
      </c>
      <c r="W620" s="1">
        <v>37073</v>
      </c>
      <c r="X620">
        <v>1211.2299800000001</v>
      </c>
      <c r="Y620" s="4">
        <f t="shared" si="146"/>
        <v>-1.074015007293419E-2</v>
      </c>
      <c r="Z620" s="4">
        <f t="shared" si="148"/>
        <v>-0.15347734025216339</v>
      </c>
      <c r="AA620">
        <v>43.2</v>
      </c>
      <c r="AB620">
        <f t="shared" si="149"/>
        <v>51.4</v>
      </c>
      <c r="AP620" s="3">
        <v>37043</v>
      </c>
      <c r="AQ620" s="2">
        <v>41.3</v>
      </c>
      <c r="AR620" s="2" t="str">
        <f t="shared" si="150"/>
        <v>-</v>
      </c>
      <c r="AS620" s="2">
        <v>44.9</v>
      </c>
      <c r="AT620" s="8" t="str">
        <f t="shared" si="151"/>
        <v>-</v>
      </c>
      <c r="AU620" s="2">
        <v>43.1</v>
      </c>
      <c r="AV620" s="8" t="str">
        <f t="shared" si="152"/>
        <v>+</v>
      </c>
      <c r="AW620" s="2">
        <v>35.1</v>
      </c>
      <c r="AX620" s="8" t="str">
        <f t="shared" si="153"/>
        <v>-</v>
      </c>
      <c r="AY620" s="2">
        <v>45.4</v>
      </c>
      <c r="AZ620" s="8" t="str">
        <f t="shared" si="154"/>
        <v>-</v>
      </c>
      <c r="BA620" s="2">
        <v>38.200000000000003</v>
      </c>
      <c r="BB620" s="8" t="str">
        <f t="shared" si="155"/>
        <v>-</v>
      </c>
      <c r="BC620" s="2">
        <v>51</v>
      </c>
      <c r="BD620" s="8" t="str">
        <f t="shared" si="156"/>
        <v>+</v>
      </c>
      <c r="BE620" s="2">
        <v>45.1</v>
      </c>
      <c r="BF620" s="8" t="str">
        <f t="shared" si="147"/>
        <v>-</v>
      </c>
      <c r="BG620" s="2">
        <v>40</v>
      </c>
      <c r="BH620" s="8" t="str">
        <f t="shared" si="157"/>
        <v>-</v>
      </c>
      <c r="BI620" s="2">
        <v>45.3</v>
      </c>
      <c r="BJ620" s="8" t="str">
        <f t="shared" si="158"/>
        <v>-</v>
      </c>
      <c r="BK620" s="2">
        <v>46.9</v>
      </c>
      <c r="BL620" s="8" t="str">
        <f t="shared" si="159"/>
        <v>-</v>
      </c>
    </row>
    <row r="621" spans="1:64">
      <c r="A621" s="1">
        <v>37104</v>
      </c>
      <c r="B621">
        <v>43.5</v>
      </c>
      <c r="C621">
        <v>49.2</v>
      </c>
      <c r="D621">
        <v>37.200000000000003</v>
      </c>
      <c r="E621">
        <v>47</v>
      </c>
      <c r="F621">
        <v>46.8</v>
      </c>
      <c r="G621">
        <v>37.1</v>
      </c>
      <c r="H621">
        <v>45</v>
      </c>
      <c r="I621">
        <v>39.9</v>
      </c>
      <c r="J621">
        <v>42.5</v>
      </c>
      <c r="K621">
        <v>48.4</v>
      </c>
      <c r="L621">
        <v>47.2</v>
      </c>
      <c r="W621" s="1">
        <v>37104</v>
      </c>
      <c r="X621">
        <v>1133.579956</v>
      </c>
      <c r="Y621" s="4">
        <f t="shared" si="146"/>
        <v>-6.4108406563714707E-2</v>
      </c>
      <c r="Z621" s="4">
        <f t="shared" si="148"/>
        <v>-0.25308370956557352</v>
      </c>
      <c r="AA621">
        <v>43.5</v>
      </c>
      <c r="AB621">
        <f t="shared" si="149"/>
        <v>52.5</v>
      </c>
      <c r="AP621" s="3">
        <v>37073</v>
      </c>
      <c r="AQ621" s="2">
        <v>43.2</v>
      </c>
      <c r="AR621" s="2" t="str">
        <f t="shared" si="150"/>
        <v>+</v>
      </c>
      <c r="AS621" s="2">
        <v>47.8</v>
      </c>
      <c r="AT621" s="8" t="str">
        <f t="shared" si="151"/>
        <v>+</v>
      </c>
      <c r="AU621" s="2">
        <v>45.3</v>
      </c>
      <c r="AV621" s="8" t="str">
        <f t="shared" si="152"/>
        <v>+</v>
      </c>
      <c r="AW621" s="2">
        <v>35.700000000000003</v>
      </c>
      <c r="AX621" s="8" t="str">
        <f t="shared" si="153"/>
        <v>+</v>
      </c>
      <c r="AY621" s="2">
        <v>47.1</v>
      </c>
      <c r="AZ621" s="8" t="str">
        <f t="shared" si="154"/>
        <v>+</v>
      </c>
      <c r="BA621" s="2">
        <v>39.9</v>
      </c>
      <c r="BB621" s="8" t="str">
        <f t="shared" si="155"/>
        <v>+</v>
      </c>
      <c r="BC621" s="2">
        <v>48</v>
      </c>
      <c r="BD621" s="8" t="str">
        <f t="shared" si="156"/>
        <v>-</v>
      </c>
      <c r="BE621" s="2">
        <v>42.8</v>
      </c>
      <c r="BF621" s="8" t="str">
        <f t="shared" si="147"/>
        <v>-</v>
      </c>
      <c r="BG621" s="2">
        <v>42</v>
      </c>
      <c r="BH621" s="8" t="str">
        <f t="shared" si="157"/>
        <v>+</v>
      </c>
      <c r="BI621" s="2">
        <v>45.2</v>
      </c>
      <c r="BJ621" s="8" t="str">
        <f t="shared" si="158"/>
        <v>-</v>
      </c>
      <c r="BK621" s="2">
        <v>47</v>
      </c>
      <c r="BL621" s="8" t="str">
        <f t="shared" si="159"/>
        <v>+</v>
      </c>
    </row>
    <row r="622" spans="1:64">
      <c r="A622" s="1">
        <v>37135</v>
      </c>
      <c r="B622">
        <v>46.3</v>
      </c>
      <c r="C622">
        <v>54.3</v>
      </c>
      <c r="D622">
        <v>41.3</v>
      </c>
      <c r="E622">
        <v>51.8</v>
      </c>
      <c r="F622">
        <v>46.7</v>
      </c>
      <c r="G622">
        <v>37.6</v>
      </c>
      <c r="H622">
        <v>48.5</v>
      </c>
      <c r="I622">
        <v>35</v>
      </c>
      <c r="J622">
        <v>44.5</v>
      </c>
      <c r="K622">
        <v>52</v>
      </c>
      <c r="L622">
        <v>50</v>
      </c>
      <c r="W622" s="1">
        <v>37135</v>
      </c>
      <c r="X622">
        <v>1040.9399410000001</v>
      </c>
      <c r="Y622" s="4">
        <f t="shared" si="146"/>
        <v>-8.172340601971613E-2</v>
      </c>
      <c r="Z622" s="4">
        <f t="shared" si="148"/>
        <v>-0.27536882182951156</v>
      </c>
      <c r="AA622">
        <v>46.3</v>
      </c>
      <c r="AB622">
        <f t="shared" si="149"/>
        <v>49.9</v>
      </c>
      <c r="AP622" s="3">
        <v>37104</v>
      </c>
      <c r="AQ622" s="2">
        <v>43.5</v>
      </c>
      <c r="AR622" s="2" t="str">
        <f t="shared" si="150"/>
        <v>+</v>
      </c>
      <c r="AS622" s="2">
        <v>49.2</v>
      </c>
      <c r="AT622" s="8" t="str">
        <f t="shared" si="151"/>
        <v>+</v>
      </c>
      <c r="AU622" s="2">
        <v>47</v>
      </c>
      <c r="AV622" s="8" t="str">
        <f t="shared" si="152"/>
        <v>+</v>
      </c>
      <c r="AW622" s="2">
        <v>37.200000000000003</v>
      </c>
      <c r="AX622" s="8" t="str">
        <f t="shared" si="153"/>
        <v>+</v>
      </c>
      <c r="AY622" s="2">
        <v>46.8</v>
      </c>
      <c r="AZ622" s="8" t="str">
        <f t="shared" si="154"/>
        <v>-</v>
      </c>
      <c r="BA622" s="2">
        <v>37.1</v>
      </c>
      <c r="BB622" s="8" t="str">
        <f t="shared" si="155"/>
        <v>-</v>
      </c>
      <c r="BC622" s="2">
        <v>45</v>
      </c>
      <c r="BD622" s="8" t="str">
        <f t="shared" si="156"/>
        <v>-</v>
      </c>
      <c r="BE622" s="2">
        <v>39.9</v>
      </c>
      <c r="BF622" s="8" t="str">
        <f t="shared" si="147"/>
        <v>-</v>
      </c>
      <c r="BG622" s="2">
        <v>42.5</v>
      </c>
      <c r="BH622" s="8" t="str">
        <f t="shared" si="157"/>
        <v>+</v>
      </c>
      <c r="BI622" s="2">
        <v>48.4</v>
      </c>
      <c r="BJ622" s="8" t="str">
        <f t="shared" si="158"/>
        <v>+</v>
      </c>
      <c r="BK622" s="2">
        <v>47.2</v>
      </c>
      <c r="BL622" s="8" t="str">
        <f t="shared" si="159"/>
        <v>+</v>
      </c>
    </row>
    <row r="623" spans="1:64">
      <c r="A623" s="1">
        <v>37165</v>
      </c>
      <c r="B623">
        <v>46.2</v>
      </c>
      <c r="C623">
        <v>51.3</v>
      </c>
      <c r="D623">
        <v>41.5</v>
      </c>
      <c r="E623">
        <v>51.8</v>
      </c>
      <c r="F623">
        <v>47.5</v>
      </c>
      <c r="G623">
        <v>38.9</v>
      </c>
      <c r="H623">
        <v>48.5</v>
      </c>
      <c r="I623">
        <v>36.6</v>
      </c>
      <c r="J623">
        <v>43</v>
      </c>
      <c r="K623">
        <v>46.9</v>
      </c>
      <c r="L623">
        <v>49.7</v>
      </c>
      <c r="W623" s="1">
        <v>37165</v>
      </c>
      <c r="X623">
        <v>1059.780029</v>
      </c>
      <c r="Y623" s="4">
        <f t="shared" si="146"/>
        <v>1.8099111445277823E-2</v>
      </c>
      <c r="Z623" s="4">
        <f t="shared" si="148"/>
        <v>-0.25858401342800036</v>
      </c>
      <c r="AA623">
        <v>46.2</v>
      </c>
      <c r="AB623">
        <f t="shared" si="149"/>
        <v>49.7</v>
      </c>
      <c r="AP623" s="3">
        <v>37135</v>
      </c>
      <c r="AQ623" s="2">
        <v>46.3</v>
      </c>
      <c r="AR623" s="2" t="str">
        <f t="shared" si="150"/>
        <v>+</v>
      </c>
      <c r="AS623" s="2">
        <v>54.3</v>
      </c>
      <c r="AT623" s="8" t="str">
        <f t="shared" si="151"/>
        <v>+</v>
      </c>
      <c r="AU623" s="2">
        <v>51.8</v>
      </c>
      <c r="AV623" s="8" t="str">
        <f t="shared" si="152"/>
        <v>+</v>
      </c>
      <c r="AW623" s="2">
        <v>41.3</v>
      </c>
      <c r="AX623" s="8" t="str">
        <f t="shared" si="153"/>
        <v>+</v>
      </c>
      <c r="AY623" s="2">
        <v>46.7</v>
      </c>
      <c r="AZ623" s="8" t="str">
        <f t="shared" si="154"/>
        <v>-</v>
      </c>
      <c r="BA623" s="2">
        <v>37.6</v>
      </c>
      <c r="BB623" s="8" t="str">
        <f t="shared" si="155"/>
        <v>+</v>
      </c>
      <c r="BC623" s="2">
        <v>48.5</v>
      </c>
      <c r="BD623" s="8" t="str">
        <f t="shared" si="156"/>
        <v>+</v>
      </c>
      <c r="BE623" s="2">
        <v>35</v>
      </c>
      <c r="BF623" s="8" t="str">
        <f t="shared" si="147"/>
        <v>-</v>
      </c>
      <c r="BG623" s="2">
        <v>44.5</v>
      </c>
      <c r="BH623" s="8" t="str">
        <f t="shared" si="157"/>
        <v>+</v>
      </c>
      <c r="BI623" s="2">
        <v>52</v>
      </c>
      <c r="BJ623" s="8" t="str">
        <f t="shared" si="158"/>
        <v>+</v>
      </c>
      <c r="BK623" s="2">
        <v>50</v>
      </c>
      <c r="BL623" s="8" t="str">
        <f t="shared" si="159"/>
        <v>+</v>
      </c>
    </row>
    <row r="624" spans="1:64">
      <c r="A624" s="1">
        <v>37196</v>
      </c>
      <c r="B624">
        <v>40.799999999999997</v>
      </c>
      <c r="C624">
        <v>38.9</v>
      </c>
      <c r="D624">
        <v>35.6</v>
      </c>
      <c r="E624">
        <v>41.8</v>
      </c>
      <c r="F624">
        <v>49.5</v>
      </c>
      <c r="G624">
        <v>38.299999999999997</v>
      </c>
      <c r="H624">
        <v>44.5</v>
      </c>
      <c r="I624">
        <v>33.299999999999997</v>
      </c>
      <c r="J624">
        <v>36</v>
      </c>
      <c r="K624">
        <v>44.3</v>
      </c>
      <c r="L624">
        <v>47.6</v>
      </c>
      <c r="W624" s="1">
        <v>37196</v>
      </c>
      <c r="X624">
        <v>1139.4499510000001</v>
      </c>
      <c r="Y624" s="4">
        <f t="shared" si="146"/>
        <v>7.5175904263053484E-2</v>
      </c>
      <c r="Z624" s="4">
        <f t="shared" si="148"/>
        <v>-0.13346515573960427</v>
      </c>
      <c r="AA624">
        <v>40.799999999999997</v>
      </c>
      <c r="AB624">
        <f t="shared" si="149"/>
        <v>48.7</v>
      </c>
      <c r="AP624" s="3">
        <v>37165</v>
      </c>
      <c r="AQ624" s="2">
        <v>46.2</v>
      </c>
      <c r="AR624" s="2" t="str">
        <f t="shared" si="150"/>
        <v>-</v>
      </c>
      <c r="AS624" s="2">
        <v>51.3</v>
      </c>
      <c r="AT624" s="8" t="str">
        <f t="shared" si="151"/>
        <v>-</v>
      </c>
      <c r="AU624" s="2">
        <v>51.8</v>
      </c>
      <c r="AV624" s="8" t="str">
        <f t="shared" si="152"/>
        <v>+</v>
      </c>
      <c r="AW624" s="2">
        <v>41.5</v>
      </c>
      <c r="AX624" s="8" t="str">
        <f t="shared" si="153"/>
        <v>+</v>
      </c>
      <c r="AY624" s="2">
        <v>47.5</v>
      </c>
      <c r="AZ624" s="8" t="str">
        <f t="shared" si="154"/>
        <v>+</v>
      </c>
      <c r="BA624" s="2">
        <v>38.9</v>
      </c>
      <c r="BB624" s="8" t="str">
        <f t="shared" si="155"/>
        <v>+</v>
      </c>
      <c r="BC624" s="2">
        <v>48.5</v>
      </c>
      <c r="BD624" s="8" t="str">
        <f t="shared" si="156"/>
        <v>+</v>
      </c>
      <c r="BE624" s="2">
        <v>36.6</v>
      </c>
      <c r="BF624" s="8" t="str">
        <f t="shared" si="147"/>
        <v>+</v>
      </c>
      <c r="BG624" s="2">
        <v>43</v>
      </c>
      <c r="BH624" s="8" t="str">
        <f t="shared" si="157"/>
        <v>-</v>
      </c>
      <c r="BI624" s="2">
        <v>46.9</v>
      </c>
      <c r="BJ624" s="8" t="str">
        <f t="shared" si="158"/>
        <v>-</v>
      </c>
      <c r="BK624" s="2">
        <v>49.7</v>
      </c>
      <c r="BL624" s="8" t="str">
        <f t="shared" si="159"/>
        <v>-</v>
      </c>
    </row>
    <row r="625" spans="1:64">
      <c r="A625" s="1">
        <v>37226</v>
      </c>
      <c r="B625">
        <v>44.1</v>
      </c>
      <c r="C625">
        <v>49.1</v>
      </c>
      <c r="D625">
        <v>36.4</v>
      </c>
      <c r="E625">
        <v>46.9</v>
      </c>
      <c r="F625">
        <v>49.1</v>
      </c>
      <c r="G625">
        <v>38.9</v>
      </c>
      <c r="H625">
        <v>44.5</v>
      </c>
      <c r="I625">
        <v>32</v>
      </c>
      <c r="J625">
        <v>38.5</v>
      </c>
      <c r="K625">
        <v>50</v>
      </c>
      <c r="L625">
        <v>49.5</v>
      </c>
      <c r="W625" s="1">
        <v>37226</v>
      </c>
      <c r="X625">
        <v>1148.079956</v>
      </c>
      <c r="Y625" s="4">
        <f t="shared" si="146"/>
        <v>7.5738341929157561E-3</v>
      </c>
      <c r="Z625" s="4">
        <f t="shared" si="148"/>
        <v>-0.130426931573317</v>
      </c>
      <c r="AA625">
        <v>44.1</v>
      </c>
      <c r="AB625">
        <f t="shared" si="149"/>
        <v>48.5</v>
      </c>
      <c r="AP625" s="3">
        <v>37196</v>
      </c>
      <c r="AQ625" s="2">
        <v>40.799999999999997</v>
      </c>
      <c r="AR625" s="2" t="str">
        <f t="shared" si="150"/>
        <v>-</v>
      </c>
      <c r="AS625" s="2">
        <v>38.9</v>
      </c>
      <c r="AT625" s="8" t="str">
        <f t="shared" si="151"/>
        <v>-</v>
      </c>
      <c r="AU625" s="2">
        <v>41.8</v>
      </c>
      <c r="AV625" s="8" t="str">
        <f t="shared" si="152"/>
        <v>-</v>
      </c>
      <c r="AW625" s="2">
        <v>35.6</v>
      </c>
      <c r="AX625" s="8" t="str">
        <f t="shared" si="153"/>
        <v>-</v>
      </c>
      <c r="AY625" s="2">
        <v>49.5</v>
      </c>
      <c r="AZ625" s="8" t="str">
        <f t="shared" si="154"/>
        <v>+</v>
      </c>
      <c r="BA625" s="2">
        <v>38.299999999999997</v>
      </c>
      <c r="BB625" s="8" t="str">
        <f t="shared" si="155"/>
        <v>-</v>
      </c>
      <c r="BC625" s="2">
        <v>44.5</v>
      </c>
      <c r="BD625" s="8" t="str">
        <f t="shared" si="156"/>
        <v>-</v>
      </c>
      <c r="BE625" s="2">
        <v>33.299999999999997</v>
      </c>
      <c r="BF625" s="8" t="str">
        <f t="shared" si="147"/>
        <v>-</v>
      </c>
      <c r="BG625" s="2">
        <v>36</v>
      </c>
      <c r="BH625" s="8" t="str">
        <f t="shared" si="157"/>
        <v>-</v>
      </c>
      <c r="BI625" s="2">
        <v>44.3</v>
      </c>
      <c r="BJ625" s="8" t="str">
        <f t="shared" si="158"/>
        <v>-</v>
      </c>
      <c r="BK625" s="2">
        <v>47.6</v>
      </c>
      <c r="BL625" s="8" t="str">
        <f t="shared" si="159"/>
        <v>-</v>
      </c>
    </row>
    <row r="626" spans="1:64">
      <c r="A626" s="1">
        <v>37257</v>
      </c>
      <c r="B626">
        <v>45.3</v>
      </c>
      <c r="C626">
        <v>51.4</v>
      </c>
      <c r="D626">
        <v>39.1</v>
      </c>
      <c r="E626">
        <v>49.2</v>
      </c>
      <c r="F626">
        <v>49.3</v>
      </c>
      <c r="G626">
        <v>37.6</v>
      </c>
      <c r="H626">
        <v>44</v>
      </c>
      <c r="I626">
        <v>33.200000000000003</v>
      </c>
      <c r="J626">
        <v>39.5</v>
      </c>
      <c r="K626">
        <v>47.6</v>
      </c>
      <c r="L626">
        <v>50.2</v>
      </c>
      <c r="W626" s="1">
        <v>37257</v>
      </c>
      <c r="X626">
        <v>1130.1999510000001</v>
      </c>
      <c r="Y626" s="4">
        <f t="shared" si="146"/>
        <v>-1.5573832559794278E-2</v>
      </c>
      <c r="Z626" s="4">
        <f t="shared" si="148"/>
        <v>-0.1726268894618129</v>
      </c>
      <c r="AA626">
        <v>45.3</v>
      </c>
      <c r="AB626">
        <f t="shared" si="149"/>
        <v>43.9</v>
      </c>
      <c r="AP626" s="3">
        <v>37226</v>
      </c>
      <c r="AQ626" s="2">
        <v>44.1</v>
      </c>
      <c r="AR626" s="2" t="str">
        <f t="shared" si="150"/>
        <v>+</v>
      </c>
      <c r="AS626" s="2">
        <v>49.1</v>
      </c>
      <c r="AT626" s="8" t="str">
        <f t="shared" si="151"/>
        <v>+</v>
      </c>
      <c r="AU626" s="2">
        <v>46.9</v>
      </c>
      <c r="AV626" s="8" t="str">
        <f t="shared" si="152"/>
        <v>+</v>
      </c>
      <c r="AW626" s="2">
        <v>36.4</v>
      </c>
      <c r="AX626" s="8" t="str">
        <f t="shared" si="153"/>
        <v>+</v>
      </c>
      <c r="AY626" s="2">
        <v>49.1</v>
      </c>
      <c r="AZ626" s="8" t="str">
        <f t="shared" si="154"/>
        <v>-</v>
      </c>
      <c r="BA626" s="2">
        <v>38.9</v>
      </c>
      <c r="BB626" s="8" t="str">
        <f t="shared" si="155"/>
        <v>+</v>
      </c>
      <c r="BC626" s="2">
        <v>44.5</v>
      </c>
      <c r="BD626" s="8" t="str">
        <f t="shared" si="156"/>
        <v>+</v>
      </c>
      <c r="BE626" s="2">
        <v>32</v>
      </c>
      <c r="BF626" s="8" t="str">
        <f t="shared" si="147"/>
        <v>-</v>
      </c>
      <c r="BG626" s="2">
        <v>38.5</v>
      </c>
      <c r="BH626" s="8" t="str">
        <f t="shared" si="157"/>
        <v>+</v>
      </c>
      <c r="BI626" s="2">
        <v>50</v>
      </c>
      <c r="BJ626" s="8" t="str">
        <f t="shared" si="158"/>
        <v>+</v>
      </c>
      <c r="BK626" s="2">
        <v>49.5</v>
      </c>
      <c r="BL626" s="8" t="str">
        <f t="shared" si="159"/>
        <v>+</v>
      </c>
    </row>
    <row r="627" spans="1:64">
      <c r="A627" s="1">
        <v>37288</v>
      </c>
      <c r="B627">
        <v>47.5</v>
      </c>
      <c r="C627">
        <v>55.2</v>
      </c>
      <c r="D627">
        <v>41</v>
      </c>
      <c r="E627">
        <v>51.1</v>
      </c>
      <c r="F627">
        <v>51.2</v>
      </c>
      <c r="G627">
        <v>39.200000000000003</v>
      </c>
      <c r="H627">
        <v>43.5</v>
      </c>
      <c r="I627">
        <v>43.9</v>
      </c>
      <c r="J627">
        <v>44.5</v>
      </c>
      <c r="K627">
        <v>50.1</v>
      </c>
      <c r="L627">
        <v>51.3</v>
      </c>
      <c r="W627" s="1">
        <v>37288</v>
      </c>
      <c r="X627">
        <v>1106.7299800000001</v>
      </c>
      <c r="Y627" s="4">
        <f t="shared" si="146"/>
        <v>-2.0766211305560379E-2</v>
      </c>
      <c r="Z627" s="4">
        <f t="shared" si="148"/>
        <v>-0.10743259136613297</v>
      </c>
      <c r="AA627">
        <v>47.5</v>
      </c>
      <c r="AB627">
        <f t="shared" si="149"/>
        <v>42.3</v>
      </c>
      <c r="AP627" s="3">
        <v>37257</v>
      </c>
      <c r="AQ627" s="2">
        <v>45.3</v>
      </c>
      <c r="AR627" s="2" t="str">
        <f t="shared" si="150"/>
        <v>+</v>
      </c>
      <c r="AS627" s="2">
        <v>51.4</v>
      </c>
      <c r="AT627" s="8" t="str">
        <f t="shared" si="151"/>
        <v>+</v>
      </c>
      <c r="AU627" s="2">
        <v>49.2</v>
      </c>
      <c r="AV627" s="8" t="str">
        <f t="shared" si="152"/>
        <v>+</v>
      </c>
      <c r="AW627" s="2">
        <v>39.1</v>
      </c>
      <c r="AX627" s="8" t="str">
        <f t="shared" si="153"/>
        <v>+</v>
      </c>
      <c r="AY627" s="2">
        <v>49.3</v>
      </c>
      <c r="AZ627" s="8" t="str">
        <f t="shared" si="154"/>
        <v>+</v>
      </c>
      <c r="BA627" s="2">
        <v>37.6</v>
      </c>
      <c r="BB627" s="8" t="str">
        <f t="shared" si="155"/>
        <v>-</v>
      </c>
      <c r="BC627" s="2">
        <v>44</v>
      </c>
      <c r="BD627" s="8" t="str">
        <f t="shared" si="156"/>
        <v>-</v>
      </c>
      <c r="BE627" s="2">
        <v>33.200000000000003</v>
      </c>
      <c r="BF627" s="8" t="str">
        <f t="shared" si="147"/>
        <v>+</v>
      </c>
      <c r="BG627" s="2">
        <v>39.5</v>
      </c>
      <c r="BH627" s="8" t="str">
        <f t="shared" si="157"/>
        <v>+</v>
      </c>
      <c r="BI627" s="2">
        <v>47.6</v>
      </c>
      <c r="BJ627" s="8" t="str">
        <f t="shared" si="158"/>
        <v>-</v>
      </c>
      <c r="BK627" s="2">
        <v>50.2</v>
      </c>
      <c r="BL627" s="8" t="str">
        <f t="shared" si="159"/>
        <v>+</v>
      </c>
    </row>
    <row r="628" spans="1:64">
      <c r="A628" s="1">
        <v>37316</v>
      </c>
      <c r="B628">
        <v>50.7</v>
      </c>
      <c r="C628">
        <v>60.7</v>
      </c>
      <c r="D628">
        <v>43.8</v>
      </c>
      <c r="E628">
        <v>58.1</v>
      </c>
      <c r="F628">
        <v>51.4</v>
      </c>
      <c r="G628">
        <v>39.700000000000003</v>
      </c>
      <c r="H628">
        <v>41.5</v>
      </c>
      <c r="I628">
        <v>41.5</v>
      </c>
      <c r="J628">
        <v>53</v>
      </c>
      <c r="K628">
        <v>50.7</v>
      </c>
      <c r="L628">
        <v>52.4</v>
      </c>
      <c r="W628" s="1">
        <v>37316</v>
      </c>
      <c r="X628">
        <v>1147.3900149999999</v>
      </c>
      <c r="Y628" s="4">
        <f t="shared" si="146"/>
        <v>3.6738893618839058E-2</v>
      </c>
      <c r="Z628" s="4">
        <f t="shared" si="148"/>
        <v>-1.1151949437389246E-2</v>
      </c>
      <c r="AA628">
        <v>50.7</v>
      </c>
      <c r="AB628">
        <f t="shared" si="149"/>
        <v>42.1</v>
      </c>
      <c r="AP628" s="3">
        <v>37288</v>
      </c>
      <c r="AQ628" s="2">
        <v>47.5</v>
      </c>
      <c r="AR628" s="2" t="str">
        <f t="shared" si="150"/>
        <v>+</v>
      </c>
      <c r="AS628" s="2">
        <v>55.2</v>
      </c>
      <c r="AT628" s="8" t="str">
        <f t="shared" si="151"/>
        <v>+</v>
      </c>
      <c r="AU628" s="2">
        <v>51.1</v>
      </c>
      <c r="AV628" s="8" t="str">
        <f t="shared" si="152"/>
        <v>+</v>
      </c>
      <c r="AW628" s="2">
        <v>41</v>
      </c>
      <c r="AX628" s="8" t="str">
        <f t="shared" si="153"/>
        <v>+</v>
      </c>
      <c r="AY628" s="2">
        <v>51.2</v>
      </c>
      <c r="AZ628" s="8" t="str">
        <f t="shared" si="154"/>
        <v>+</v>
      </c>
      <c r="BA628" s="2">
        <v>39.200000000000003</v>
      </c>
      <c r="BB628" s="8" t="str">
        <f t="shared" si="155"/>
        <v>+</v>
      </c>
      <c r="BC628" s="2">
        <v>43.5</v>
      </c>
      <c r="BD628" s="8" t="str">
        <f t="shared" si="156"/>
        <v>-</v>
      </c>
      <c r="BE628" s="2">
        <v>43.9</v>
      </c>
      <c r="BF628" s="8" t="str">
        <f t="shared" si="147"/>
        <v>+</v>
      </c>
      <c r="BG628" s="2">
        <v>44.5</v>
      </c>
      <c r="BH628" s="8" t="str">
        <f t="shared" si="157"/>
        <v>+</v>
      </c>
      <c r="BI628" s="2">
        <v>50.1</v>
      </c>
      <c r="BJ628" s="8" t="str">
        <f t="shared" si="158"/>
        <v>+</v>
      </c>
      <c r="BK628" s="2">
        <v>51.3</v>
      </c>
      <c r="BL628" s="8" t="str">
        <f t="shared" si="159"/>
        <v>+</v>
      </c>
    </row>
    <row r="629" spans="1:64">
      <c r="A629" s="1">
        <v>37347</v>
      </c>
      <c r="B629">
        <v>52.4</v>
      </c>
      <c r="C629">
        <v>63.8</v>
      </c>
      <c r="D629">
        <v>46.6</v>
      </c>
      <c r="E629">
        <v>58.3</v>
      </c>
      <c r="F629">
        <v>51.9</v>
      </c>
      <c r="G629">
        <v>41.4</v>
      </c>
      <c r="H629">
        <v>40</v>
      </c>
      <c r="I629">
        <v>51.9</v>
      </c>
      <c r="J629">
        <v>62.5</v>
      </c>
      <c r="K629">
        <v>50.6</v>
      </c>
      <c r="L629">
        <v>53.9</v>
      </c>
      <c r="W629" s="1">
        <v>37347</v>
      </c>
      <c r="X629">
        <v>1076.920044</v>
      </c>
      <c r="Y629" s="4">
        <f t="shared" si="146"/>
        <v>-6.1417626159139961E-2</v>
      </c>
      <c r="Z629" s="4">
        <f t="shared" si="148"/>
        <v>-0.13809159347683975</v>
      </c>
      <c r="AA629">
        <v>52.4</v>
      </c>
      <c r="AB629">
        <f t="shared" si="149"/>
        <v>43.1</v>
      </c>
      <c r="AP629" s="3">
        <v>37316</v>
      </c>
      <c r="AQ629" s="2">
        <v>50.7</v>
      </c>
      <c r="AR629" s="2" t="str">
        <f t="shared" si="150"/>
        <v>+</v>
      </c>
      <c r="AS629" s="2">
        <v>60.7</v>
      </c>
      <c r="AT629" s="8" t="str">
        <f t="shared" si="151"/>
        <v>+</v>
      </c>
      <c r="AU629" s="2">
        <v>58.1</v>
      </c>
      <c r="AV629" s="8" t="str">
        <f t="shared" si="152"/>
        <v>+</v>
      </c>
      <c r="AW629" s="2">
        <v>43.8</v>
      </c>
      <c r="AX629" s="8" t="str">
        <f t="shared" si="153"/>
        <v>+</v>
      </c>
      <c r="AY629" s="2">
        <v>51.4</v>
      </c>
      <c r="AZ629" s="8" t="str">
        <f t="shared" si="154"/>
        <v>+</v>
      </c>
      <c r="BA629" s="2">
        <v>39.700000000000003</v>
      </c>
      <c r="BB629" s="8" t="str">
        <f t="shared" si="155"/>
        <v>+</v>
      </c>
      <c r="BC629" s="2">
        <v>41.5</v>
      </c>
      <c r="BD629" s="8" t="str">
        <f t="shared" si="156"/>
        <v>-</v>
      </c>
      <c r="BE629" s="2">
        <v>41.5</v>
      </c>
      <c r="BF629" s="8" t="str">
        <f t="shared" si="147"/>
        <v>-</v>
      </c>
      <c r="BG629" s="2">
        <v>53</v>
      </c>
      <c r="BH629" s="8" t="str">
        <f t="shared" si="157"/>
        <v>+</v>
      </c>
      <c r="BI629" s="2">
        <v>50.7</v>
      </c>
      <c r="BJ629" s="8" t="str">
        <f t="shared" si="158"/>
        <v>+</v>
      </c>
      <c r="BK629" s="2">
        <v>52.4</v>
      </c>
      <c r="BL629" s="8" t="str">
        <f t="shared" si="159"/>
        <v>+</v>
      </c>
    </row>
    <row r="630" spans="1:64">
      <c r="A630" s="1">
        <v>37377</v>
      </c>
      <c r="B630">
        <v>52.4</v>
      </c>
      <c r="C630">
        <v>59.9</v>
      </c>
      <c r="D630">
        <v>46.6</v>
      </c>
      <c r="E630">
        <v>59.1</v>
      </c>
      <c r="F630">
        <v>53.5</v>
      </c>
      <c r="G630">
        <v>43</v>
      </c>
      <c r="H630">
        <v>40.5</v>
      </c>
      <c r="I630">
        <v>60.3</v>
      </c>
      <c r="J630">
        <v>56</v>
      </c>
      <c r="K630">
        <v>51.9</v>
      </c>
      <c r="L630">
        <v>55.5</v>
      </c>
      <c r="W630" s="1">
        <v>37377</v>
      </c>
      <c r="X630">
        <v>1067.1400149999999</v>
      </c>
      <c r="Y630" s="4">
        <f t="shared" si="146"/>
        <v>-9.081481076045431E-3</v>
      </c>
      <c r="Z630" s="4">
        <f t="shared" si="148"/>
        <v>-0.1502444133022236</v>
      </c>
      <c r="AA630">
        <v>52.4</v>
      </c>
      <c r="AB630">
        <f t="shared" si="149"/>
        <v>42.7</v>
      </c>
      <c r="AP630" s="3">
        <v>37347</v>
      </c>
      <c r="AQ630" s="2">
        <v>52.4</v>
      </c>
      <c r="AR630" s="2" t="str">
        <f t="shared" si="150"/>
        <v>+</v>
      </c>
      <c r="AS630" s="2">
        <v>63.8</v>
      </c>
      <c r="AT630" s="8" t="str">
        <f t="shared" si="151"/>
        <v>+</v>
      </c>
      <c r="AU630" s="2">
        <v>58.3</v>
      </c>
      <c r="AV630" s="8" t="str">
        <f t="shared" si="152"/>
        <v>+</v>
      </c>
      <c r="AW630" s="2">
        <v>46.6</v>
      </c>
      <c r="AX630" s="8" t="str">
        <f t="shared" si="153"/>
        <v>+</v>
      </c>
      <c r="AY630" s="2">
        <v>51.9</v>
      </c>
      <c r="AZ630" s="8" t="str">
        <f t="shared" si="154"/>
        <v>+</v>
      </c>
      <c r="BA630" s="2">
        <v>41.4</v>
      </c>
      <c r="BB630" s="8" t="str">
        <f t="shared" si="155"/>
        <v>+</v>
      </c>
      <c r="BC630" s="2">
        <v>40</v>
      </c>
      <c r="BD630" s="8" t="str">
        <f t="shared" si="156"/>
        <v>-</v>
      </c>
      <c r="BE630" s="2">
        <v>51.9</v>
      </c>
      <c r="BF630" s="8" t="str">
        <f t="shared" si="147"/>
        <v>+</v>
      </c>
      <c r="BG630" s="2">
        <v>62.5</v>
      </c>
      <c r="BH630" s="8" t="str">
        <f t="shared" si="157"/>
        <v>+</v>
      </c>
      <c r="BI630" s="2">
        <v>50.6</v>
      </c>
      <c r="BJ630" s="8" t="str">
        <f t="shared" si="158"/>
        <v>-</v>
      </c>
      <c r="BK630" s="2">
        <v>53.9</v>
      </c>
      <c r="BL630" s="8" t="str">
        <f t="shared" si="159"/>
        <v>+</v>
      </c>
    </row>
    <row r="631" spans="1:64">
      <c r="A631" s="1">
        <v>37408</v>
      </c>
      <c r="B631">
        <v>53.1</v>
      </c>
      <c r="C631">
        <v>61.8</v>
      </c>
      <c r="D631">
        <v>47.3</v>
      </c>
      <c r="E631">
        <v>59.4</v>
      </c>
      <c r="F631">
        <v>53.4</v>
      </c>
      <c r="G631">
        <v>43.8</v>
      </c>
      <c r="H631">
        <v>39</v>
      </c>
      <c r="I631">
        <v>63</v>
      </c>
      <c r="J631">
        <v>56.5</v>
      </c>
      <c r="K631">
        <v>53.3</v>
      </c>
      <c r="L631">
        <v>53.9</v>
      </c>
      <c r="W631" s="1">
        <v>37408</v>
      </c>
      <c r="X631">
        <v>989.82000700000003</v>
      </c>
      <c r="Y631" s="4">
        <f t="shared" si="146"/>
        <v>-7.2455354417573711E-2</v>
      </c>
      <c r="Z631" s="4">
        <f t="shared" si="148"/>
        <v>-0.19157450876535667</v>
      </c>
      <c r="AA631">
        <v>53.1</v>
      </c>
      <c r="AB631">
        <f t="shared" si="149"/>
        <v>41.3</v>
      </c>
      <c r="AP631" s="3">
        <v>37377</v>
      </c>
      <c r="AQ631" s="2">
        <v>52.4</v>
      </c>
      <c r="AR631" s="2" t="str">
        <f t="shared" si="150"/>
        <v>+</v>
      </c>
      <c r="AS631" s="2">
        <v>59.9</v>
      </c>
      <c r="AT631" s="8" t="str">
        <f t="shared" si="151"/>
        <v>-</v>
      </c>
      <c r="AU631" s="2">
        <v>59.1</v>
      </c>
      <c r="AV631" s="8" t="str">
        <f t="shared" si="152"/>
        <v>+</v>
      </c>
      <c r="AW631" s="2">
        <v>46.6</v>
      </c>
      <c r="AX631" s="8" t="str">
        <f t="shared" si="153"/>
        <v>+</v>
      </c>
      <c r="AY631" s="2">
        <v>53.5</v>
      </c>
      <c r="AZ631" s="8" t="str">
        <f t="shared" si="154"/>
        <v>+</v>
      </c>
      <c r="BA631" s="2">
        <v>43</v>
      </c>
      <c r="BB631" s="8" t="str">
        <f t="shared" si="155"/>
        <v>+</v>
      </c>
      <c r="BC631" s="2">
        <v>40.5</v>
      </c>
      <c r="BD631" s="8" t="str">
        <f t="shared" si="156"/>
        <v>+</v>
      </c>
      <c r="BE631" s="2">
        <v>60.3</v>
      </c>
      <c r="BF631" s="8" t="str">
        <f t="shared" si="147"/>
        <v>+</v>
      </c>
      <c r="BG631" s="2">
        <v>56</v>
      </c>
      <c r="BH631" s="8" t="str">
        <f t="shared" si="157"/>
        <v>-</v>
      </c>
      <c r="BI631" s="2">
        <v>51.9</v>
      </c>
      <c r="BJ631" s="8" t="str">
        <f t="shared" si="158"/>
        <v>+</v>
      </c>
      <c r="BK631" s="2">
        <v>55.5</v>
      </c>
      <c r="BL631" s="8" t="str">
        <f t="shared" si="159"/>
        <v>+</v>
      </c>
    </row>
    <row r="632" spans="1:64">
      <c r="A632" s="1">
        <v>37438</v>
      </c>
      <c r="B632">
        <v>53.6</v>
      </c>
      <c r="C632">
        <v>61.2</v>
      </c>
      <c r="D632">
        <v>48.3</v>
      </c>
      <c r="E632">
        <v>61.1</v>
      </c>
      <c r="F632">
        <v>54.4</v>
      </c>
      <c r="G632">
        <v>43.2</v>
      </c>
      <c r="H632">
        <v>44.5</v>
      </c>
      <c r="I632">
        <v>65.5</v>
      </c>
      <c r="J632">
        <v>53.5</v>
      </c>
      <c r="K632">
        <v>54.1</v>
      </c>
      <c r="L632">
        <v>53.8</v>
      </c>
      <c r="W632" s="1">
        <v>37438</v>
      </c>
      <c r="X632">
        <v>911.61999500000002</v>
      </c>
      <c r="Y632" s="4">
        <f t="shared" si="146"/>
        <v>-7.9004274966125249E-2</v>
      </c>
      <c r="Z632" s="4">
        <f t="shared" si="148"/>
        <v>-0.24736011322969403</v>
      </c>
      <c r="AA632">
        <v>53.6</v>
      </c>
      <c r="AB632">
        <f t="shared" si="149"/>
        <v>43.2</v>
      </c>
      <c r="AP632" s="3">
        <v>37408</v>
      </c>
      <c r="AQ632" s="2">
        <v>53.1</v>
      </c>
      <c r="AR632" s="2" t="str">
        <f t="shared" si="150"/>
        <v>+</v>
      </c>
      <c r="AS632" s="2">
        <v>61.8</v>
      </c>
      <c r="AT632" s="8" t="str">
        <f t="shared" si="151"/>
        <v>+</v>
      </c>
      <c r="AU632" s="2">
        <v>59.4</v>
      </c>
      <c r="AV632" s="8" t="str">
        <f t="shared" si="152"/>
        <v>+</v>
      </c>
      <c r="AW632" s="2">
        <v>47.3</v>
      </c>
      <c r="AX632" s="8" t="str">
        <f t="shared" si="153"/>
        <v>+</v>
      </c>
      <c r="AY632" s="2">
        <v>53.4</v>
      </c>
      <c r="AZ632" s="8" t="str">
        <f t="shared" si="154"/>
        <v>-</v>
      </c>
      <c r="BA632" s="2">
        <v>43.8</v>
      </c>
      <c r="BB632" s="8" t="str">
        <f t="shared" si="155"/>
        <v>+</v>
      </c>
      <c r="BC632" s="2">
        <v>39</v>
      </c>
      <c r="BD632" s="8" t="str">
        <f t="shared" si="156"/>
        <v>-</v>
      </c>
      <c r="BE632" s="2">
        <v>63</v>
      </c>
      <c r="BF632" s="8" t="str">
        <f t="shared" si="147"/>
        <v>+</v>
      </c>
      <c r="BG632" s="2">
        <v>56.5</v>
      </c>
      <c r="BH632" s="8" t="str">
        <f t="shared" si="157"/>
        <v>+</v>
      </c>
      <c r="BI632" s="2">
        <v>53.3</v>
      </c>
      <c r="BJ632" s="8" t="str">
        <f t="shared" si="158"/>
        <v>+</v>
      </c>
      <c r="BK632" s="2">
        <v>53.9</v>
      </c>
      <c r="BL632" s="8" t="str">
        <f t="shared" si="159"/>
        <v>-</v>
      </c>
    </row>
    <row r="633" spans="1:64">
      <c r="A633" s="1">
        <v>37469</v>
      </c>
      <c r="B633">
        <v>50.2</v>
      </c>
      <c r="C633">
        <v>51.9</v>
      </c>
      <c r="D633">
        <v>45</v>
      </c>
      <c r="E633">
        <v>56.6</v>
      </c>
      <c r="F633">
        <v>54.8</v>
      </c>
      <c r="G633">
        <v>42.7</v>
      </c>
      <c r="H633">
        <v>42.5</v>
      </c>
      <c r="I633">
        <v>68.3</v>
      </c>
      <c r="J633">
        <v>45.5</v>
      </c>
      <c r="K633">
        <v>52.2</v>
      </c>
      <c r="L633">
        <v>53.2</v>
      </c>
      <c r="W633" s="1">
        <v>37469</v>
      </c>
      <c r="X633">
        <v>916.07000700000003</v>
      </c>
      <c r="Y633" s="4">
        <f t="shared" si="146"/>
        <v>4.8814330800192847E-3</v>
      </c>
      <c r="Z633" s="4">
        <f t="shared" si="148"/>
        <v>-0.19187878883066631</v>
      </c>
      <c r="AA633">
        <v>50.2</v>
      </c>
      <c r="AB633">
        <f t="shared" si="149"/>
        <v>43.5</v>
      </c>
      <c r="AP633" s="3">
        <v>37438</v>
      </c>
      <c r="AQ633" s="2">
        <v>53.6</v>
      </c>
      <c r="AR633" s="2" t="str">
        <f t="shared" si="150"/>
        <v>+</v>
      </c>
      <c r="AS633" s="2">
        <v>61.2</v>
      </c>
      <c r="AT633" s="8" t="str">
        <f t="shared" si="151"/>
        <v>-</v>
      </c>
      <c r="AU633" s="2">
        <v>61.1</v>
      </c>
      <c r="AV633" s="8" t="str">
        <f t="shared" si="152"/>
        <v>+</v>
      </c>
      <c r="AW633" s="2">
        <v>48.3</v>
      </c>
      <c r="AX633" s="8" t="str">
        <f t="shared" si="153"/>
        <v>+</v>
      </c>
      <c r="AY633" s="2">
        <v>54.4</v>
      </c>
      <c r="AZ633" s="8" t="str">
        <f t="shared" si="154"/>
        <v>+</v>
      </c>
      <c r="BA633" s="2">
        <v>43.2</v>
      </c>
      <c r="BB633" s="8" t="str">
        <f t="shared" si="155"/>
        <v>-</v>
      </c>
      <c r="BC633" s="2">
        <v>44.5</v>
      </c>
      <c r="BD633" s="8" t="str">
        <f t="shared" si="156"/>
        <v>+</v>
      </c>
      <c r="BE633" s="2">
        <v>65.5</v>
      </c>
      <c r="BF633" s="8" t="str">
        <f t="shared" si="147"/>
        <v>+</v>
      </c>
      <c r="BG633" s="2">
        <v>53.5</v>
      </c>
      <c r="BH633" s="8" t="str">
        <f t="shared" si="157"/>
        <v>-</v>
      </c>
      <c r="BI633" s="2">
        <v>54.1</v>
      </c>
      <c r="BJ633" s="8" t="str">
        <f t="shared" si="158"/>
        <v>+</v>
      </c>
      <c r="BK633" s="2">
        <v>53.8</v>
      </c>
      <c r="BL633" s="8" t="str">
        <f t="shared" si="159"/>
        <v>-</v>
      </c>
    </row>
    <row r="634" spans="1:64">
      <c r="A634" s="1">
        <v>37500</v>
      </c>
      <c r="B634">
        <v>50.3</v>
      </c>
      <c r="C634">
        <v>50.6</v>
      </c>
      <c r="D634">
        <v>46.8</v>
      </c>
      <c r="E634">
        <v>54.9</v>
      </c>
      <c r="F634">
        <v>53.6</v>
      </c>
      <c r="G634">
        <v>45.4</v>
      </c>
      <c r="H634">
        <v>42.5</v>
      </c>
      <c r="I634">
        <v>61.5</v>
      </c>
      <c r="J634">
        <v>45</v>
      </c>
      <c r="K634">
        <v>53.4</v>
      </c>
      <c r="L634">
        <v>52.6</v>
      </c>
      <c r="W634" s="1">
        <v>37500</v>
      </c>
      <c r="X634">
        <v>815.28002900000001</v>
      </c>
      <c r="Y634" s="4">
        <f t="shared" si="146"/>
        <v>-0.11002431826151908</v>
      </c>
      <c r="Z634" s="4">
        <f t="shared" si="148"/>
        <v>-0.21678475684506379</v>
      </c>
      <c r="AA634">
        <v>50.3</v>
      </c>
      <c r="AB634">
        <f t="shared" si="149"/>
        <v>46.3</v>
      </c>
      <c r="AP634" s="3">
        <v>37469</v>
      </c>
      <c r="AQ634" s="2">
        <v>50.2</v>
      </c>
      <c r="AR634" s="2" t="str">
        <f t="shared" si="150"/>
        <v>-</v>
      </c>
      <c r="AS634" s="2">
        <v>51.9</v>
      </c>
      <c r="AT634" s="8" t="str">
        <f t="shared" si="151"/>
        <v>-</v>
      </c>
      <c r="AU634" s="2">
        <v>56.6</v>
      </c>
      <c r="AV634" s="8" t="str">
        <f t="shared" si="152"/>
        <v>-</v>
      </c>
      <c r="AW634" s="2">
        <v>45</v>
      </c>
      <c r="AX634" s="8" t="str">
        <f t="shared" si="153"/>
        <v>-</v>
      </c>
      <c r="AY634" s="2">
        <v>54.8</v>
      </c>
      <c r="AZ634" s="8" t="str">
        <f t="shared" si="154"/>
        <v>+</v>
      </c>
      <c r="BA634" s="2">
        <v>42.7</v>
      </c>
      <c r="BB634" s="8" t="str">
        <f t="shared" si="155"/>
        <v>-</v>
      </c>
      <c r="BC634" s="2">
        <v>42.5</v>
      </c>
      <c r="BD634" s="8" t="str">
        <f t="shared" si="156"/>
        <v>-</v>
      </c>
      <c r="BE634" s="2">
        <v>68.3</v>
      </c>
      <c r="BF634" s="8" t="str">
        <f t="shared" si="147"/>
        <v>+</v>
      </c>
      <c r="BG634" s="2">
        <v>45.5</v>
      </c>
      <c r="BH634" s="8" t="str">
        <f t="shared" si="157"/>
        <v>-</v>
      </c>
      <c r="BI634" s="2">
        <v>52.2</v>
      </c>
      <c r="BJ634" s="8" t="str">
        <f t="shared" si="158"/>
        <v>-</v>
      </c>
      <c r="BK634" s="2">
        <v>53.2</v>
      </c>
      <c r="BL634" s="8" t="str">
        <f t="shared" si="159"/>
        <v>-</v>
      </c>
    </row>
    <row r="635" spans="1:64">
      <c r="A635" s="1">
        <v>37530</v>
      </c>
      <c r="B635">
        <v>50.5</v>
      </c>
      <c r="C635">
        <v>52.9</v>
      </c>
      <c r="D635">
        <v>45.8</v>
      </c>
      <c r="E635">
        <v>53.5</v>
      </c>
      <c r="F635">
        <v>56.7</v>
      </c>
      <c r="G635">
        <v>43.8</v>
      </c>
      <c r="H635">
        <v>40.5</v>
      </c>
      <c r="I635">
        <v>62.5</v>
      </c>
      <c r="J635">
        <v>44.5</v>
      </c>
      <c r="K635">
        <v>53.8</v>
      </c>
      <c r="L635">
        <v>54.7</v>
      </c>
      <c r="W635" s="1">
        <v>37530</v>
      </c>
      <c r="X635">
        <v>885.76000999999997</v>
      </c>
      <c r="Y635" s="4">
        <f t="shared" si="146"/>
        <v>8.6448801016809837E-2</v>
      </c>
      <c r="Z635" s="4">
        <f t="shared" si="148"/>
        <v>-0.16420390480862707</v>
      </c>
      <c r="AA635">
        <v>50.5</v>
      </c>
      <c r="AB635">
        <f t="shared" si="149"/>
        <v>46.2</v>
      </c>
      <c r="AP635" s="3">
        <v>37500</v>
      </c>
      <c r="AQ635" s="2">
        <v>50.3</v>
      </c>
      <c r="AR635" s="2" t="str">
        <f t="shared" si="150"/>
        <v>+</v>
      </c>
      <c r="AS635" s="2">
        <v>50.6</v>
      </c>
      <c r="AT635" s="8" t="str">
        <f t="shared" si="151"/>
        <v>-</v>
      </c>
      <c r="AU635" s="2">
        <v>54.9</v>
      </c>
      <c r="AV635" s="8" t="str">
        <f t="shared" si="152"/>
        <v>-</v>
      </c>
      <c r="AW635" s="2">
        <v>46.8</v>
      </c>
      <c r="AX635" s="8" t="str">
        <f t="shared" si="153"/>
        <v>+</v>
      </c>
      <c r="AY635" s="2">
        <v>53.6</v>
      </c>
      <c r="AZ635" s="8" t="str">
        <f t="shared" si="154"/>
        <v>-</v>
      </c>
      <c r="BA635" s="2">
        <v>45.4</v>
      </c>
      <c r="BB635" s="8" t="str">
        <f t="shared" si="155"/>
        <v>+</v>
      </c>
      <c r="BC635" s="2">
        <v>42.5</v>
      </c>
      <c r="BD635" s="8" t="str">
        <f t="shared" si="156"/>
        <v>+</v>
      </c>
      <c r="BE635" s="2">
        <v>61.5</v>
      </c>
      <c r="BF635" s="8" t="str">
        <f t="shared" si="147"/>
        <v>-</v>
      </c>
      <c r="BG635" s="2">
        <v>45</v>
      </c>
      <c r="BH635" s="8" t="str">
        <f t="shared" si="157"/>
        <v>-</v>
      </c>
      <c r="BI635" s="2">
        <v>53.4</v>
      </c>
      <c r="BJ635" s="8" t="str">
        <f t="shared" si="158"/>
        <v>+</v>
      </c>
      <c r="BK635" s="2">
        <v>52.6</v>
      </c>
      <c r="BL635" s="8" t="str">
        <f t="shared" si="159"/>
        <v>-</v>
      </c>
    </row>
    <row r="636" spans="1:64">
      <c r="A636" s="1">
        <v>37561</v>
      </c>
      <c r="B636">
        <v>49</v>
      </c>
      <c r="C636">
        <v>52.1</v>
      </c>
      <c r="D636">
        <v>46.4</v>
      </c>
      <c r="E636">
        <v>51.3</v>
      </c>
      <c r="F636">
        <v>53.4</v>
      </c>
      <c r="G636">
        <v>42</v>
      </c>
      <c r="H636">
        <v>42.5</v>
      </c>
      <c r="I636">
        <v>58.3</v>
      </c>
      <c r="J636">
        <v>43.5</v>
      </c>
      <c r="K636">
        <v>53</v>
      </c>
      <c r="L636">
        <v>51.2</v>
      </c>
      <c r="W636" s="1">
        <v>37561</v>
      </c>
      <c r="X636">
        <v>936.30999799999995</v>
      </c>
      <c r="Y636" s="4">
        <f t="shared" si="146"/>
        <v>5.7069620923617885E-2</v>
      </c>
      <c r="Z636" s="4">
        <f t="shared" si="148"/>
        <v>-0.17827896067020857</v>
      </c>
      <c r="AA636">
        <v>49</v>
      </c>
      <c r="AB636">
        <f t="shared" si="149"/>
        <v>40.799999999999997</v>
      </c>
      <c r="AP636" s="3">
        <v>37530</v>
      </c>
      <c r="AQ636" s="2">
        <v>50.5</v>
      </c>
      <c r="AR636" s="2" t="str">
        <f t="shared" si="150"/>
        <v>+</v>
      </c>
      <c r="AS636" s="2">
        <v>52.9</v>
      </c>
      <c r="AT636" s="8" t="str">
        <f t="shared" si="151"/>
        <v>+</v>
      </c>
      <c r="AU636" s="2">
        <v>53.5</v>
      </c>
      <c r="AV636" s="8" t="str">
        <f t="shared" si="152"/>
        <v>-</v>
      </c>
      <c r="AW636" s="2">
        <v>45.8</v>
      </c>
      <c r="AX636" s="8" t="str">
        <f t="shared" si="153"/>
        <v>-</v>
      </c>
      <c r="AY636" s="2">
        <v>56.7</v>
      </c>
      <c r="AZ636" s="8" t="str">
        <f t="shared" si="154"/>
        <v>+</v>
      </c>
      <c r="BA636" s="2">
        <v>43.8</v>
      </c>
      <c r="BB636" s="8" t="str">
        <f t="shared" si="155"/>
        <v>-</v>
      </c>
      <c r="BC636" s="2">
        <v>40.5</v>
      </c>
      <c r="BD636" s="8" t="str">
        <f t="shared" si="156"/>
        <v>-</v>
      </c>
      <c r="BE636" s="2">
        <v>62.5</v>
      </c>
      <c r="BF636" s="8" t="str">
        <f t="shared" si="147"/>
        <v>+</v>
      </c>
      <c r="BG636" s="2">
        <v>44.5</v>
      </c>
      <c r="BH636" s="8" t="str">
        <f t="shared" si="157"/>
        <v>-</v>
      </c>
      <c r="BI636" s="2">
        <v>53.8</v>
      </c>
      <c r="BJ636" s="8" t="str">
        <f t="shared" si="158"/>
        <v>+</v>
      </c>
      <c r="BK636" s="2">
        <v>54.7</v>
      </c>
      <c r="BL636" s="8" t="str">
        <f t="shared" si="159"/>
        <v>+</v>
      </c>
    </row>
    <row r="637" spans="1:64">
      <c r="A637" s="1">
        <v>37591</v>
      </c>
      <c r="B637">
        <v>48.5</v>
      </c>
      <c r="C637">
        <v>49.9</v>
      </c>
      <c r="D637">
        <v>44.8</v>
      </c>
      <c r="E637">
        <v>52.7</v>
      </c>
      <c r="F637">
        <v>52.1</v>
      </c>
      <c r="G637">
        <v>43.1</v>
      </c>
      <c r="H637">
        <v>46.5</v>
      </c>
      <c r="I637">
        <v>55.7</v>
      </c>
      <c r="J637">
        <v>42.5</v>
      </c>
      <c r="K637">
        <v>50</v>
      </c>
      <c r="L637">
        <v>52.4</v>
      </c>
      <c r="W637" s="1">
        <v>37591</v>
      </c>
      <c r="X637">
        <v>879.82000700000003</v>
      </c>
      <c r="Y637" s="4">
        <f t="shared" si="146"/>
        <v>-6.0332572674290638E-2</v>
      </c>
      <c r="Z637" s="4">
        <f t="shared" si="148"/>
        <v>-0.23365963981693275</v>
      </c>
      <c r="AA637">
        <v>48.5</v>
      </c>
      <c r="AB637">
        <f t="shared" si="149"/>
        <v>44.1</v>
      </c>
      <c r="AP637" s="3">
        <v>37561</v>
      </c>
      <c r="AQ637" s="2">
        <v>49</v>
      </c>
      <c r="AR637" s="2" t="str">
        <f t="shared" si="150"/>
        <v>-</v>
      </c>
      <c r="AS637" s="2">
        <v>52.1</v>
      </c>
      <c r="AT637" s="8" t="str">
        <f t="shared" si="151"/>
        <v>-</v>
      </c>
      <c r="AU637" s="2">
        <v>51.3</v>
      </c>
      <c r="AV637" s="8" t="str">
        <f t="shared" si="152"/>
        <v>-</v>
      </c>
      <c r="AW637" s="2">
        <v>46.4</v>
      </c>
      <c r="AX637" s="8" t="str">
        <f t="shared" si="153"/>
        <v>+</v>
      </c>
      <c r="AY637" s="2">
        <v>53.4</v>
      </c>
      <c r="AZ637" s="8" t="str">
        <f t="shared" si="154"/>
        <v>-</v>
      </c>
      <c r="BA637" s="2">
        <v>42</v>
      </c>
      <c r="BB637" s="8" t="str">
        <f t="shared" si="155"/>
        <v>-</v>
      </c>
      <c r="BC637" s="2">
        <v>42.5</v>
      </c>
      <c r="BD637" s="8" t="str">
        <f t="shared" si="156"/>
        <v>+</v>
      </c>
      <c r="BE637" s="2">
        <v>58.3</v>
      </c>
      <c r="BF637" s="8" t="str">
        <f t="shared" si="147"/>
        <v>-</v>
      </c>
      <c r="BG637" s="2">
        <v>43.5</v>
      </c>
      <c r="BH637" s="8" t="str">
        <f t="shared" si="157"/>
        <v>-</v>
      </c>
      <c r="BI637" s="2">
        <v>53</v>
      </c>
      <c r="BJ637" s="8" t="str">
        <f t="shared" si="158"/>
        <v>-</v>
      </c>
      <c r="BK637" s="2">
        <v>51.2</v>
      </c>
      <c r="BL637" s="8" t="str">
        <f t="shared" si="159"/>
        <v>-</v>
      </c>
    </row>
    <row r="638" spans="1:64">
      <c r="A638" s="1">
        <v>37622</v>
      </c>
      <c r="B638">
        <v>51.6</v>
      </c>
      <c r="C638">
        <v>58.7</v>
      </c>
      <c r="D638">
        <v>47.5</v>
      </c>
      <c r="E638">
        <v>53.9</v>
      </c>
      <c r="F638">
        <v>52.9</v>
      </c>
      <c r="G638">
        <v>45.2</v>
      </c>
      <c r="H638">
        <v>43</v>
      </c>
      <c r="I638">
        <v>56.9</v>
      </c>
      <c r="J638">
        <v>46.5</v>
      </c>
      <c r="K638">
        <v>52</v>
      </c>
      <c r="L638">
        <v>55.1</v>
      </c>
      <c r="W638" s="1">
        <v>37622</v>
      </c>
      <c r="X638">
        <v>855.70001200000002</v>
      </c>
      <c r="Y638" s="4">
        <f t="shared" si="146"/>
        <v>-2.7414692559952228E-2</v>
      </c>
      <c r="Z638" s="4">
        <f t="shared" si="148"/>
        <v>-0.24287732339496448</v>
      </c>
      <c r="AA638">
        <v>51.6</v>
      </c>
      <c r="AB638">
        <f t="shared" si="149"/>
        <v>45.3</v>
      </c>
      <c r="AP638" s="3">
        <v>37591</v>
      </c>
      <c r="AQ638" s="2">
        <v>48.5</v>
      </c>
      <c r="AR638" s="2" t="str">
        <f t="shared" si="150"/>
        <v>-</v>
      </c>
      <c r="AS638" s="2">
        <v>49.9</v>
      </c>
      <c r="AT638" s="8" t="str">
        <f t="shared" si="151"/>
        <v>-</v>
      </c>
      <c r="AU638" s="2">
        <v>52.7</v>
      </c>
      <c r="AV638" s="8" t="str">
        <f t="shared" si="152"/>
        <v>+</v>
      </c>
      <c r="AW638" s="2">
        <v>44.8</v>
      </c>
      <c r="AX638" s="8" t="str">
        <f t="shared" si="153"/>
        <v>-</v>
      </c>
      <c r="AY638" s="2">
        <v>52.1</v>
      </c>
      <c r="AZ638" s="8" t="str">
        <f t="shared" si="154"/>
        <v>-</v>
      </c>
      <c r="BA638" s="2">
        <v>43.1</v>
      </c>
      <c r="BB638" s="8" t="str">
        <f t="shared" si="155"/>
        <v>+</v>
      </c>
      <c r="BC638" s="2">
        <v>46.5</v>
      </c>
      <c r="BD638" s="8" t="str">
        <f t="shared" si="156"/>
        <v>+</v>
      </c>
      <c r="BE638" s="2">
        <v>55.7</v>
      </c>
      <c r="BF638" s="8" t="str">
        <f t="shared" si="147"/>
        <v>-</v>
      </c>
      <c r="BG638" s="2">
        <v>42.5</v>
      </c>
      <c r="BH638" s="8" t="str">
        <f t="shared" si="157"/>
        <v>-</v>
      </c>
      <c r="BI638" s="2">
        <v>50</v>
      </c>
      <c r="BJ638" s="8" t="str">
        <f t="shared" si="158"/>
        <v>-</v>
      </c>
      <c r="BK638" s="2">
        <v>52.4</v>
      </c>
      <c r="BL638" s="8" t="str">
        <f t="shared" si="159"/>
        <v>+</v>
      </c>
    </row>
    <row r="639" spans="1:64">
      <c r="A639" s="1">
        <v>37653</v>
      </c>
      <c r="B639">
        <v>51.3</v>
      </c>
      <c r="C639">
        <v>58.2</v>
      </c>
      <c r="D639">
        <v>47.4</v>
      </c>
      <c r="E639">
        <v>54.1</v>
      </c>
      <c r="F639">
        <v>52.8</v>
      </c>
      <c r="G639">
        <v>44.2</v>
      </c>
      <c r="H639">
        <v>42.5</v>
      </c>
      <c r="I639">
        <v>57.5</v>
      </c>
      <c r="J639">
        <v>45</v>
      </c>
      <c r="K639">
        <v>54.4</v>
      </c>
      <c r="L639">
        <v>58.6</v>
      </c>
      <c r="W639" s="1">
        <v>37653</v>
      </c>
      <c r="X639">
        <v>841.15002400000003</v>
      </c>
      <c r="Y639" s="4">
        <f t="shared" si="146"/>
        <v>-1.7003608502929392E-2</v>
      </c>
      <c r="Z639" s="4">
        <f t="shared" si="148"/>
        <v>-0.23996815917103828</v>
      </c>
      <c r="AA639">
        <v>51.3</v>
      </c>
      <c r="AB639">
        <f t="shared" si="149"/>
        <v>47.5</v>
      </c>
      <c r="AP639" s="3">
        <v>37622</v>
      </c>
      <c r="AQ639" s="2">
        <v>51.6</v>
      </c>
      <c r="AR639" s="2" t="str">
        <f t="shared" si="150"/>
        <v>+</v>
      </c>
      <c r="AS639" s="2">
        <v>58.7</v>
      </c>
      <c r="AT639" s="8" t="str">
        <f t="shared" si="151"/>
        <v>+</v>
      </c>
      <c r="AU639" s="2">
        <v>53.9</v>
      </c>
      <c r="AV639" s="8" t="str">
        <f t="shared" si="152"/>
        <v>+</v>
      </c>
      <c r="AW639" s="2">
        <v>47.5</v>
      </c>
      <c r="AX639" s="8" t="str">
        <f t="shared" si="153"/>
        <v>+</v>
      </c>
      <c r="AY639" s="2">
        <v>52.9</v>
      </c>
      <c r="AZ639" s="8" t="str">
        <f t="shared" si="154"/>
        <v>+</v>
      </c>
      <c r="BA639" s="2">
        <v>45.2</v>
      </c>
      <c r="BB639" s="8" t="str">
        <f t="shared" si="155"/>
        <v>+</v>
      </c>
      <c r="BC639" s="2">
        <v>43</v>
      </c>
      <c r="BD639" s="8" t="str">
        <f t="shared" si="156"/>
        <v>-</v>
      </c>
      <c r="BE639" s="2">
        <v>56.9</v>
      </c>
      <c r="BF639" s="8" t="str">
        <f t="shared" si="147"/>
        <v>+</v>
      </c>
      <c r="BG639" s="2">
        <v>46.5</v>
      </c>
      <c r="BH639" s="8" t="str">
        <f t="shared" si="157"/>
        <v>+</v>
      </c>
      <c r="BI639" s="2">
        <v>52</v>
      </c>
      <c r="BJ639" s="8" t="str">
        <f t="shared" si="158"/>
        <v>+</v>
      </c>
      <c r="BK639" s="2">
        <v>55.1</v>
      </c>
      <c r="BL639" s="8" t="str">
        <f t="shared" si="159"/>
        <v>+</v>
      </c>
    </row>
    <row r="640" spans="1:64">
      <c r="A640" s="1">
        <v>37681</v>
      </c>
      <c r="B640">
        <v>48.8</v>
      </c>
      <c r="C640">
        <v>51.9</v>
      </c>
      <c r="D640">
        <v>42.6</v>
      </c>
      <c r="E640">
        <v>53.6</v>
      </c>
      <c r="F640">
        <v>52.8</v>
      </c>
      <c r="G640">
        <v>43</v>
      </c>
      <c r="H640">
        <v>46</v>
      </c>
      <c r="I640">
        <v>65.5</v>
      </c>
      <c r="J640">
        <v>49</v>
      </c>
      <c r="K640">
        <v>55.2</v>
      </c>
      <c r="L640">
        <v>54.6</v>
      </c>
      <c r="W640" s="1">
        <v>37681</v>
      </c>
      <c r="X640">
        <v>848.17999299999997</v>
      </c>
      <c r="Y640" s="4">
        <f t="shared" si="146"/>
        <v>8.3575685661514496E-3</v>
      </c>
      <c r="Z640" s="4">
        <f t="shared" si="148"/>
        <v>-0.26077446908930962</v>
      </c>
      <c r="AA640">
        <v>48.8</v>
      </c>
      <c r="AB640">
        <f t="shared" si="149"/>
        <v>50.7</v>
      </c>
      <c r="AP640" s="3">
        <v>37653</v>
      </c>
      <c r="AQ640" s="2">
        <v>51.3</v>
      </c>
      <c r="AR640" s="2" t="str">
        <f t="shared" si="150"/>
        <v>-</v>
      </c>
      <c r="AS640" s="2">
        <v>58.2</v>
      </c>
      <c r="AT640" s="8" t="str">
        <f t="shared" si="151"/>
        <v>-</v>
      </c>
      <c r="AU640" s="2">
        <v>54.1</v>
      </c>
      <c r="AV640" s="8" t="str">
        <f t="shared" si="152"/>
        <v>+</v>
      </c>
      <c r="AW640" s="2">
        <v>47.4</v>
      </c>
      <c r="AX640" s="8" t="str">
        <f t="shared" si="153"/>
        <v>-</v>
      </c>
      <c r="AY640" s="2">
        <v>52.8</v>
      </c>
      <c r="AZ640" s="8" t="str">
        <f t="shared" si="154"/>
        <v>-</v>
      </c>
      <c r="BA640" s="2">
        <v>44.2</v>
      </c>
      <c r="BB640" s="8" t="str">
        <f t="shared" si="155"/>
        <v>-</v>
      </c>
      <c r="BC640" s="2">
        <v>42.5</v>
      </c>
      <c r="BD640" s="8" t="str">
        <f t="shared" si="156"/>
        <v>-</v>
      </c>
      <c r="BE640" s="2">
        <v>57.5</v>
      </c>
      <c r="BF640" s="8" t="str">
        <f t="shared" si="147"/>
        <v>+</v>
      </c>
      <c r="BG640" s="2">
        <v>45</v>
      </c>
      <c r="BH640" s="8" t="str">
        <f t="shared" si="157"/>
        <v>-</v>
      </c>
      <c r="BI640" s="2">
        <v>54.4</v>
      </c>
      <c r="BJ640" s="8" t="str">
        <f t="shared" si="158"/>
        <v>+</v>
      </c>
      <c r="BK640" s="2">
        <v>58.6</v>
      </c>
      <c r="BL640" s="8" t="str">
        <f t="shared" si="159"/>
        <v>+</v>
      </c>
    </row>
    <row r="641" spans="1:64">
      <c r="A641" s="1">
        <v>37712</v>
      </c>
      <c r="B641">
        <v>46.3</v>
      </c>
      <c r="C641">
        <v>47.2</v>
      </c>
      <c r="D641">
        <v>42.2</v>
      </c>
      <c r="E641">
        <v>47</v>
      </c>
      <c r="F641">
        <v>52.6</v>
      </c>
      <c r="G641">
        <v>42.3</v>
      </c>
      <c r="H641">
        <v>42</v>
      </c>
      <c r="I641">
        <v>70</v>
      </c>
      <c r="J641">
        <v>41.5</v>
      </c>
      <c r="K641">
        <v>51.3</v>
      </c>
      <c r="L641">
        <v>53.3</v>
      </c>
      <c r="W641" s="1">
        <v>37712</v>
      </c>
      <c r="X641">
        <v>916.919983</v>
      </c>
      <c r="Y641" s="4">
        <f t="shared" si="146"/>
        <v>8.1044106872726049E-2</v>
      </c>
      <c r="Z641" s="4">
        <f t="shared" si="148"/>
        <v>-0.14857190363521544</v>
      </c>
      <c r="AA641">
        <v>46.3</v>
      </c>
      <c r="AB641">
        <f t="shared" si="149"/>
        <v>52.4</v>
      </c>
      <c r="AP641" s="3">
        <v>37681</v>
      </c>
      <c r="AQ641" s="2">
        <v>48.8</v>
      </c>
      <c r="AR641" s="2" t="str">
        <f t="shared" si="150"/>
        <v>-</v>
      </c>
      <c r="AS641" s="2">
        <v>51.9</v>
      </c>
      <c r="AT641" s="8" t="str">
        <f t="shared" si="151"/>
        <v>-</v>
      </c>
      <c r="AU641" s="2">
        <v>53.6</v>
      </c>
      <c r="AV641" s="8" t="str">
        <f t="shared" si="152"/>
        <v>-</v>
      </c>
      <c r="AW641" s="2">
        <v>42.6</v>
      </c>
      <c r="AX641" s="8" t="str">
        <f t="shared" si="153"/>
        <v>-</v>
      </c>
      <c r="AY641" s="2">
        <v>52.8</v>
      </c>
      <c r="AZ641" s="8" t="str">
        <f t="shared" si="154"/>
        <v>+</v>
      </c>
      <c r="BA641" s="2">
        <v>43</v>
      </c>
      <c r="BB641" s="8" t="str">
        <f t="shared" si="155"/>
        <v>-</v>
      </c>
      <c r="BC641" s="2">
        <v>46</v>
      </c>
      <c r="BD641" s="8" t="str">
        <f t="shared" si="156"/>
        <v>+</v>
      </c>
      <c r="BE641" s="2">
        <v>65.5</v>
      </c>
      <c r="BF641" s="8" t="str">
        <f t="shared" si="147"/>
        <v>+</v>
      </c>
      <c r="BG641" s="2">
        <v>49</v>
      </c>
      <c r="BH641" s="8" t="str">
        <f t="shared" si="157"/>
        <v>+</v>
      </c>
      <c r="BI641" s="2">
        <v>55.2</v>
      </c>
      <c r="BJ641" s="8" t="str">
        <f t="shared" si="158"/>
        <v>+</v>
      </c>
      <c r="BK641" s="2">
        <v>54.6</v>
      </c>
      <c r="BL641" s="8" t="str">
        <f t="shared" si="159"/>
        <v>-</v>
      </c>
    </row>
    <row r="642" spans="1:64">
      <c r="A642" s="1">
        <v>37742</v>
      </c>
      <c r="B642">
        <v>46.1</v>
      </c>
      <c r="C642">
        <v>47.2</v>
      </c>
      <c r="D642">
        <v>41.8</v>
      </c>
      <c r="E642">
        <v>48.5</v>
      </c>
      <c r="F642">
        <v>49.9</v>
      </c>
      <c r="G642">
        <v>43.1</v>
      </c>
      <c r="H642">
        <v>44.5</v>
      </c>
      <c r="I642">
        <v>63.5</v>
      </c>
      <c r="J642">
        <v>47.5</v>
      </c>
      <c r="K642">
        <v>50.8</v>
      </c>
      <c r="L642">
        <v>54.8</v>
      </c>
      <c r="W642" s="1">
        <v>37742</v>
      </c>
      <c r="X642">
        <v>963.59002699999996</v>
      </c>
      <c r="Y642" s="4">
        <f t="shared" si="146"/>
        <v>5.0898709664177928E-2</v>
      </c>
      <c r="Z642" s="4">
        <f t="shared" si="148"/>
        <v>-9.7035053080640019E-2</v>
      </c>
      <c r="AA642">
        <v>46.1</v>
      </c>
      <c r="AB642">
        <f t="shared" si="149"/>
        <v>52.4</v>
      </c>
      <c r="AP642" s="3">
        <v>37712</v>
      </c>
      <c r="AQ642" s="2">
        <v>46.3</v>
      </c>
      <c r="AR642" s="2" t="str">
        <f t="shared" si="150"/>
        <v>-</v>
      </c>
      <c r="AS642" s="2">
        <v>47.2</v>
      </c>
      <c r="AT642" s="8" t="str">
        <f t="shared" si="151"/>
        <v>-</v>
      </c>
      <c r="AU642" s="2">
        <v>47</v>
      </c>
      <c r="AV642" s="8" t="str">
        <f t="shared" si="152"/>
        <v>-</v>
      </c>
      <c r="AW642" s="2">
        <v>42.2</v>
      </c>
      <c r="AX642" s="8" t="str">
        <f t="shared" si="153"/>
        <v>-</v>
      </c>
      <c r="AY642" s="2">
        <v>52.6</v>
      </c>
      <c r="AZ642" s="8" t="str">
        <f t="shared" si="154"/>
        <v>-</v>
      </c>
      <c r="BA642" s="2">
        <v>42.3</v>
      </c>
      <c r="BB642" s="8" t="str">
        <f t="shared" si="155"/>
        <v>-</v>
      </c>
      <c r="BC642" s="2">
        <v>42</v>
      </c>
      <c r="BD642" s="8" t="str">
        <f t="shared" si="156"/>
        <v>-</v>
      </c>
      <c r="BE642" s="2">
        <v>70</v>
      </c>
      <c r="BF642" s="8" t="str">
        <f t="shared" si="147"/>
        <v>+</v>
      </c>
      <c r="BG642" s="2">
        <v>41.5</v>
      </c>
      <c r="BH642" s="8" t="str">
        <f t="shared" si="157"/>
        <v>-</v>
      </c>
      <c r="BI642" s="2">
        <v>51.3</v>
      </c>
      <c r="BJ642" s="8" t="str">
        <f t="shared" si="158"/>
        <v>-</v>
      </c>
      <c r="BK642" s="2">
        <v>53.3</v>
      </c>
      <c r="BL642" s="8" t="str">
        <f t="shared" si="159"/>
        <v>-</v>
      </c>
    </row>
    <row r="643" spans="1:64">
      <c r="A643" s="1">
        <v>37773</v>
      </c>
      <c r="B643">
        <v>49</v>
      </c>
      <c r="C643">
        <v>53.4</v>
      </c>
      <c r="D643">
        <v>42.4</v>
      </c>
      <c r="E643">
        <v>52.9</v>
      </c>
      <c r="F643">
        <v>50.6</v>
      </c>
      <c r="G643">
        <v>45.7</v>
      </c>
      <c r="H643">
        <v>45</v>
      </c>
      <c r="I643">
        <v>51.5</v>
      </c>
      <c r="J643">
        <v>51</v>
      </c>
      <c r="K643">
        <v>51.7</v>
      </c>
      <c r="L643">
        <v>52.2</v>
      </c>
      <c r="W643" s="1">
        <v>37773</v>
      </c>
      <c r="X643">
        <v>974.5</v>
      </c>
      <c r="Y643" s="4">
        <f t="shared" si="146"/>
        <v>1.132221452516137E-2</v>
      </c>
      <c r="Z643" s="4">
        <f t="shared" si="148"/>
        <v>-1.5477568539388023E-2</v>
      </c>
      <c r="AA643">
        <v>49</v>
      </c>
      <c r="AB643">
        <f t="shared" si="149"/>
        <v>53.1</v>
      </c>
      <c r="AP643" s="3">
        <v>37742</v>
      </c>
      <c r="AQ643" s="2">
        <v>46.1</v>
      </c>
      <c r="AR643" s="2" t="str">
        <f t="shared" si="150"/>
        <v>-</v>
      </c>
      <c r="AS643" s="2">
        <v>47.2</v>
      </c>
      <c r="AT643" s="8" t="str">
        <f t="shared" si="151"/>
        <v>+</v>
      </c>
      <c r="AU643" s="2">
        <v>48.5</v>
      </c>
      <c r="AV643" s="8" t="str">
        <f t="shared" si="152"/>
        <v>+</v>
      </c>
      <c r="AW643" s="2">
        <v>41.8</v>
      </c>
      <c r="AX643" s="8" t="str">
        <f t="shared" si="153"/>
        <v>-</v>
      </c>
      <c r="AY643" s="2">
        <v>49.9</v>
      </c>
      <c r="AZ643" s="8" t="str">
        <f t="shared" si="154"/>
        <v>-</v>
      </c>
      <c r="BA643" s="2">
        <v>43.1</v>
      </c>
      <c r="BB643" s="8" t="str">
        <f t="shared" si="155"/>
        <v>+</v>
      </c>
      <c r="BC643" s="2">
        <v>44.5</v>
      </c>
      <c r="BD643" s="8" t="str">
        <f t="shared" si="156"/>
        <v>+</v>
      </c>
      <c r="BE643" s="2">
        <v>63.5</v>
      </c>
      <c r="BF643" s="8" t="str">
        <f t="shared" si="147"/>
        <v>-</v>
      </c>
      <c r="BG643" s="2">
        <v>47.5</v>
      </c>
      <c r="BH643" s="8" t="str">
        <f t="shared" si="157"/>
        <v>+</v>
      </c>
      <c r="BI643" s="2">
        <v>50.8</v>
      </c>
      <c r="BJ643" s="8" t="str">
        <f t="shared" si="158"/>
        <v>-</v>
      </c>
      <c r="BK643" s="2">
        <v>54.8</v>
      </c>
      <c r="BL643" s="8" t="str">
        <f t="shared" si="159"/>
        <v>+</v>
      </c>
    </row>
    <row r="644" spans="1:64">
      <c r="A644" s="1">
        <v>37803</v>
      </c>
      <c r="B644">
        <v>49</v>
      </c>
      <c r="C644">
        <v>53.6</v>
      </c>
      <c r="D644">
        <v>45.6</v>
      </c>
      <c r="E644">
        <v>54.1</v>
      </c>
      <c r="F644">
        <v>49.8</v>
      </c>
      <c r="G644">
        <v>42</v>
      </c>
      <c r="H644">
        <v>45.5</v>
      </c>
      <c r="I644">
        <v>56.5</v>
      </c>
      <c r="J644">
        <v>50</v>
      </c>
      <c r="K644">
        <v>54.6</v>
      </c>
      <c r="L644">
        <v>55.9</v>
      </c>
      <c r="W644" s="1">
        <v>37803</v>
      </c>
      <c r="X644">
        <v>990.30999799999995</v>
      </c>
      <c r="Y644" s="4">
        <f t="shared" ref="Y644:Y707" si="160">(X644-X643)/X643</f>
        <v>1.6223702411493023E-2</v>
      </c>
      <c r="Z644" s="4">
        <f t="shared" si="148"/>
        <v>8.6318864693177261E-2</v>
      </c>
      <c r="AA644">
        <v>49</v>
      </c>
      <c r="AB644">
        <f t="shared" si="149"/>
        <v>53.6</v>
      </c>
      <c r="AP644" s="3">
        <v>37773</v>
      </c>
      <c r="AQ644" s="2">
        <v>49</v>
      </c>
      <c r="AR644" s="2" t="str">
        <f t="shared" si="150"/>
        <v>+</v>
      </c>
      <c r="AS644" s="2">
        <v>53.4</v>
      </c>
      <c r="AT644" s="8" t="str">
        <f t="shared" si="151"/>
        <v>+</v>
      </c>
      <c r="AU644" s="2">
        <v>52.9</v>
      </c>
      <c r="AV644" s="8" t="str">
        <f t="shared" si="152"/>
        <v>+</v>
      </c>
      <c r="AW644" s="2">
        <v>42.4</v>
      </c>
      <c r="AX644" s="8" t="str">
        <f t="shared" si="153"/>
        <v>+</v>
      </c>
      <c r="AY644" s="2">
        <v>50.6</v>
      </c>
      <c r="AZ644" s="8" t="str">
        <f t="shared" si="154"/>
        <v>+</v>
      </c>
      <c r="BA644" s="2">
        <v>45.7</v>
      </c>
      <c r="BB644" s="8" t="str">
        <f t="shared" si="155"/>
        <v>+</v>
      </c>
      <c r="BC644" s="2">
        <v>45</v>
      </c>
      <c r="BD644" s="8" t="str">
        <f t="shared" si="156"/>
        <v>+</v>
      </c>
      <c r="BE644" s="2">
        <v>51.5</v>
      </c>
      <c r="BF644" s="8" t="str">
        <f t="shared" si="147"/>
        <v>-</v>
      </c>
      <c r="BG644" s="2">
        <v>51</v>
      </c>
      <c r="BH644" s="8" t="str">
        <f t="shared" si="157"/>
        <v>+</v>
      </c>
      <c r="BI644" s="2">
        <v>51.7</v>
      </c>
      <c r="BJ644" s="8" t="str">
        <f t="shared" si="158"/>
        <v>+</v>
      </c>
      <c r="BK644" s="2">
        <v>52.2</v>
      </c>
      <c r="BL644" s="8" t="str">
        <f t="shared" si="159"/>
        <v>-</v>
      </c>
    </row>
    <row r="645" spans="1:64">
      <c r="A645" s="1">
        <v>37834</v>
      </c>
      <c r="B645">
        <v>51</v>
      </c>
      <c r="C645">
        <v>56.8</v>
      </c>
      <c r="D645">
        <v>46.3</v>
      </c>
      <c r="E645">
        <v>53.9</v>
      </c>
      <c r="F645">
        <v>51.5</v>
      </c>
      <c r="G645">
        <v>46.3</v>
      </c>
      <c r="H645">
        <v>42.5</v>
      </c>
      <c r="I645">
        <v>53</v>
      </c>
      <c r="J645">
        <v>51</v>
      </c>
      <c r="K645">
        <v>54.4</v>
      </c>
      <c r="L645">
        <v>54.9</v>
      </c>
      <c r="W645" s="1">
        <v>37834</v>
      </c>
      <c r="X645">
        <v>1008.01001</v>
      </c>
      <c r="Y645" s="4">
        <f t="shared" si="160"/>
        <v>1.7873203376464364E-2</v>
      </c>
      <c r="Z645" s="4">
        <f t="shared" si="148"/>
        <v>0.10036351184675335</v>
      </c>
      <c r="AA645">
        <v>51</v>
      </c>
      <c r="AB645">
        <f t="shared" si="149"/>
        <v>50.2</v>
      </c>
      <c r="AP645" s="3">
        <v>37803</v>
      </c>
      <c r="AQ645" s="2">
        <v>49</v>
      </c>
      <c r="AR645" s="2" t="str">
        <f t="shared" si="150"/>
        <v>+</v>
      </c>
      <c r="AS645" s="2">
        <v>53.6</v>
      </c>
      <c r="AT645" s="8" t="str">
        <f t="shared" si="151"/>
        <v>+</v>
      </c>
      <c r="AU645" s="2">
        <v>54.1</v>
      </c>
      <c r="AV645" s="8" t="str">
        <f t="shared" si="152"/>
        <v>+</v>
      </c>
      <c r="AW645" s="2">
        <v>45.6</v>
      </c>
      <c r="AX645" s="8" t="str">
        <f t="shared" si="153"/>
        <v>+</v>
      </c>
      <c r="AY645" s="2">
        <v>49.8</v>
      </c>
      <c r="AZ645" s="8" t="str">
        <f t="shared" si="154"/>
        <v>-</v>
      </c>
      <c r="BA645" s="2">
        <v>42</v>
      </c>
      <c r="BB645" s="8" t="str">
        <f t="shared" si="155"/>
        <v>-</v>
      </c>
      <c r="BC645" s="2">
        <v>45.5</v>
      </c>
      <c r="BD645" s="8" t="str">
        <f t="shared" si="156"/>
        <v>+</v>
      </c>
      <c r="BE645" s="2">
        <v>56.5</v>
      </c>
      <c r="BF645" s="8" t="str">
        <f t="shared" si="147"/>
        <v>+</v>
      </c>
      <c r="BG645" s="2">
        <v>50</v>
      </c>
      <c r="BH645" s="8" t="str">
        <f t="shared" si="157"/>
        <v>-</v>
      </c>
      <c r="BI645" s="2">
        <v>54.6</v>
      </c>
      <c r="BJ645" s="8" t="str">
        <f t="shared" si="158"/>
        <v>+</v>
      </c>
      <c r="BK645" s="2">
        <v>55.9</v>
      </c>
      <c r="BL645" s="8" t="str">
        <f t="shared" si="159"/>
        <v>+</v>
      </c>
    </row>
    <row r="646" spans="1:64">
      <c r="A646" s="1">
        <v>37865</v>
      </c>
      <c r="B646">
        <v>53.2</v>
      </c>
      <c r="C646">
        <v>61.1</v>
      </c>
      <c r="D646">
        <v>47.1</v>
      </c>
      <c r="E646">
        <v>61.8</v>
      </c>
      <c r="F646">
        <v>53</v>
      </c>
      <c r="G646">
        <v>43.1</v>
      </c>
      <c r="H646">
        <v>43</v>
      </c>
      <c r="I646">
        <v>53</v>
      </c>
      <c r="J646">
        <v>51.5</v>
      </c>
      <c r="K646">
        <v>56.4</v>
      </c>
      <c r="L646">
        <v>55.2</v>
      </c>
      <c r="W646" s="1">
        <v>37865</v>
      </c>
      <c r="X646">
        <v>995.96997099999999</v>
      </c>
      <c r="Y646" s="4">
        <f t="shared" si="160"/>
        <v>-1.1944364520745165E-2</v>
      </c>
      <c r="Z646" s="4">
        <f t="shared" si="148"/>
        <v>0.22162929983901269</v>
      </c>
      <c r="AA646">
        <v>53.2</v>
      </c>
      <c r="AB646">
        <f t="shared" si="149"/>
        <v>50.3</v>
      </c>
      <c r="AP646" s="3">
        <v>37834</v>
      </c>
      <c r="AQ646" s="2">
        <v>51</v>
      </c>
      <c r="AR646" s="2" t="str">
        <f t="shared" si="150"/>
        <v>+</v>
      </c>
      <c r="AS646" s="2">
        <v>56.8</v>
      </c>
      <c r="AT646" s="8" t="str">
        <f t="shared" si="151"/>
        <v>+</v>
      </c>
      <c r="AU646" s="2">
        <v>53.9</v>
      </c>
      <c r="AV646" s="8" t="str">
        <f t="shared" si="152"/>
        <v>-</v>
      </c>
      <c r="AW646" s="2">
        <v>46.3</v>
      </c>
      <c r="AX646" s="8" t="str">
        <f t="shared" si="153"/>
        <v>+</v>
      </c>
      <c r="AY646" s="2">
        <v>51.5</v>
      </c>
      <c r="AZ646" s="8" t="str">
        <f t="shared" si="154"/>
        <v>+</v>
      </c>
      <c r="BA646" s="2">
        <v>46.3</v>
      </c>
      <c r="BB646" s="8" t="str">
        <f t="shared" si="155"/>
        <v>+</v>
      </c>
      <c r="BC646" s="2">
        <v>42.5</v>
      </c>
      <c r="BD646" s="8" t="str">
        <f t="shared" si="156"/>
        <v>-</v>
      </c>
      <c r="BE646" s="2">
        <v>53</v>
      </c>
      <c r="BF646" s="8" t="str">
        <f t="shared" ref="BF646:BF709" si="161">IF(OR(BE646&gt;BE645,BE646=BE645),"+","-")</f>
        <v>-</v>
      </c>
      <c r="BG646" s="2">
        <v>51</v>
      </c>
      <c r="BH646" s="8" t="str">
        <f t="shared" si="157"/>
        <v>+</v>
      </c>
      <c r="BI646" s="2">
        <v>54.4</v>
      </c>
      <c r="BJ646" s="8" t="str">
        <f t="shared" si="158"/>
        <v>-</v>
      </c>
      <c r="BK646" s="2">
        <v>54.9</v>
      </c>
      <c r="BL646" s="8" t="str">
        <f t="shared" si="159"/>
        <v>-</v>
      </c>
    </row>
    <row r="647" spans="1:64">
      <c r="A647" s="1">
        <v>37895</v>
      </c>
      <c r="B647">
        <v>52.4</v>
      </c>
      <c r="C647">
        <v>60.8</v>
      </c>
      <c r="D647">
        <v>46.5</v>
      </c>
      <c r="E647">
        <v>57.8</v>
      </c>
      <c r="F647">
        <v>53.4</v>
      </c>
      <c r="G647">
        <v>43.4</v>
      </c>
      <c r="H647">
        <v>44.5</v>
      </c>
      <c r="I647">
        <v>56</v>
      </c>
      <c r="J647">
        <v>52.5</v>
      </c>
      <c r="K647">
        <v>54.5</v>
      </c>
      <c r="L647">
        <v>61.4</v>
      </c>
      <c r="W647" s="1">
        <v>37895</v>
      </c>
      <c r="X647">
        <v>1050.709961</v>
      </c>
      <c r="Y647" s="4">
        <f t="shared" si="160"/>
        <v>5.4961486384010702E-2</v>
      </c>
      <c r="Z647" s="4">
        <f t="shared" si="148"/>
        <v>0.18622420197091541</v>
      </c>
      <c r="AA647">
        <v>52.4</v>
      </c>
      <c r="AB647">
        <f t="shared" si="149"/>
        <v>50.5</v>
      </c>
      <c r="AP647" s="3">
        <v>37865</v>
      </c>
      <c r="AQ647" s="2">
        <v>53.2</v>
      </c>
      <c r="AR647" s="2" t="str">
        <f t="shared" si="150"/>
        <v>+</v>
      </c>
      <c r="AS647" s="2">
        <v>61.1</v>
      </c>
      <c r="AT647" s="8" t="str">
        <f t="shared" si="151"/>
        <v>+</v>
      </c>
      <c r="AU647" s="2">
        <v>61.8</v>
      </c>
      <c r="AV647" s="8" t="str">
        <f t="shared" si="152"/>
        <v>+</v>
      </c>
      <c r="AW647" s="2">
        <v>47.1</v>
      </c>
      <c r="AX647" s="8" t="str">
        <f t="shared" si="153"/>
        <v>+</v>
      </c>
      <c r="AY647" s="2">
        <v>53</v>
      </c>
      <c r="AZ647" s="8" t="str">
        <f t="shared" si="154"/>
        <v>+</v>
      </c>
      <c r="BA647" s="2">
        <v>43.1</v>
      </c>
      <c r="BB647" s="8" t="str">
        <f t="shared" si="155"/>
        <v>-</v>
      </c>
      <c r="BC647" s="2">
        <v>43</v>
      </c>
      <c r="BD647" s="8" t="str">
        <f t="shared" si="156"/>
        <v>+</v>
      </c>
      <c r="BE647" s="2">
        <v>53</v>
      </c>
      <c r="BF647" s="8" t="str">
        <f t="shared" si="161"/>
        <v>+</v>
      </c>
      <c r="BG647" s="2">
        <v>51.5</v>
      </c>
      <c r="BH647" s="8" t="str">
        <f t="shared" si="157"/>
        <v>+</v>
      </c>
      <c r="BI647" s="2">
        <v>56.4</v>
      </c>
      <c r="BJ647" s="8" t="str">
        <f t="shared" si="158"/>
        <v>+</v>
      </c>
      <c r="BK647" s="2">
        <v>55.2</v>
      </c>
      <c r="BL647" s="8" t="str">
        <f t="shared" si="159"/>
        <v>+</v>
      </c>
    </row>
    <row r="648" spans="1:64">
      <c r="A648" s="1">
        <v>37926</v>
      </c>
      <c r="B648">
        <v>55.2</v>
      </c>
      <c r="C648">
        <v>64.400000000000006</v>
      </c>
      <c r="D648">
        <v>48.6</v>
      </c>
      <c r="E648">
        <v>62.8</v>
      </c>
      <c r="F648">
        <v>54.6</v>
      </c>
      <c r="G648">
        <v>45.6</v>
      </c>
      <c r="H648">
        <v>39</v>
      </c>
      <c r="I648">
        <v>58.5</v>
      </c>
      <c r="J648">
        <v>53.5</v>
      </c>
      <c r="K648">
        <v>59.5</v>
      </c>
      <c r="L648">
        <v>59.2</v>
      </c>
      <c r="W648" s="1">
        <v>37926</v>
      </c>
      <c r="X648">
        <v>1058.1999510000001</v>
      </c>
      <c r="Y648" s="4">
        <f t="shared" si="160"/>
        <v>7.1285038478854151E-3</v>
      </c>
      <c r="Z648" s="4">
        <f t="shared" si="148"/>
        <v>0.1301811934726346</v>
      </c>
      <c r="AA648">
        <v>55.2</v>
      </c>
      <c r="AB648">
        <f t="shared" si="149"/>
        <v>49</v>
      </c>
      <c r="AP648" s="3">
        <v>37895</v>
      </c>
      <c r="AQ648" s="2">
        <v>52.4</v>
      </c>
      <c r="AR648" s="2" t="str">
        <f t="shared" si="150"/>
        <v>-</v>
      </c>
      <c r="AS648" s="2">
        <v>60.8</v>
      </c>
      <c r="AT648" s="8" t="str">
        <f t="shared" si="151"/>
        <v>-</v>
      </c>
      <c r="AU648" s="2">
        <v>57.8</v>
      </c>
      <c r="AV648" s="8" t="str">
        <f t="shared" si="152"/>
        <v>-</v>
      </c>
      <c r="AW648" s="2">
        <v>46.5</v>
      </c>
      <c r="AX648" s="8" t="str">
        <f t="shared" si="153"/>
        <v>-</v>
      </c>
      <c r="AY648" s="2">
        <v>53.4</v>
      </c>
      <c r="AZ648" s="8" t="str">
        <f t="shared" si="154"/>
        <v>+</v>
      </c>
      <c r="BA648" s="2">
        <v>43.4</v>
      </c>
      <c r="BB648" s="8" t="str">
        <f t="shared" si="155"/>
        <v>+</v>
      </c>
      <c r="BC648" s="2">
        <v>44.5</v>
      </c>
      <c r="BD648" s="8" t="str">
        <f t="shared" si="156"/>
        <v>+</v>
      </c>
      <c r="BE648" s="2">
        <v>56</v>
      </c>
      <c r="BF648" s="8" t="str">
        <f t="shared" si="161"/>
        <v>+</v>
      </c>
      <c r="BG648" s="2">
        <v>52.5</v>
      </c>
      <c r="BH648" s="8" t="str">
        <f t="shared" si="157"/>
        <v>+</v>
      </c>
      <c r="BI648" s="2">
        <v>54.5</v>
      </c>
      <c r="BJ648" s="8" t="str">
        <f t="shared" si="158"/>
        <v>-</v>
      </c>
      <c r="BK648" s="2">
        <v>61.4</v>
      </c>
      <c r="BL648" s="8" t="str">
        <f t="shared" si="159"/>
        <v>+</v>
      </c>
    </row>
    <row r="649" spans="1:64">
      <c r="A649" s="1">
        <v>37956</v>
      </c>
      <c r="B649">
        <v>58.4</v>
      </c>
      <c r="C649">
        <v>69.099999999999994</v>
      </c>
      <c r="D649">
        <v>50.4</v>
      </c>
      <c r="E649">
        <v>66.599999999999994</v>
      </c>
      <c r="F649">
        <v>56.4</v>
      </c>
      <c r="G649">
        <v>49.7</v>
      </c>
      <c r="H649">
        <v>39.5</v>
      </c>
      <c r="I649">
        <v>64</v>
      </c>
      <c r="J649">
        <v>59</v>
      </c>
      <c r="K649">
        <v>57.1</v>
      </c>
      <c r="L649">
        <v>61.4</v>
      </c>
      <c r="W649" s="1">
        <v>37956</v>
      </c>
      <c r="X649">
        <v>1111.920044</v>
      </c>
      <c r="Y649" s="4">
        <f t="shared" si="160"/>
        <v>5.0765541001239284E-2</v>
      </c>
      <c r="Z649" s="4">
        <f t="shared" si="148"/>
        <v>0.263803999856075</v>
      </c>
      <c r="AA649">
        <v>58.4</v>
      </c>
      <c r="AB649">
        <f t="shared" si="149"/>
        <v>48.5</v>
      </c>
      <c r="AP649" s="3">
        <v>37926</v>
      </c>
      <c r="AQ649" s="2">
        <v>55.2</v>
      </c>
      <c r="AR649" s="2" t="str">
        <f t="shared" si="150"/>
        <v>+</v>
      </c>
      <c r="AS649" s="2">
        <v>64.400000000000006</v>
      </c>
      <c r="AT649" s="8" t="str">
        <f t="shared" si="151"/>
        <v>+</v>
      </c>
      <c r="AU649" s="2">
        <v>62.8</v>
      </c>
      <c r="AV649" s="8" t="str">
        <f t="shared" si="152"/>
        <v>+</v>
      </c>
      <c r="AW649" s="2">
        <v>48.6</v>
      </c>
      <c r="AX649" s="8" t="str">
        <f t="shared" si="153"/>
        <v>+</v>
      </c>
      <c r="AY649" s="2">
        <v>54.6</v>
      </c>
      <c r="AZ649" s="8" t="str">
        <f t="shared" si="154"/>
        <v>+</v>
      </c>
      <c r="BA649" s="2">
        <v>45.6</v>
      </c>
      <c r="BB649" s="8" t="str">
        <f t="shared" si="155"/>
        <v>+</v>
      </c>
      <c r="BC649" s="2">
        <v>39</v>
      </c>
      <c r="BD649" s="8" t="str">
        <f t="shared" si="156"/>
        <v>-</v>
      </c>
      <c r="BE649" s="2">
        <v>58.5</v>
      </c>
      <c r="BF649" s="8" t="str">
        <f t="shared" si="161"/>
        <v>+</v>
      </c>
      <c r="BG649" s="2">
        <v>53.5</v>
      </c>
      <c r="BH649" s="8" t="str">
        <f t="shared" si="157"/>
        <v>+</v>
      </c>
      <c r="BI649" s="2">
        <v>59.5</v>
      </c>
      <c r="BJ649" s="8" t="str">
        <f t="shared" si="158"/>
        <v>+</v>
      </c>
      <c r="BK649" s="2">
        <v>59.2</v>
      </c>
      <c r="BL649" s="8" t="str">
        <f t="shared" si="159"/>
        <v>-</v>
      </c>
    </row>
    <row r="650" spans="1:64">
      <c r="A650" s="1">
        <v>37987</v>
      </c>
      <c r="B650">
        <v>60.1</v>
      </c>
      <c r="C650">
        <v>71.3</v>
      </c>
      <c r="D650">
        <v>54.1</v>
      </c>
      <c r="E650">
        <v>70</v>
      </c>
      <c r="F650">
        <v>59.3</v>
      </c>
      <c r="G650">
        <v>45.9</v>
      </c>
      <c r="H650">
        <v>39</v>
      </c>
      <c r="I650">
        <v>66</v>
      </c>
      <c r="J650">
        <v>61</v>
      </c>
      <c r="K650">
        <v>59.3</v>
      </c>
      <c r="L650">
        <v>57.8</v>
      </c>
      <c r="W650" s="1">
        <v>37987</v>
      </c>
      <c r="X650">
        <v>1131.130005</v>
      </c>
      <c r="Y650" s="4">
        <f t="shared" si="160"/>
        <v>1.7276387006114644E-2</v>
      </c>
      <c r="Z650" s="4">
        <f t="shared" si="148"/>
        <v>0.32187681329610635</v>
      </c>
      <c r="AA650">
        <v>60.1</v>
      </c>
      <c r="AB650">
        <f t="shared" si="149"/>
        <v>51.6</v>
      </c>
      <c r="AP650" s="3">
        <v>37956</v>
      </c>
      <c r="AQ650" s="2">
        <v>58.4</v>
      </c>
      <c r="AR650" s="2" t="str">
        <f t="shared" si="150"/>
        <v>+</v>
      </c>
      <c r="AS650" s="2">
        <v>69.099999999999994</v>
      </c>
      <c r="AT650" s="8" t="str">
        <f t="shared" si="151"/>
        <v>+</v>
      </c>
      <c r="AU650" s="2">
        <v>66.599999999999994</v>
      </c>
      <c r="AV650" s="8" t="str">
        <f t="shared" si="152"/>
        <v>+</v>
      </c>
      <c r="AW650" s="2">
        <v>50.4</v>
      </c>
      <c r="AX650" s="8" t="str">
        <f t="shared" si="153"/>
        <v>+</v>
      </c>
      <c r="AY650" s="2">
        <v>56.4</v>
      </c>
      <c r="AZ650" s="8" t="str">
        <f t="shared" si="154"/>
        <v>+</v>
      </c>
      <c r="BA650" s="2">
        <v>49.7</v>
      </c>
      <c r="BB650" s="8" t="str">
        <f t="shared" si="155"/>
        <v>+</v>
      </c>
      <c r="BC650" s="2">
        <v>39.5</v>
      </c>
      <c r="BD650" s="8" t="str">
        <f t="shared" si="156"/>
        <v>+</v>
      </c>
      <c r="BE650" s="2">
        <v>64</v>
      </c>
      <c r="BF650" s="8" t="str">
        <f t="shared" si="161"/>
        <v>+</v>
      </c>
      <c r="BG650" s="2">
        <v>59</v>
      </c>
      <c r="BH650" s="8" t="str">
        <f t="shared" si="157"/>
        <v>+</v>
      </c>
      <c r="BI650" s="2">
        <v>57.1</v>
      </c>
      <c r="BJ650" s="8" t="str">
        <f t="shared" si="158"/>
        <v>-</v>
      </c>
      <c r="BK650" s="2">
        <v>61.4</v>
      </c>
      <c r="BL650" s="8" t="str">
        <f t="shared" si="159"/>
        <v>+</v>
      </c>
    </row>
    <row r="651" spans="1:64">
      <c r="A651" s="1">
        <v>38018</v>
      </c>
      <c r="B651">
        <v>60.8</v>
      </c>
      <c r="C651">
        <v>70.599999999999994</v>
      </c>
      <c r="D651">
        <v>54.7</v>
      </c>
      <c r="E651">
        <v>69.3</v>
      </c>
      <c r="F651">
        <v>61.5</v>
      </c>
      <c r="G651">
        <v>47.9</v>
      </c>
      <c r="H651">
        <v>40</v>
      </c>
      <c r="I651">
        <v>75.5</v>
      </c>
      <c r="J651">
        <v>60.5</v>
      </c>
      <c r="K651">
        <v>57.2</v>
      </c>
      <c r="L651">
        <v>59.2</v>
      </c>
      <c r="W651" s="1">
        <v>38018</v>
      </c>
      <c r="X651">
        <v>1144.9399410000001</v>
      </c>
      <c r="Y651" s="4">
        <f t="shared" si="160"/>
        <v>1.2208973273589456E-2</v>
      </c>
      <c r="Z651" s="4">
        <f t="shared" si="148"/>
        <v>0.36116020725453851</v>
      </c>
      <c r="AA651">
        <v>60.8</v>
      </c>
      <c r="AB651">
        <f t="shared" si="149"/>
        <v>51.3</v>
      </c>
      <c r="AP651" s="3">
        <v>37987</v>
      </c>
      <c r="AQ651" s="2">
        <v>60.1</v>
      </c>
      <c r="AR651" s="2" t="str">
        <f t="shared" si="150"/>
        <v>+</v>
      </c>
      <c r="AS651" s="2">
        <v>71.3</v>
      </c>
      <c r="AT651" s="8" t="str">
        <f t="shared" si="151"/>
        <v>+</v>
      </c>
      <c r="AU651" s="2">
        <v>70</v>
      </c>
      <c r="AV651" s="8" t="str">
        <f t="shared" si="152"/>
        <v>+</v>
      </c>
      <c r="AW651" s="2">
        <v>54.1</v>
      </c>
      <c r="AX651" s="8" t="str">
        <f t="shared" si="153"/>
        <v>+</v>
      </c>
      <c r="AY651" s="2">
        <v>59.3</v>
      </c>
      <c r="AZ651" s="8" t="str">
        <f t="shared" si="154"/>
        <v>+</v>
      </c>
      <c r="BA651" s="2">
        <v>45.9</v>
      </c>
      <c r="BB651" s="8" t="str">
        <f t="shared" si="155"/>
        <v>-</v>
      </c>
      <c r="BC651" s="2">
        <v>39</v>
      </c>
      <c r="BD651" s="8" t="str">
        <f t="shared" si="156"/>
        <v>-</v>
      </c>
      <c r="BE651" s="2">
        <v>66</v>
      </c>
      <c r="BF651" s="8" t="str">
        <f t="shared" si="161"/>
        <v>+</v>
      </c>
      <c r="BG651" s="2">
        <v>61</v>
      </c>
      <c r="BH651" s="8" t="str">
        <f t="shared" si="157"/>
        <v>+</v>
      </c>
      <c r="BI651" s="2">
        <v>59.3</v>
      </c>
      <c r="BJ651" s="8" t="str">
        <f t="shared" si="158"/>
        <v>+</v>
      </c>
      <c r="BK651" s="2">
        <v>57.8</v>
      </c>
      <c r="BL651" s="8" t="str">
        <f t="shared" si="159"/>
        <v>-</v>
      </c>
    </row>
    <row r="652" spans="1:64">
      <c r="A652" s="1">
        <v>38047</v>
      </c>
      <c r="B652">
        <v>59.9</v>
      </c>
      <c r="C652">
        <v>66.5</v>
      </c>
      <c r="D652">
        <v>55.7</v>
      </c>
      <c r="E652">
        <v>65.599999999999994</v>
      </c>
      <c r="F652">
        <v>62.9</v>
      </c>
      <c r="G652">
        <v>49</v>
      </c>
      <c r="H652">
        <v>38.5</v>
      </c>
      <c r="I652">
        <v>81.5</v>
      </c>
      <c r="J652">
        <v>62</v>
      </c>
      <c r="K652">
        <v>55.1</v>
      </c>
      <c r="L652">
        <v>59.9</v>
      </c>
      <c r="W652" s="1">
        <v>38047</v>
      </c>
      <c r="X652">
        <v>1126.209961</v>
      </c>
      <c r="Y652" s="4">
        <f t="shared" si="160"/>
        <v>-1.6358919214261271E-2</v>
      </c>
      <c r="Z652" s="4">
        <f t="shared" si="148"/>
        <v>0.32779595167838399</v>
      </c>
      <c r="AA652">
        <v>59.9</v>
      </c>
      <c r="AB652">
        <f t="shared" si="149"/>
        <v>48.8</v>
      </c>
      <c r="AP652" s="3">
        <v>38018</v>
      </c>
      <c r="AQ652" s="2">
        <v>60.8</v>
      </c>
      <c r="AR652" s="2" t="str">
        <f t="shared" si="150"/>
        <v>+</v>
      </c>
      <c r="AS652" s="2">
        <v>70.599999999999994</v>
      </c>
      <c r="AT652" s="8" t="str">
        <f t="shared" si="151"/>
        <v>-</v>
      </c>
      <c r="AU652" s="2">
        <v>69.3</v>
      </c>
      <c r="AV652" s="8" t="str">
        <f t="shared" si="152"/>
        <v>-</v>
      </c>
      <c r="AW652" s="2">
        <v>54.7</v>
      </c>
      <c r="AX652" s="8" t="str">
        <f t="shared" si="153"/>
        <v>+</v>
      </c>
      <c r="AY652" s="2">
        <v>61.5</v>
      </c>
      <c r="AZ652" s="8" t="str">
        <f t="shared" si="154"/>
        <v>+</v>
      </c>
      <c r="BA652" s="2">
        <v>47.9</v>
      </c>
      <c r="BB652" s="8" t="str">
        <f t="shared" si="155"/>
        <v>+</v>
      </c>
      <c r="BC652" s="2">
        <v>40</v>
      </c>
      <c r="BD652" s="8" t="str">
        <f t="shared" si="156"/>
        <v>+</v>
      </c>
      <c r="BE652" s="2">
        <v>75.5</v>
      </c>
      <c r="BF652" s="8" t="str">
        <f t="shared" si="161"/>
        <v>+</v>
      </c>
      <c r="BG652" s="2">
        <v>60.5</v>
      </c>
      <c r="BH652" s="8" t="str">
        <f t="shared" si="157"/>
        <v>-</v>
      </c>
      <c r="BI652" s="2">
        <v>57.2</v>
      </c>
      <c r="BJ652" s="8" t="str">
        <f t="shared" si="158"/>
        <v>-</v>
      </c>
      <c r="BK652" s="2">
        <v>59.2</v>
      </c>
      <c r="BL652" s="8" t="str">
        <f t="shared" si="159"/>
        <v>+</v>
      </c>
    </row>
    <row r="653" spans="1:64">
      <c r="A653" s="1">
        <v>38078</v>
      </c>
      <c r="B653">
        <v>60.6</v>
      </c>
      <c r="C653">
        <v>64.599999999999994</v>
      </c>
      <c r="D653">
        <v>57</v>
      </c>
      <c r="E653">
        <v>66.8</v>
      </c>
      <c r="F653">
        <v>66.7</v>
      </c>
      <c r="G653">
        <v>48</v>
      </c>
      <c r="H653">
        <v>39.5</v>
      </c>
      <c r="I653">
        <v>86</v>
      </c>
      <c r="J653">
        <v>63.5</v>
      </c>
      <c r="K653">
        <v>60.2</v>
      </c>
      <c r="L653">
        <v>57.1</v>
      </c>
      <c r="W653" s="1">
        <v>38078</v>
      </c>
      <c r="X653">
        <v>1107.3000489999999</v>
      </c>
      <c r="Y653" s="4">
        <f t="shared" si="160"/>
        <v>-1.6790751862298683E-2</v>
      </c>
      <c r="Z653" s="4">
        <f t="shared" si="148"/>
        <v>0.20762996720510993</v>
      </c>
      <c r="AA653">
        <v>60.6</v>
      </c>
      <c r="AB653">
        <f t="shared" si="149"/>
        <v>46.3</v>
      </c>
      <c r="AP653" s="3">
        <v>38047</v>
      </c>
      <c r="AQ653" s="2">
        <v>59.9</v>
      </c>
      <c r="AR653" s="2" t="str">
        <f t="shared" si="150"/>
        <v>-</v>
      </c>
      <c r="AS653" s="2">
        <v>66.5</v>
      </c>
      <c r="AT653" s="8" t="str">
        <f t="shared" si="151"/>
        <v>-</v>
      </c>
      <c r="AU653" s="2">
        <v>65.599999999999994</v>
      </c>
      <c r="AV653" s="8" t="str">
        <f t="shared" si="152"/>
        <v>-</v>
      </c>
      <c r="AW653" s="2">
        <v>55.7</v>
      </c>
      <c r="AX653" s="8" t="str">
        <f t="shared" si="153"/>
        <v>+</v>
      </c>
      <c r="AY653" s="2">
        <v>62.9</v>
      </c>
      <c r="AZ653" s="8" t="str">
        <f t="shared" si="154"/>
        <v>+</v>
      </c>
      <c r="BA653" s="2">
        <v>49</v>
      </c>
      <c r="BB653" s="8" t="str">
        <f t="shared" si="155"/>
        <v>+</v>
      </c>
      <c r="BC653" s="2">
        <v>38.5</v>
      </c>
      <c r="BD653" s="8" t="str">
        <f t="shared" si="156"/>
        <v>-</v>
      </c>
      <c r="BE653" s="2">
        <v>81.5</v>
      </c>
      <c r="BF653" s="8" t="str">
        <f t="shared" si="161"/>
        <v>+</v>
      </c>
      <c r="BG653" s="2">
        <v>62</v>
      </c>
      <c r="BH653" s="8" t="str">
        <f t="shared" si="157"/>
        <v>+</v>
      </c>
      <c r="BI653" s="2">
        <v>55.1</v>
      </c>
      <c r="BJ653" s="8" t="str">
        <f t="shared" si="158"/>
        <v>-</v>
      </c>
      <c r="BK653" s="2">
        <v>59.9</v>
      </c>
      <c r="BL653" s="8" t="str">
        <f t="shared" si="159"/>
        <v>+</v>
      </c>
    </row>
    <row r="654" spans="1:64">
      <c r="A654" s="1">
        <v>38108</v>
      </c>
      <c r="B654">
        <v>60.6</v>
      </c>
      <c r="C654">
        <v>67.099999999999994</v>
      </c>
      <c r="D654">
        <v>57.2</v>
      </c>
      <c r="E654">
        <v>66.599999999999994</v>
      </c>
      <c r="F654">
        <v>66.7</v>
      </c>
      <c r="G654">
        <v>45.2</v>
      </c>
      <c r="H654">
        <v>40.5</v>
      </c>
      <c r="I654">
        <v>88</v>
      </c>
      <c r="J654">
        <v>66.5</v>
      </c>
      <c r="K654">
        <v>59.9</v>
      </c>
      <c r="L654">
        <v>58.7</v>
      </c>
      <c r="W654" s="1">
        <v>38108</v>
      </c>
      <c r="X654">
        <v>1120.6800539999999</v>
      </c>
      <c r="Y654" s="4">
        <f t="shared" si="160"/>
        <v>1.2083450201310325E-2</v>
      </c>
      <c r="Z654" s="4">
        <f t="shared" si="148"/>
        <v>0.16302579167312198</v>
      </c>
      <c r="AA654">
        <v>60.6</v>
      </c>
      <c r="AB654">
        <f t="shared" si="149"/>
        <v>46.1</v>
      </c>
      <c r="AP654" s="3">
        <v>38078</v>
      </c>
      <c r="AQ654" s="2">
        <v>60.6</v>
      </c>
      <c r="AR654" s="2" t="str">
        <f t="shared" si="150"/>
        <v>+</v>
      </c>
      <c r="AS654" s="2">
        <v>64.599999999999994</v>
      </c>
      <c r="AT654" s="8" t="str">
        <f t="shared" si="151"/>
        <v>-</v>
      </c>
      <c r="AU654" s="2">
        <v>66.8</v>
      </c>
      <c r="AV654" s="8" t="str">
        <f t="shared" si="152"/>
        <v>+</v>
      </c>
      <c r="AW654" s="2">
        <v>57</v>
      </c>
      <c r="AX654" s="8" t="str">
        <f t="shared" si="153"/>
        <v>+</v>
      </c>
      <c r="AY654" s="2">
        <v>66.7</v>
      </c>
      <c r="AZ654" s="8" t="str">
        <f t="shared" si="154"/>
        <v>+</v>
      </c>
      <c r="BA654" s="2">
        <v>48</v>
      </c>
      <c r="BB654" s="8" t="str">
        <f t="shared" si="155"/>
        <v>-</v>
      </c>
      <c r="BC654" s="2">
        <v>39.5</v>
      </c>
      <c r="BD654" s="8" t="str">
        <f t="shared" si="156"/>
        <v>+</v>
      </c>
      <c r="BE654" s="2">
        <v>86</v>
      </c>
      <c r="BF654" s="8" t="str">
        <f t="shared" si="161"/>
        <v>+</v>
      </c>
      <c r="BG654" s="2">
        <v>63.5</v>
      </c>
      <c r="BH654" s="8" t="str">
        <f t="shared" si="157"/>
        <v>+</v>
      </c>
      <c r="BI654" s="2">
        <v>60.2</v>
      </c>
      <c r="BJ654" s="8" t="str">
        <f t="shared" si="158"/>
        <v>+</v>
      </c>
      <c r="BK654" s="2">
        <v>57.1</v>
      </c>
      <c r="BL654" s="8" t="str">
        <f t="shared" si="159"/>
        <v>-</v>
      </c>
    </row>
    <row r="655" spans="1:64">
      <c r="A655" s="1">
        <v>38139</v>
      </c>
      <c r="B655">
        <v>61.4</v>
      </c>
      <c r="C655">
        <v>64.5</v>
      </c>
      <c r="D655">
        <v>60.1</v>
      </c>
      <c r="E655">
        <v>65.3</v>
      </c>
      <c r="F655">
        <v>68.3</v>
      </c>
      <c r="G655">
        <v>48.8</v>
      </c>
      <c r="H655">
        <v>37</v>
      </c>
      <c r="I655">
        <v>86</v>
      </c>
      <c r="J655">
        <v>63</v>
      </c>
      <c r="K655">
        <v>60</v>
      </c>
      <c r="L655">
        <v>58.8</v>
      </c>
      <c r="W655" s="1">
        <v>38139</v>
      </c>
      <c r="X655">
        <v>1140.839966</v>
      </c>
      <c r="Y655" s="4">
        <f t="shared" si="160"/>
        <v>1.7988998669195622E-2</v>
      </c>
      <c r="Z655" s="4">
        <f t="shared" ref="Z655:Z718" si="162">(X655-X643)/X643</f>
        <v>0.17069262801436635</v>
      </c>
      <c r="AA655">
        <v>61.4</v>
      </c>
      <c r="AB655">
        <f t="shared" ref="AB655:AB718" si="163">AA643</f>
        <v>49</v>
      </c>
      <c r="AP655" s="3">
        <v>38108</v>
      </c>
      <c r="AQ655" s="2">
        <v>60.6</v>
      </c>
      <c r="AR655" s="2" t="str">
        <f t="shared" si="150"/>
        <v>+</v>
      </c>
      <c r="AS655" s="2">
        <v>67.099999999999994</v>
      </c>
      <c r="AT655" s="8" t="str">
        <f t="shared" si="151"/>
        <v>+</v>
      </c>
      <c r="AU655" s="2">
        <v>66.599999999999994</v>
      </c>
      <c r="AV655" s="8" t="str">
        <f t="shared" si="152"/>
        <v>-</v>
      </c>
      <c r="AW655" s="2">
        <v>57.2</v>
      </c>
      <c r="AX655" s="8" t="str">
        <f t="shared" si="153"/>
        <v>+</v>
      </c>
      <c r="AY655" s="2">
        <v>66.7</v>
      </c>
      <c r="AZ655" s="8" t="str">
        <f t="shared" si="154"/>
        <v>+</v>
      </c>
      <c r="BA655" s="2">
        <v>45.2</v>
      </c>
      <c r="BB655" s="8" t="str">
        <f t="shared" si="155"/>
        <v>-</v>
      </c>
      <c r="BC655" s="2">
        <v>40.5</v>
      </c>
      <c r="BD655" s="8" t="str">
        <f t="shared" si="156"/>
        <v>+</v>
      </c>
      <c r="BE655" s="2">
        <v>88</v>
      </c>
      <c r="BF655" s="8" t="str">
        <f t="shared" si="161"/>
        <v>+</v>
      </c>
      <c r="BG655" s="2">
        <v>66.5</v>
      </c>
      <c r="BH655" s="8" t="str">
        <f t="shared" si="157"/>
        <v>+</v>
      </c>
      <c r="BI655" s="2">
        <v>59.9</v>
      </c>
      <c r="BJ655" s="8" t="str">
        <f t="shared" si="158"/>
        <v>-</v>
      </c>
      <c r="BK655" s="2">
        <v>58.7</v>
      </c>
      <c r="BL655" s="8" t="str">
        <f t="shared" si="159"/>
        <v>+</v>
      </c>
    </row>
    <row r="656" spans="1:64">
      <c r="A656" s="1">
        <v>38169</v>
      </c>
      <c r="B656">
        <v>60.5</v>
      </c>
      <c r="C656">
        <v>60.9</v>
      </c>
      <c r="D656">
        <v>59.4</v>
      </c>
      <c r="E656">
        <v>63.7</v>
      </c>
      <c r="F656">
        <v>67.099999999999994</v>
      </c>
      <c r="G656">
        <v>51.3</v>
      </c>
      <c r="H656">
        <v>39</v>
      </c>
      <c r="I656">
        <v>81</v>
      </c>
      <c r="J656">
        <v>58.5</v>
      </c>
      <c r="K656">
        <v>57.3</v>
      </c>
      <c r="L656">
        <v>57.5</v>
      </c>
      <c r="W656" s="1">
        <v>38169</v>
      </c>
      <c r="X656">
        <v>1101.719971</v>
      </c>
      <c r="Y656" s="4">
        <f t="shared" si="160"/>
        <v>-3.4290519411904981E-2</v>
      </c>
      <c r="Z656" s="4">
        <f t="shared" si="162"/>
        <v>0.11250009918611369</v>
      </c>
      <c r="AA656">
        <v>60.5</v>
      </c>
      <c r="AB656">
        <f t="shared" si="163"/>
        <v>49</v>
      </c>
      <c r="AP656" s="3">
        <v>38139</v>
      </c>
      <c r="AQ656" s="2">
        <v>61.4</v>
      </c>
      <c r="AR656" s="2" t="str">
        <f t="shared" si="150"/>
        <v>+</v>
      </c>
      <c r="AS656" s="2">
        <v>64.5</v>
      </c>
      <c r="AT656" s="8" t="str">
        <f t="shared" si="151"/>
        <v>-</v>
      </c>
      <c r="AU656" s="2">
        <v>65.3</v>
      </c>
      <c r="AV656" s="8" t="str">
        <f t="shared" si="152"/>
        <v>-</v>
      </c>
      <c r="AW656" s="2">
        <v>60.1</v>
      </c>
      <c r="AX656" s="8" t="str">
        <f t="shared" si="153"/>
        <v>+</v>
      </c>
      <c r="AY656" s="2">
        <v>68.3</v>
      </c>
      <c r="AZ656" s="8" t="str">
        <f t="shared" si="154"/>
        <v>+</v>
      </c>
      <c r="BA656" s="2">
        <v>48.8</v>
      </c>
      <c r="BB656" s="8" t="str">
        <f t="shared" si="155"/>
        <v>+</v>
      </c>
      <c r="BC656" s="2">
        <v>37</v>
      </c>
      <c r="BD656" s="8" t="str">
        <f t="shared" si="156"/>
        <v>-</v>
      </c>
      <c r="BE656" s="2">
        <v>86</v>
      </c>
      <c r="BF656" s="8" t="str">
        <f t="shared" si="161"/>
        <v>-</v>
      </c>
      <c r="BG656" s="2">
        <v>63</v>
      </c>
      <c r="BH656" s="8" t="str">
        <f t="shared" si="157"/>
        <v>-</v>
      </c>
      <c r="BI656" s="2">
        <v>60</v>
      </c>
      <c r="BJ656" s="8" t="str">
        <f t="shared" si="158"/>
        <v>+</v>
      </c>
      <c r="BK656" s="2">
        <v>58.8</v>
      </c>
      <c r="BL656" s="8" t="str">
        <f t="shared" si="159"/>
        <v>+</v>
      </c>
    </row>
    <row r="657" spans="1:64">
      <c r="A657" s="1">
        <v>38200</v>
      </c>
      <c r="B657">
        <v>59.9</v>
      </c>
      <c r="C657">
        <v>62.8</v>
      </c>
      <c r="D657">
        <v>57.4</v>
      </c>
      <c r="E657">
        <v>63.8</v>
      </c>
      <c r="F657">
        <v>64.5</v>
      </c>
      <c r="G657">
        <v>50.8</v>
      </c>
      <c r="H657">
        <v>37.5</v>
      </c>
      <c r="I657">
        <v>77</v>
      </c>
      <c r="J657">
        <v>58</v>
      </c>
      <c r="K657">
        <v>56.7</v>
      </c>
      <c r="L657">
        <v>58.8</v>
      </c>
      <c r="W657" s="1">
        <v>38200</v>
      </c>
      <c r="X657">
        <v>1104.23999</v>
      </c>
      <c r="Y657" s="4">
        <f t="shared" si="160"/>
        <v>2.2873498405522209E-3</v>
      </c>
      <c r="Z657" s="4">
        <f t="shared" si="162"/>
        <v>9.5465301976515163E-2</v>
      </c>
      <c r="AA657">
        <v>59.9</v>
      </c>
      <c r="AB657">
        <f t="shared" si="163"/>
        <v>51</v>
      </c>
      <c r="AP657" s="3">
        <v>38169</v>
      </c>
      <c r="AQ657" s="2">
        <v>60.5</v>
      </c>
      <c r="AR657" s="2" t="str">
        <f t="shared" si="150"/>
        <v>-</v>
      </c>
      <c r="AS657" s="2">
        <v>60.9</v>
      </c>
      <c r="AT657" s="8" t="str">
        <f t="shared" si="151"/>
        <v>-</v>
      </c>
      <c r="AU657" s="2">
        <v>63.7</v>
      </c>
      <c r="AV657" s="8" t="str">
        <f t="shared" si="152"/>
        <v>-</v>
      </c>
      <c r="AW657" s="2">
        <v>59.4</v>
      </c>
      <c r="AX657" s="8" t="str">
        <f t="shared" si="153"/>
        <v>-</v>
      </c>
      <c r="AY657" s="2">
        <v>67.099999999999994</v>
      </c>
      <c r="AZ657" s="8" t="str">
        <f t="shared" si="154"/>
        <v>-</v>
      </c>
      <c r="BA657" s="2">
        <v>51.3</v>
      </c>
      <c r="BB657" s="8" t="str">
        <f t="shared" si="155"/>
        <v>+</v>
      </c>
      <c r="BC657" s="2">
        <v>39</v>
      </c>
      <c r="BD657" s="8" t="str">
        <f t="shared" si="156"/>
        <v>+</v>
      </c>
      <c r="BE657" s="2">
        <v>81</v>
      </c>
      <c r="BF657" s="8" t="str">
        <f t="shared" si="161"/>
        <v>-</v>
      </c>
      <c r="BG657" s="2">
        <v>58.5</v>
      </c>
      <c r="BH657" s="8" t="str">
        <f t="shared" si="157"/>
        <v>-</v>
      </c>
      <c r="BI657" s="2">
        <v>57.3</v>
      </c>
      <c r="BJ657" s="8" t="str">
        <f t="shared" si="158"/>
        <v>-</v>
      </c>
      <c r="BK657" s="2">
        <v>57.5</v>
      </c>
      <c r="BL657" s="8" t="str">
        <f t="shared" si="159"/>
        <v>-</v>
      </c>
    </row>
    <row r="658" spans="1:64">
      <c r="A658" s="1">
        <v>38231</v>
      </c>
      <c r="B658">
        <v>58.5</v>
      </c>
      <c r="C658">
        <v>62.1</v>
      </c>
      <c r="D658">
        <v>56.4</v>
      </c>
      <c r="E658">
        <v>59.3</v>
      </c>
      <c r="F658">
        <v>62.8</v>
      </c>
      <c r="G658">
        <v>52.1</v>
      </c>
      <c r="H658">
        <v>45.5</v>
      </c>
      <c r="I658">
        <v>81.5</v>
      </c>
      <c r="J658">
        <v>55</v>
      </c>
      <c r="K658">
        <v>55.8</v>
      </c>
      <c r="L658">
        <v>58.3</v>
      </c>
      <c r="W658" s="1">
        <v>38231</v>
      </c>
      <c r="X658">
        <v>1114.579956</v>
      </c>
      <c r="Y658" s="4">
        <f t="shared" si="160"/>
        <v>9.3638756915514383E-3</v>
      </c>
      <c r="Z658" s="4">
        <f t="shared" si="162"/>
        <v>0.11908992083457108</v>
      </c>
      <c r="AA658">
        <v>58.5</v>
      </c>
      <c r="AB658">
        <f t="shared" si="163"/>
        <v>53.2</v>
      </c>
      <c r="AP658" s="3">
        <v>38200</v>
      </c>
      <c r="AQ658" s="2">
        <v>59.9</v>
      </c>
      <c r="AR658" s="2" t="str">
        <f t="shared" si="150"/>
        <v>-</v>
      </c>
      <c r="AS658" s="2">
        <v>62.8</v>
      </c>
      <c r="AT658" s="8" t="str">
        <f t="shared" si="151"/>
        <v>+</v>
      </c>
      <c r="AU658" s="2">
        <v>63.8</v>
      </c>
      <c r="AV658" s="8" t="str">
        <f t="shared" si="152"/>
        <v>+</v>
      </c>
      <c r="AW658" s="2">
        <v>57.4</v>
      </c>
      <c r="AX658" s="8" t="str">
        <f t="shared" si="153"/>
        <v>-</v>
      </c>
      <c r="AY658" s="2">
        <v>64.5</v>
      </c>
      <c r="AZ658" s="8" t="str">
        <f t="shared" si="154"/>
        <v>-</v>
      </c>
      <c r="BA658" s="2">
        <v>50.8</v>
      </c>
      <c r="BB658" s="8" t="str">
        <f t="shared" si="155"/>
        <v>-</v>
      </c>
      <c r="BC658" s="2">
        <v>37.5</v>
      </c>
      <c r="BD658" s="8" t="str">
        <f t="shared" si="156"/>
        <v>-</v>
      </c>
      <c r="BE658" s="2">
        <v>77</v>
      </c>
      <c r="BF658" s="8" t="str">
        <f t="shared" si="161"/>
        <v>-</v>
      </c>
      <c r="BG658" s="2">
        <v>58</v>
      </c>
      <c r="BH658" s="8" t="str">
        <f t="shared" si="157"/>
        <v>-</v>
      </c>
      <c r="BI658" s="2">
        <v>56.7</v>
      </c>
      <c r="BJ658" s="8" t="str">
        <f t="shared" si="158"/>
        <v>-</v>
      </c>
      <c r="BK658" s="2">
        <v>58.8</v>
      </c>
      <c r="BL658" s="8" t="str">
        <f t="shared" si="159"/>
        <v>+</v>
      </c>
    </row>
    <row r="659" spans="1:64">
      <c r="A659" s="1">
        <v>38261</v>
      </c>
      <c r="B659">
        <v>57.4</v>
      </c>
      <c r="C659">
        <v>57.7</v>
      </c>
      <c r="D659">
        <v>58</v>
      </c>
      <c r="E659">
        <v>59.8</v>
      </c>
      <c r="F659">
        <v>59.8</v>
      </c>
      <c r="G659">
        <v>51.6</v>
      </c>
      <c r="H659">
        <v>41.5</v>
      </c>
      <c r="I659">
        <v>76</v>
      </c>
      <c r="J659">
        <v>55</v>
      </c>
      <c r="K659">
        <v>53.5</v>
      </c>
      <c r="L659">
        <v>58.2</v>
      </c>
      <c r="W659" s="1">
        <v>38261</v>
      </c>
      <c r="X659">
        <v>1130.1999510000001</v>
      </c>
      <c r="Y659" s="4">
        <f t="shared" si="160"/>
        <v>1.4014243586487049E-2</v>
      </c>
      <c r="Z659" s="4">
        <f t="shared" si="162"/>
        <v>7.5653598947845166E-2</v>
      </c>
      <c r="AA659">
        <v>57.4</v>
      </c>
      <c r="AB659">
        <f t="shared" si="163"/>
        <v>52.4</v>
      </c>
      <c r="AP659" s="3">
        <v>38231</v>
      </c>
      <c r="AQ659" s="2">
        <v>58.5</v>
      </c>
      <c r="AR659" s="2" t="str">
        <f t="shared" si="150"/>
        <v>-</v>
      </c>
      <c r="AS659" s="2">
        <v>62.1</v>
      </c>
      <c r="AT659" s="8" t="str">
        <f t="shared" si="151"/>
        <v>-</v>
      </c>
      <c r="AU659" s="2">
        <v>59.3</v>
      </c>
      <c r="AV659" s="8" t="str">
        <f t="shared" si="152"/>
        <v>-</v>
      </c>
      <c r="AW659" s="2">
        <v>56.4</v>
      </c>
      <c r="AX659" s="8" t="str">
        <f t="shared" si="153"/>
        <v>-</v>
      </c>
      <c r="AY659" s="2">
        <v>62.8</v>
      </c>
      <c r="AZ659" s="8" t="str">
        <f t="shared" si="154"/>
        <v>-</v>
      </c>
      <c r="BA659" s="2">
        <v>52.1</v>
      </c>
      <c r="BB659" s="8" t="str">
        <f t="shared" si="155"/>
        <v>+</v>
      </c>
      <c r="BC659" s="2">
        <v>45.5</v>
      </c>
      <c r="BD659" s="8" t="str">
        <f t="shared" si="156"/>
        <v>+</v>
      </c>
      <c r="BE659" s="2">
        <v>81.5</v>
      </c>
      <c r="BF659" s="8" t="str">
        <f t="shared" si="161"/>
        <v>+</v>
      </c>
      <c r="BG659" s="2">
        <v>55</v>
      </c>
      <c r="BH659" s="8" t="str">
        <f t="shared" si="157"/>
        <v>-</v>
      </c>
      <c r="BI659" s="2">
        <v>55.8</v>
      </c>
      <c r="BJ659" s="8" t="str">
        <f t="shared" si="158"/>
        <v>-</v>
      </c>
      <c r="BK659" s="2">
        <v>58.3</v>
      </c>
      <c r="BL659" s="8" t="str">
        <f t="shared" si="159"/>
        <v>-</v>
      </c>
    </row>
    <row r="660" spans="1:64">
      <c r="A660" s="1">
        <v>38292</v>
      </c>
      <c r="B660">
        <v>56.3</v>
      </c>
      <c r="C660">
        <v>58.4</v>
      </c>
      <c r="D660">
        <v>55.5</v>
      </c>
      <c r="E660">
        <v>59.3</v>
      </c>
      <c r="F660">
        <v>59.2</v>
      </c>
      <c r="G660">
        <v>49.3</v>
      </c>
      <c r="H660">
        <v>43.5</v>
      </c>
      <c r="I660">
        <v>78.5</v>
      </c>
      <c r="J660">
        <v>49</v>
      </c>
      <c r="K660">
        <v>56.7</v>
      </c>
      <c r="L660">
        <v>59.2</v>
      </c>
      <c r="W660" s="1">
        <v>38292</v>
      </c>
      <c r="X660">
        <v>1173.8199460000001</v>
      </c>
      <c r="Y660" s="4">
        <f t="shared" si="160"/>
        <v>3.8594936198152442E-2</v>
      </c>
      <c r="Z660" s="4">
        <f t="shared" si="162"/>
        <v>0.10926100959534066</v>
      </c>
      <c r="AA660">
        <v>56.3</v>
      </c>
      <c r="AB660">
        <f t="shared" si="163"/>
        <v>55.2</v>
      </c>
      <c r="AP660" s="3">
        <v>38261</v>
      </c>
      <c r="AQ660" s="2">
        <v>57.4</v>
      </c>
      <c r="AR660" s="2" t="str">
        <f t="shared" si="150"/>
        <v>-</v>
      </c>
      <c r="AS660" s="2">
        <v>57.7</v>
      </c>
      <c r="AT660" s="8" t="str">
        <f t="shared" si="151"/>
        <v>-</v>
      </c>
      <c r="AU660" s="2">
        <v>59.8</v>
      </c>
      <c r="AV660" s="8" t="str">
        <f t="shared" si="152"/>
        <v>+</v>
      </c>
      <c r="AW660" s="2">
        <v>58</v>
      </c>
      <c r="AX660" s="8" t="str">
        <f t="shared" si="153"/>
        <v>+</v>
      </c>
      <c r="AY660" s="2">
        <v>59.8</v>
      </c>
      <c r="AZ660" s="8" t="str">
        <f t="shared" si="154"/>
        <v>-</v>
      </c>
      <c r="BA660" s="2">
        <v>51.6</v>
      </c>
      <c r="BB660" s="8" t="str">
        <f t="shared" si="155"/>
        <v>-</v>
      </c>
      <c r="BC660" s="2">
        <v>41.5</v>
      </c>
      <c r="BD660" s="8" t="str">
        <f t="shared" si="156"/>
        <v>-</v>
      </c>
      <c r="BE660" s="2">
        <v>76</v>
      </c>
      <c r="BF660" s="8" t="str">
        <f t="shared" si="161"/>
        <v>-</v>
      </c>
      <c r="BG660" s="2">
        <v>55</v>
      </c>
      <c r="BH660" s="8" t="str">
        <f t="shared" si="157"/>
        <v>+</v>
      </c>
      <c r="BI660" s="2">
        <v>53.5</v>
      </c>
      <c r="BJ660" s="8" t="str">
        <f t="shared" si="158"/>
        <v>-</v>
      </c>
      <c r="BK660" s="2">
        <v>58.2</v>
      </c>
      <c r="BL660" s="8" t="str">
        <f t="shared" si="159"/>
        <v>-</v>
      </c>
    </row>
    <row r="661" spans="1:64">
      <c r="A661" s="1">
        <v>38322</v>
      </c>
      <c r="B661">
        <v>56.2</v>
      </c>
      <c r="C661">
        <v>60.1</v>
      </c>
      <c r="D661">
        <v>56.9</v>
      </c>
      <c r="E661">
        <v>57.3</v>
      </c>
      <c r="F661">
        <v>56.8</v>
      </c>
      <c r="G661">
        <v>49.7</v>
      </c>
      <c r="H661">
        <v>43.5</v>
      </c>
      <c r="I661">
        <v>74</v>
      </c>
      <c r="J661">
        <v>47.5</v>
      </c>
      <c r="K661">
        <v>54.5</v>
      </c>
      <c r="L661">
        <v>58.8</v>
      </c>
      <c r="W661" s="1">
        <v>38322</v>
      </c>
      <c r="X661">
        <v>1211.920044</v>
      </c>
      <c r="Y661" s="4">
        <f t="shared" si="160"/>
        <v>3.2458213144045421E-2</v>
      </c>
      <c r="Z661" s="4">
        <f t="shared" si="162"/>
        <v>8.9934524105044378E-2</v>
      </c>
      <c r="AA661">
        <v>56.2</v>
      </c>
      <c r="AB661">
        <f t="shared" si="163"/>
        <v>58.4</v>
      </c>
      <c r="AP661" s="3">
        <v>38292</v>
      </c>
      <c r="AQ661" s="2">
        <v>56.3</v>
      </c>
      <c r="AR661" s="2" t="str">
        <f t="shared" si="150"/>
        <v>-</v>
      </c>
      <c r="AS661" s="2">
        <v>58.4</v>
      </c>
      <c r="AT661" s="8" t="str">
        <f t="shared" si="151"/>
        <v>+</v>
      </c>
      <c r="AU661" s="2">
        <v>59.3</v>
      </c>
      <c r="AV661" s="8" t="str">
        <f t="shared" si="152"/>
        <v>-</v>
      </c>
      <c r="AW661" s="2">
        <v>55.5</v>
      </c>
      <c r="AX661" s="8" t="str">
        <f t="shared" si="153"/>
        <v>-</v>
      </c>
      <c r="AY661" s="2">
        <v>59.2</v>
      </c>
      <c r="AZ661" s="8" t="str">
        <f t="shared" si="154"/>
        <v>-</v>
      </c>
      <c r="BA661" s="2">
        <v>49.3</v>
      </c>
      <c r="BB661" s="8" t="str">
        <f t="shared" si="155"/>
        <v>-</v>
      </c>
      <c r="BC661" s="2">
        <v>43.5</v>
      </c>
      <c r="BD661" s="8" t="str">
        <f t="shared" si="156"/>
        <v>+</v>
      </c>
      <c r="BE661" s="2">
        <v>78.5</v>
      </c>
      <c r="BF661" s="8" t="str">
        <f t="shared" si="161"/>
        <v>+</v>
      </c>
      <c r="BG661" s="2">
        <v>49</v>
      </c>
      <c r="BH661" s="8" t="str">
        <f t="shared" si="157"/>
        <v>-</v>
      </c>
      <c r="BI661" s="2">
        <v>56.7</v>
      </c>
      <c r="BJ661" s="8" t="str">
        <f t="shared" si="158"/>
        <v>+</v>
      </c>
      <c r="BK661" s="2">
        <v>59.2</v>
      </c>
      <c r="BL661" s="8" t="str">
        <f t="shared" si="159"/>
        <v>+</v>
      </c>
    </row>
    <row r="662" spans="1:64">
      <c r="A662" s="1">
        <v>38353</v>
      </c>
      <c r="B662">
        <v>57.2</v>
      </c>
      <c r="C662">
        <v>66.3</v>
      </c>
      <c r="D662">
        <v>53.8</v>
      </c>
      <c r="E662">
        <v>57.9</v>
      </c>
      <c r="F662">
        <v>55.3</v>
      </c>
      <c r="G662">
        <v>52.8</v>
      </c>
      <c r="H662">
        <v>44</v>
      </c>
      <c r="I662">
        <v>72</v>
      </c>
      <c r="J662">
        <v>54</v>
      </c>
      <c r="K662">
        <v>59.1</v>
      </c>
      <c r="L662">
        <v>60.8</v>
      </c>
      <c r="W662" s="1">
        <v>38353</v>
      </c>
      <c r="X662">
        <v>1181.2700199999999</v>
      </c>
      <c r="Y662" s="4">
        <f t="shared" si="160"/>
        <v>-2.5290467099494587E-2</v>
      </c>
      <c r="Z662" s="4">
        <f t="shared" si="162"/>
        <v>4.4327367126999646E-2</v>
      </c>
      <c r="AA662">
        <v>57.2</v>
      </c>
      <c r="AB662">
        <f t="shared" si="163"/>
        <v>60.1</v>
      </c>
      <c r="AP662" s="3">
        <v>38322</v>
      </c>
      <c r="AQ662" s="2">
        <v>56.2</v>
      </c>
      <c r="AR662" s="2" t="str">
        <f t="shared" si="150"/>
        <v>-</v>
      </c>
      <c r="AS662" s="2">
        <v>60.1</v>
      </c>
      <c r="AT662" s="8" t="str">
        <f t="shared" si="151"/>
        <v>+</v>
      </c>
      <c r="AU662" s="2">
        <v>57.3</v>
      </c>
      <c r="AV662" s="8" t="str">
        <f t="shared" si="152"/>
        <v>-</v>
      </c>
      <c r="AW662" s="2">
        <v>56.9</v>
      </c>
      <c r="AX662" s="8" t="str">
        <f t="shared" si="153"/>
        <v>+</v>
      </c>
      <c r="AY662" s="2">
        <v>56.8</v>
      </c>
      <c r="AZ662" s="8" t="str">
        <f t="shared" si="154"/>
        <v>-</v>
      </c>
      <c r="BA662" s="2">
        <v>49.7</v>
      </c>
      <c r="BB662" s="8" t="str">
        <f t="shared" si="155"/>
        <v>+</v>
      </c>
      <c r="BC662" s="2">
        <v>43.5</v>
      </c>
      <c r="BD662" s="8" t="str">
        <f t="shared" si="156"/>
        <v>+</v>
      </c>
      <c r="BE662" s="2">
        <v>74</v>
      </c>
      <c r="BF662" s="8" t="str">
        <f t="shared" si="161"/>
        <v>-</v>
      </c>
      <c r="BG662" s="2">
        <v>47.5</v>
      </c>
      <c r="BH662" s="8" t="str">
        <f t="shared" si="157"/>
        <v>-</v>
      </c>
      <c r="BI662" s="2">
        <v>54.5</v>
      </c>
      <c r="BJ662" s="8" t="str">
        <f t="shared" si="158"/>
        <v>-</v>
      </c>
      <c r="BK662" s="2">
        <v>58.8</v>
      </c>
      <c r="BL662" s="8" t="str">
        <f t="shared" si="159"/>
        <v>-</v>
      </c>
    </row>
    <row r="663" spans="1:64">
      <c r="A663" s="1">
        <v>38384</v>
      </c>
      <c r="B663">
        <v>56.8</v>
      </c>
      <c r="C663">
        <v>57.9</v>
      </c>
      <c r="D663">
        <v>58.6</v>
      </c>
      <c r="E663">
        <v>59.3</v>
      </c>
      <c r="F663">
        <v>54.7</v>
      </c>
      <c r="G663">
        <v>53.5</v>
      </c>
      <c r="H663">
        <v>44.5</v>
      </c>
      <c r="I663">
        <v>69</v>
      </c>
      <c r="J663">
        <v>50.5</v>
      </c>
      <c r="K663">
        <v>56.5</v>
      </c>
      <c r="L663">
        <v>61.1</v>
      </c>
      <c r="W663" s="1">
        <v>38384</v>
      </c>
      <c r="X663">
        <v>1203.599976</v>
      </c>
      <c r="Y663" s="4">
        <f t="shared" si="160"/>
        <v>1.8903346078316657E-2</v>
      </c>
      <c r="Z663" s="4">
        <f t="shared" si="162"/>
        <v>5.1234159015158223E-2</v>
      </c>
      <c r="AA663">
        <v>56.8</v>
      </c>
      <c r="AB663">
        <f t="shared" si="163"/>
        <v>60.8</v>
      </c>
      <c r="AP663" s="3">
        <v>38353</v>
      </c>
      <c r="AQ663" s="2">
        <v>57.2</v>
      </c>
      <c r="AR663" s="2" t="str">
        <f t="shared" si="150"/>
        <v>+</v>
      </c>
      <c r="AS663" s="2">
        <v>66.3</v>
      </c>
      <c r="AT663" s="8" t="str">
        <f t="shared" si="151"/>
        <v>+</v>
      </c>
      <c r="AU663" s="2">
        <v>57.9</v>
      </c>
      <c r="AV663" s="8" t="str">
        <f t="shared" si="152"/>
        <v>+</v>
      </c>
      <c r="AW663" s="2">
        <v>53.8</v>
      </c>
      <c r="AX663" s="8" t="str">
        <f t="shared" si="153"/>
        <v>-</v>
      </c>
      <c r="AY663" s="2">
        <v>55.3</v>
      </c>
      <c r="AZ663" s="8" t="str">
        <f t="shared" si="154"/>
        <v>-</v>
      </c>
      <c r="BA663" s="2">
        <v>52.8</v>
      </c>
      <c r="BB663" s="8" t="str">
        <f t="shared" si="155"/>
        <v>+</v>
      </c>
      <c r="BC663" s="2">
        <v>44</v>
      </c>
      <c r="BD663" s="8" t="str">
        <f t="shared" si="156"/>
        <v>+</v>
      </c>
      <c r="BE663" s="2">
        <v>72</v>
      </c>
      <c r="BF663" s="8" t="str">
        <f t="shared" si="161"/>
        <v>-</v>
      </c>
      <c r="BG663" s="2">
        <v>54</v>
      </c>
      <c r="BH663" s="8" t="str">
        <f t="shared" si="157"/>
        <v>+</v>
      </c>
      <c r="BI663" s="2">
        <v>59.1</v>
      </c>
      <c r="BJ663" s="8" t="str">
        <f t="shared" si="158"/>
        <v>+</v>
      </c>
      <c r="BK663" s="2">
        <v>60.8</v>
      </c>
      <c r="BL663" s="8" t="str">
        <f t="shared" si="159"/>
        <v>+</v>
      </c>
    </row>
    <row r="664" spans="1:64">
      <c r="A664" s="1">
        <v>38412</v>
      </c>
      <c r="B664">
        <v>55.5</v>
      </c>
      <c r="C664">
        <v>55.9</v>
      </c>
      <c r="D664">
        <v>56</v>
      </c>
      <c r="E664">
        <v>58.2</v>
      </c>
      <c r="F664">
        <v>56.5</v>
      </c>
      <c r="G664">
        <v>51</v>
      </c>
      <c r="H664">
        <v>42.5</v>
      </c>
      <c r="I664">
        <v>65.5</v>
      </c>
      <c r="J664">
        <v>50.5</v>
      </c>
      <c r="K664">
        <v>56.5</v>
      </c>
      <c r="L664">
        <v>60.7</v>
      </c>
      <c r="W664" s="1">
        <v>38412</v>
      </c>
      <c r="X664">
        <v>1180.589966</v>
      </c>
      <c r="Y664" s="4">
        <f t="shared" si="160"/>
        <v>-1.9117655748441098E-2</v>
      </c>
      <c r="Z664" s="4">
        <f t="shared" si="162"/>
        <v>4.8285849782143758E-2</v>
      </c>
      <c r="AA664">
        <v>55.5</v>
      </c>
      <c r="AB664">
        <f t="shared" si="163"/>
        <v>59.9</v>
      </c>
      <c r="AP664" s="3">
        <v>38384</v>
      </c>
      <c r="AQ664" s="2">
        <v>56.8</v>
      </c>
      <c r="AR664" s="2" t="str">
        <f t="shared" si="150"/>
        <v>-</v>
      </c>
      <c r="AS664" s="2">
        <v>57.9</v>
      </c>
      <c r="AT664" s="8" t="str">
        <f t="shared" si="151"/>
        <v>-</v>
      </c>
      <c r="AU664" s="2">
        <v>59.3</v>
      </c>
      <c r="AV664" s="8" t="str">
        <f t="shared" si="152"/>
        <v>+</v>
      </c>
      <c r="AW664" s="2">
        <v>58.6</v>
      </c>
      <c r="AX664" s="8" t="str">
        <f t="shared" si="153"/>
        <v>+</v>
      </c>
      <c r="AY664" s="2">
        <v>54.7</v>
      </c>
      <c r="AZ664" s="8" t="str">
        <f t="shared" si="154"/>
        <v>-</v>
      </c>
      <c r="BA664" s="2">
        <v>53.5</v>
      </c>
      <c r="BB664" s="8" t="str">
        <f t="shared" si="155"/>
        <v>+</v>
      </c>
      <c r="BC664" s="2">
        <v>44.5</v>
      </c>
      <c r="BD664" s="8" t="str">
        <f t="shared" si="156"/>
        <v>+</v>
      </c>
      <c r="BE664" s="2">
        <v>69</v>
      </c>
      <c r="BF664" s="8" t="str">
        <f t="shared" si="161"/>
        <v>-</v>
      </c>
      <c r="BG664" s="2">
        <v>50.5</v>
      </c>
      <c r="BH664" s="8" t="str">
        <f t="shared" si="157"/>
        <v>-</v>
      </c>
      <c r="BI664" s="2">
        <v>56.5</v>
      </c>
      <c r="BJ664" s="8" t="str">
        <f t="shared" si="158"/>
        <v>-</v>
      </c>
      <c r="BK664" s="2">
        <v>61.1</v>
      </c>
      <c r="BL664" s="8" t="str">
        <f t="shared" si="159"/>
        <v>+</v>
      </c>
    </row>
    <row r="665" spans="1:64">
      <c r="A665" s="1">
        <v>38443</v>
      </c>
      <c r="B665">
        <v>55.2</v>
      </c>
      <c r="C665">
        <v>57.7</v>
      </c>
      <c r="D665">
        <v>52.5</v>
      </c>
      <c r="E665">
        <v>57.5</v>
      </c>
      <c r="F665">
        <v>53.5</v>
      </c>
      <c r="G665">
        <v>55</v>
      </c>
      <c r="H665">
        <v>46</v>
      </c>
      <c r="I665">
        <v>73</v>
      </c>
      <c r="J665">
        <v>56</v>
      </c>
      <c r="K665">
        <v>55.1</v>
      </c>
      <c r="L665">
        <v>58.9</v>
      </c>
      <c r="W665" s="1">
        <v>38443</v>
      </c>
      <c r="X665">
        <v>1156.849976</v>
      </c>
      <c r="Y665" s="4">
        <f t="shared" si="160"/>
        <v>-2.0108581881679344E-2</v>
      </c>
      <c r="Z665" s="4">
        <f t="shared" si="162"/>
        <v>4.4748419405154408E-2</v>
      </c>
      <c r="AA665">
        <v>55.2</v>
      </c>
      <c r="AB665">
        <f t="shared" si="163"/>
        <v>60.6</v>
      </c>
      <c r="AP665" s="3">
        <v>38412</v>
      </c>
      <c r="AQ665" s="2">
        <v>55.5</v>
      </c>
      <c r="AR665" s="2" t="str">
        <f t="shared" si="150"/>
        <v>-</v>
      </c>
      <c r="AS665" s="2">
        <v>55.9</v>
      </c>
      <c r="AT665" s="8" t="str">
        <f t="shared" si="151"/>
        <v>-</v>
      </c>
      <c r="AU665" s="2">
        <v>58.2</v>
      </c>
      <c r="AV665" s="8" t="str">
        <f t="shared" si="152"/>
        <v>-</v>
      </c>
      <c r="AW665" s="2">
        <v>56</v>
      </c>
      <c r="AX665" s="8" t="str">
        <f t="shared" si="153"/>
        <v>-</v>
      </c>
      <c r="AY665" s="2">
        <v>56.5</v>
      </c>
      <c r="AZ665" s="8" t="str">
        <f t="shared" si="154"/>
        <v>+</v>
      </c>
      <c r="BA665" s="2">
        <v>51</v>
      </c>
      <c r="BB665" s="8" t="str">
        <f t="shared" si="155"/>
        <v>-</v>
      </c>
      <c r="BC665" s="2">
        <v>42.5</v>
      </c>
      <c r="BD665" s="8" t="str">
        <f t="shared" si="156"/>
        <v>-</v>
      </c>
      <c r="BE665" s="2">
        <v>65.5</v>
      </c>
      <c r="BF665" s="8" t="str">
        <f t="shared" si="161"/>
        <v>-</v>
      </c>
      <c r="BG665" s="2">
        <v>50.5</v>
      </c>
      <c r="BH665" s="8" t="str">
        <f t="shared" si="157"/>
        <v>+</v>
      </c>
      <c r="BI665" s="2">
        <v>56.5</v>
      </c>
      <c r="BJ665" s="8" t="str">
        <f t="shared" si="158"/>
        <v>+</v>
      </c>
      <c r="BK665" s="2">
        <v>60.7</v>
      </c>
      <c r="BL665" s="8" t="str">
        <f t="shared" si="159"/>
        <v>-</v>
      </c>
    </row>
    <row r="666" spans="1:64">
      <c r="A666" s="1">
        <v>38473</v>
      </c>
      <c r="B666">
        <v>52.2</v>
      </c>
      <c r="C666">
        <v>53.4</v>
      </c>
      <c r="D666">
        <v>53</v>
      </c>
      <c r="E666">
        <v>54.2</v>
      </c>
      <c r="F666">
        <v>51.8</v>
      </c>
      <c r="G666">
        <v>48.5</v>
      </c>
      <c r="H666">
        <v>41.5</v>
      </c>
      <c r="I666">
        <v>71</v>
      </c>
      <c r="J666">
        <v>53</v>
      </c>
      <c r="K666">
        <v>57</v>
      </c>
      <c r="L666">
        <v>56.7</v>
      </c>
      <c r="W666" s="1">
        <v>38473</v>
      </c>
      <c r="X666">
        <v>1191.5</v>
      </c>
      <c r="Y666" s="4">
        <f t="shared" si="160"/>
        <v>2.9952046262565708E-2</v>
      </c>
      <c r="Z666" s="4">
        <f t="shared" si="162"/>
        <v>6.3193723977887514E-2</v>
      </c>
      <c r="AA666">
        <v>52.2</v>
      </c>
      <c r="AB666">
        <f t="shared" si="163"/>
        <v>60.6</v>
      </c>
      <c r="AP666" s="3">
        <v>38443</v>
      </c>
      <c r="AQ666" s="2">
        <v>55.2</v>
      </c>
      <c r="AR666" s="2" t="str">
        <f t="shared" si="150"/>
        <v>-</v>
      </c>
      <c r="AS666" s="2">
        <v>57.7</v>
      </c>
      <c r="AT666" s="8" t="str">
        <f t="shared" si="151"/>
        <v>+</v>
      </c>
      <c r="AU666" s="2">
        <v>57.5</v>
      </c>
      <c r="AV666" s="8" t="str">
        <f t="shared" si="152"/>
        <v>-</v>
      </c>
      <c r="AW666" s="2">
        <v>52.5</v>
      </c>
      <c r="AX666" s="8" t="str">
        <f t="shared" si="153"/>
        <v>-</v>
      </c>
      <c r="AY666" s="2">
        <v>53.5</v>
      </c>
      <c r="AZ666" s="8" t="str">
        <f t="shared" si="154"/>
        <v>-</v>
      </c>
      <c r="BA666" s="2">
        <v>55</v>
      </c>
      <c r="BB666" s="8" t="str">
        <f t="shared" si="155"/>
        <v>+</v>
      </c>
      <c r="BC666" s="2">
        <v>46</v>
      </c>
      <c r="BD666" s="8" t="str">
        <f t="shared" si="156"/>
        <v>+</v>
      </c>
      <c r="BE666" s="2">
        <v>73</v>
      </c>
      <c r="BF666" s="8" t="str">
        <f t="shared" si="161"/>
        <v>+</v>
      </c>
      <c r="BG666" s="2">
        <v>56</v>
      </c>
      <c r="BH666" s="8" t="str">
        <f t="shared" si="157"/>
        <v>+</v>
      </c>
      <c r="BI666" s="2">
        <v>55.1</v>
      </c>
      <c r="BJ666" s="8" t="str">
        <f t="shared" si="158"/>
        <v>-</v>
      </c>
      <c r="BK666" s="2">
        <v>58.9</v>
      </c>
      <c r="BL666" s="8" t="str">
        <f t="shared" si="159"/>
        <v>-</v>
      </c>
    </row>
    <row r="667" spans="1:64">
      <c r="A667" s="1">
        <v>38504</v>
      </c>
      <c r="B667">
        <v>50.8</v>
      </c>
      <c r="C667">
        <v>51.8</v>
      </c>
      <c r="D667">
        <v>49.3</v>
      </c>
      <c r="E667">
        <v>54.7</v>
      </c>
      <c r="F667">
        <v>49.8</v>
      </c>
      <c r="G667">
        <v>48.5</v>
      </c>
      <c r="H667">
        <v>47.5</v>
      </c>
      <c r="I667">
        <v>58</v>
      </c>
      <c r="J667">
        <v>51</v>
      </c>
      <c r="K667">
        <v>55.3</v>
      </c>
      <c r="L667">
        <v>53.9</v>
      </c>
      <c r="W667" s="1">
        <v>38504</v>
      </c>
      <c r="X667">
        <v>1191.329956</v>
      </c>
      <c r="Y667" s="4">
        <f t="shared" si="160"/>
        <v>-1.4271422576580921E-4</v>
      </c>
      <c r="Z667" s="4">
        <f t="shared" si="162"/>
        <v>4.4256855917335594E-2</v>
      </c>
      <c r="AA667">
        <v>50.8</v>
      </c>
      <c r="AB667">
        <f t="shared" si="163"/>
        <v>61.4</v>
      </c>
      <c r="AP667" s="3">
        <v>38473</v>
      </c>
      <c r="AQ667" s="2">
        <v>52.2</v>
      </c>
      <c r="AR667" s="2" t="str">
        <f t="shared" si="150"/>
        <v>-</v>
      </c>
      <c r="AS667" s="2">
        <v>53.4</v>
      </c>
      <c r="AT667" s="8" t="str">
        <f t="shared" si="151"/>
        <v>-</v>
      </c>
      <c r="AU667" s="2">
        <v>54.2</v>
      </c>
      <c r="AV667" s="8" t="str">
        <f t="shared" si="152"/>
        <v>-</v>
      </c>
      <c r="AW667" s="2">
        <v>53</v>
      </c>
      <c r="AX667" s="8" t="str">
        <f t="shared" si="153"/>
        <v>+</v>
      </c>
      <c r="AY667" s="2">
        <v>51.8</v>
      </c>
      <c r="AZ667" s="8" t="str">
        <f t="shared" si="154"/>
        <v>-</v>
      </c>
      <c r="BA667" s="2">
        <v>48.5</v>
      </c>
      <c r="BB667" s="8" t="str">
        <f t="shared" si="155"/>
        <v>-</v>
      </c>
      <c r="BC667" s="2">
        <v>41.5</v>
      </c>
      <c r="BD667" s="8" t="str">
        <f t="shared" si="156"/>
        <v>-</v>
      </c>
      <c r="BE667" s="2">
        <v>71</v>
      </c>
      <c r="BF667" s="8" t="str">
        <f t="shared" si="161"/>
        <v>-</v>
      </c>
      <c r="BG667" s="2">
        <v>53</v>
      </c>
      <c r="BH667" s="8" t="str">
        <f t="shared" si="157"/>
        <v>-</v>
      </c>
      <c r="BI667" s="2">
        <v>57</v>
      </c>
      <c r="BJ667" s="8" t="str">
        <f t="shared" si="158"/>
        <v>+</v>
      </c>
      <c r="BK667" s="2">
        <v>56.7</v>
      </c>
      <c r="BL667" s="8" t="str">
        <f t="shared" si="159"/>
        <v>-</v>
      </c>
    </row>
    <row r="668" spans="1:64">
      <c r="A668" s="1">
        <v>38534</v>
      </c>
      <c r="B668">
        <v>52.4</v>
      </c>
      <c r="C668">
        <v>55.7</v>
      </c>
      <c r="D668">
        <v>51.1</v>
      </c>
      <c r="E668">
        <v>55.1</v>
      </c>
      <c r="F668">
        <v>52</v>
      </c>
      <c r="G668">
        <v>48</v>
      </c>
      <c r="H668">
        <v>44</v>
      </c>
      <c r="I668">
        <v>50.5</v>
      </c>
      <c r="J668">
        <v>51</v>
      </c>
      <c r="K668">
        <v>51.2</v>
      </c>
      <c r="L668">
        <v>54.2</v>
      </c>
      <c r="W668" s="1">
        <v>38534</v>
      </c>
      <c r="X668">
        <v>1234.1800539999999</v>
      </c>
      <c r="Y668" s="4">
        <f t="shared" si="160"/>
        <v>3.5968287193812398E-2</v>
      </c>
      <c r="Z668" s="4">
        <f t="shared" si="162"/>
        <v>0.12023026402958792</v>
      </c>
      <c r="AA668">
        <v>52.4</v>
      </c>
      <c r="AB668">
        <f t="shared" si="163"/>
        <v>60.5</v>
      </c>
      <c r="AP668" s="3">
        <v>38504</v>
      </c>
      <c r="AQ668" s="2">
        <v>50.8</v>
      </c>
      <c r="AR668" s="2" t="str">
        <f t="shared" si="150"/>
        <v>-</v>
      </c>
      <c r="AS668" s="2">
        <v>51.8</v>
      </c>
      <c r="AT668" s="8" t="str">
        <f t="shared" si="151"/>
        <v>-</v>
      </c>
      <c r="AU668" s="2">
        <v>54.7</v>
      </c>
      <c r="AV668" s="8" t="str">
        <f t="shared" si="152"/>
        <v>+</v>
      </c>
      <c r="AW668" s="2">
        <v>49.3</v>
      </c>
      <c r="AX668" s="8" t="str">
        <f t="shared" si="153"/>
        <v>-</v>
      </c>
      <c r="AY668" s="2">
        <v>49.8</v>
      </c>
      <c r="AZ668" s="8" t="str">
        <f t="shared" si="154"/>
        <v>-</v>
      </c>
      <c r="BA668" s="2">
        <v>48.5</v>
      </c>
      <c r="BB668" s="8" t="str">
        <f t="shared" si="155"/>
        <v>+</v>
      </c>
      <c r="BC668" s="2">
        <v>47.5</v>
      </c>
      <c r="BD668" s="8" t="str">
        <f t="shared" si="156"/>
        <v>+</v>
      </c>
      <c r="BE668" s="2">
        <v>58</v>
      </c>
      <c r="BF668" s="8" t="str">
        <f t="shared" si="161"/>
        <v>-</v>
      </c>
      <c r="BG668" s="2">
        <v>51</v>
      </c>
      <c r="BH668" s="8" t="str">
        <f t="shared" si="157"/>
        <v>-</v>
      </c>
      <c r="BI668" s="2">
        <v>55.3</v>
      </c>
      <c r="BJ668" s="8" t="str">
        <f t="shared" si="158"/>
        <v>-</v>
      </c>
      <c r="BK668" s="2">
        <v>53.9</v>
      </c>
      <c r="BL668" s="8" t="str">
        <f t="shared" si="159"/>
        <v>-</v>
      </c>
    </row>
    <row r="669" spans="1:64">
      <c r="A669" s="1">
        <v>38565</v>
      </c>
      <c r="B669">
        <v>52.8</v>
      </c>
      <c r="C669">
        <v>57.2</v>
      </c>
      <c r="D669">
        <v>53.2</v>
      </c>
      <c r="E669">
        <v>57.4</v>
      </c>
      <c r="F669">
        <v>50.8</v>
      </c>
      <c r="G669">
        <v>45.5</v>
      </c>
      <c r="H669">
        <v>44.5</v>
      </c>
      <c r="I669">
        <v>48.5</v>
      </c>
      <c r="J669">
        <v>49</v>
      </c>
      <c r="K669">
        <v>55.8</v>
      </c>
      <c r="L669">
        <v>54.7</v>
      </c>
      <c r="W669" s="1">
        <v>38565</v>
      </c>
      <c r="X669">
        <v>1220.329956</v>
      </c>
      <c r="Y669" s="4">
        <f t="shared" si="160"/>
        <v>-1.1222104874496611E-2</v>
      </c>
      <c r="Z669" s="4">
        <f t="shared" si="162"/>
        <v>0.10513110107522913</v>
      </c>
      <c r="AA669">
        <v>52.8</v>
      </c>
      <c r="AB669">
        <f t="shared" si="163"/>
        <v>59.9</v>
      </c>
      <c r="AP669" s="3">
        <v>38534</v>
      </c>
      <c r="AQ669" s="2">
        <v>52.4</v>
      </c>
      <c r="AR669" s="2" t="str">
        <f t="shared" si="150"/>
        <v>+</v>
      </c>
      <c r="AS669" s="2">
        <v>55.7</v>
      </c>
      <c r="AT669" s="8" t="str">
        <f t="shared" si="151"/>
        <v>+</v>
      </c>
      <c r="AU669" s="2">
        <v>55.1</v>
      </c>
      <c r="AV669" s="8" t="str">
        <f t="shared" si="152"/>
        <v>+</v>
      </c>
      <c r="AW669" s="2">
        <v>51.1</v>
      </c>
      <c r="AX669" s="8" t="str">
        <f t="shared" si="153"/>
        <v>+</v>
      </c>
      <c r="AY669" s="2">
        <v>52</v>
      </c>
      <c r="AZ669" s="8" t="str">
        <f t="shared" si="154"/>
        <v>+</v>
      </c>
      <c r="BA669" s="2">
        <v>48</v>
      </c>
      <c r="BB669" s="8" t="str">
        <f t="shared" si="155"/>
        <v>-</v>
      </c>
      <c r="BC669" s="2">
        <v>44</v>
      </c>
      <c r="BD669" s="8" t="str">
        <f t="shared" si="156"/>
        <v>-</v>
      </c>
      <c r="BE669" s="2">
        <v>50.5</v>
      </c>
      <c r="BF669" s="8" t="str">
        <f t="shared" si="161"/>
        <v>-</v>
      </c>
      <c r="BG669" s="2">
        <v>51</v>
      </c>
      <c r="BH669" s="8" t="str">
        <f t="shared" si="157"/>
        <v>+</v>
      </c>
      <c r="BI669" s="2">
        <v>51.2</v>
      </c>
      <c r="BJ669" s="8" t="str">
        <f t="shared" si="158"/>
        <v>-</v>
      </c>
      <c r="BK669" s="2">
        <v>54.2</v>
      </c>
      <c r="BL669" s="8" t="str">
        <f t="shared" si="159"/>
        <v>+</v>
      </c>
    </row>
    <row r="670" spans="1:64">
      <c r="A670" s="1">
        <v>38596</v>
      </c>
      <c r="B670">
        <v>52.4</v>
      </c>
      <c r="C670">
        <v>57.8</v>
      </c>
      <c r="D670">
        <v>51.8</v>
      </c>
      <c r="E670">
        <v>55.6</v>
      </c>
      <c r="F670">
        <v>49.9</v>
      </c>
      <c r="G670">
        <v>47</v>
      </c>
      <c r="H670">
        <v>46.5</v>
      </c>
      <c r="I670">
        <v>62.5</v>
      </c>
      <c r="J670">
        <v>50.5</v>
      </c>
      <c r="K670">
        <v>54.5</v>
      </c>
      <c r="L670">
        <v>53.4</v>
      </c>
      <c r="W670" s="1">
        <v>38596</v>
      </c>
      <c r="X670">
        <v>1228.8100589999999</v>
      </c>
      <c r="Y670" s="4">
        <f t="shared" si="160"/>
        <v>6.9490246947603992E-3</v>
      </c>
      <c r="Z670" s="4">
        <f t="shared" si="162"/>
        <v>0.10248713193259675</v>
      </c>
      <c r="AA670">
        <v>52.4</v>
      </c>
      <c r="AB670">
        <f t="shared" si="163"/>
        <v>58.5</v>
      </c>
      <c r="AP670" s="3">
        <v>38565</v>
      </c>
      <c r="AQ670" s="2">
        <v>52.8</v>
      </c>
      <c r="AR670" s="2" t="str">
        <f t="shared" si="150"/>
        <v>+</v>
      </c>
      <c r="AS670" s="2">
        <v>57.2</v>
      </c>
      <c r="AT670" s="8" t="str">
        <f t="shared" si="151"/>
        <v>+</v>
      </c>
      <c r="AU670" s="2">
        <v>57.4</v>
      </c>
      <c r="AV670" s="8" t="str">
        <f t="shared" si="152"/>
        <v>+</v>
      </c>
      <c r="AW670" s="2">
        <v>53.2</v>
      </c>
      <c r="AX670" s="8" t="str">
        <f t="shared" si="153"/>
        <v>+</v>
      </c>
      <c r="AY670" s="2">
        <v>50.8</v>
      </c>
      <c r="AZ670" s="8" t="str">
        <f t="shared" si="154"/>
        <v>-</v>
      </c>
      <c r="BA670" s="2">
        <v>45.5</v>
      </c>
      <c r="BB670" s="8" t="str">
        <f t="shared" si="155"/>
        <v>-</v>
      </c>
      <c r="BC670" s="2">
        <v>44.5</v>
      </c>
      <c r="BD670" s="8" t="str">
        <f t="shared" si="156"/>
        <v>+</v>
      </c>
      <c r="BE670" s="2">
        <v>48.5</v>
      </c>
      <c r="BF670" s="8" t="str">
        <f t="shared" si="161"/>
        <v>-</v>
      </c>
      <c r="BG670" s="2">
        <v>49</v>
      </c>
      <c r="BH670" s="8" t="str">
        <f t="shared" si="157"/>
        <v>-</v>
      </c>
      <c r="BI670" s="2">
        <v>55.8</v>
      </c>
      <c r="BJ670" s="8" t="str">
        <f t="shared" si="158"/>
        <v>+</v>
      </c>
      <c r="BK670" s="2">
        <v>54.7</v>
      </c>
      <c r="BL670" s="8" t="str">
        <f t="shared" si="159"/>
        <v>+</v>
      </c>
    </row>
    <row r="671" spans="1:64">
      <c r="A671" s="1">
        <v>38626</v>
      </c>
      <c r="B671">
        <v>56.8</v>
      </c>
      <c r="C671">
        <v>60.9</v>
      </c>
      <c r="D671">
        <v>53.4</v>
      </c>
      <c r="E671">
        <v>62.4</v>
      </c>
      <c r="F671">
        <v>57.7</v>
      </c>
      <c r="G671">
        <v>49.5</v>
      </c>
      <c r="H671">
        <v>44.5</v>
      </c>
      <c r="I671">
        <v>78</v>
      </c>
      <c r="J671">
        <v>55</v>
      </c>
      <c r="K671">
        <v>57.3</v>
      </c>
      <c r="L671">
        <v>53.4</v>
      </c>
      <c r="W671" s="1">
        <v>38626</v>
      </c>
      <c r="X671">
        <v>1207.01001</v>
      </c>
      <c r="Y671" s="4">
        <f t="shared" si="160"/>
        <v>-1.7740780066319385E-2</v>
      </c>
      <c r="Z671" s="4">
        <f t="shared" si="162"/>
        <v>6.7961477906664597E-2</v>
      </c>
      <c r="AA671">
        <v>56.8</v>
      </c>
      <c r="AB671">
        <f t="shared" si="163"/>
        <v>57.4</v>
      </c>
      <c r="AP671" s="3">
        <v>38596</v>
      </c>
      <c r="AQ671" s="2">
        <v>52.4</v>
      </c>
      <c r="AR671" s="2" t="str">
        <f t="shared" si="150"/>
        <v>-</v>
      </c>
      <c r="AS671" s="2">
        <v>57.8</v>
      </c>
      <c r="AT671" s="8" t="str">
        <f t="shared" si="151"/>
        <v>+</v>
      </c>
      <c r="AU671" s="2">
        <v>55.6</v>
      </c>
      <c r="AV671" s="8" t="str">
        <f t="shared" si="152"/>
        <v>-</v>
      </c>
      <c r="AW671" s="2">
        <v>51.8</v>
      </c>
      <c r="AX671" s="8" t="str">
        <f t="shared" si="153"/>
        <v>-</v>
      </c>
      <c r="AY671" s="2">
        <v>49.9</v>
      </c>
      <c r="AZ671" s="8" t="str">
        <f t="shared" si="154"/>
        <v>-</v>
      </c>
      <c r="BA671" s="2">
        <v>47</v>
      </c>
      <c r="BB671" s="8" t="str">
        <f t="shared" si="155"/>
        <v>+</v>
      </c>
      <c r="BC671" s="2">
        <v>46.5</v>
      </c>
      <c r="BD671" s="8" t="str">
        <f t="shared" si="156"/>
        <v>+</v>
      </c>
      <c r="BE671" s="2">
        <v>62.5</v>
      </c>
      <c r="BF671" s="8" t="str">
        <f t="shared" si="161"/>
        <v>+</v>
      </c>
      <c r="BG671" s="2">
        <v>50.5</v>
      </c>
      <c r="BH671" s="8" t="str">
        <f t="shared" si="157"/>
        <v>+</v>
      </c>
      <c r="BI671" s="2">
        <v>54.5</v>
      </c>
      <c r="BJ671" s="8" t="str">
        <f t="shared" si="158"/>
        <v>-</v>
      </c>
      <c r="BK671" s="2">
        <v>53.4</v>
      </c>
      <c r="BL671" s="8" t="str">
        <f t="shared" si="159"/>
        <v>-</v>
      </c>
    </row>
    <row r="672" spans="1:64">
      <c r="A672" s="1">
        <v>38657</v>
      </c>
      <c r="B672">
        <v>57.2</v>
      </c>
      <c r="C672">
        <v>61.4</v>
      </c>
      <c r="D672">
        <v>54.3</v>
      </c>
      <c r="E672">
        <v>62.1</v>
      </c>
      <c r="F672">
        <v>61.8</v>
      </c>
      <c r="G672">
        <v>46.5</v>
      </c>
      <c r="H672">
        <v>41</v>
      </c>
      <c r="I672">
        <v>84</v>
      </c>
      <c r="J672">
        <v>55.5</v>
      </c>
      <c r="K672">
        <v>55.2</v>
      </c>
      <c r="L672">
        <v>58.2</v>
      </c>
      <c r="W672" s="1">
        <v>38657</v>
      </c>
      <c r="X672">
        <v>1249.4799800000001</v>
      </c>
      <c r="Y672" s="4">
        <f t="shared" si="160"/>
        <v>3.518609592972647E-2</v>
      </c>
      <c r="Z672" s="4">
        <f t="shared" si="162"/>
        <v>6.4456251793833463E-2</v>
      </c>
      <c r="AA672">
        <v>57.2</v>
      </c>
      <c r="AB672">
        <f t="shared" si="163"/>
        <v>56.3</v>
      </c>
      <c r="AP672" s="3">
        <v>38626</v>
      </c>
      <c r="AQ672" s="2">
        <v>56.8</v>
      </c>
      <c r="AR672" s="2" t="str">
        <f t="shared" si="150"/>
        <v>+</v>
      </c>
      <c r="AS672" s="2">
        <v>60.9</v>
      </c>
      <c r="AT672" s="8" t="str">
        <f t="shared" si="151"/>
        <v>+</v>
      </c>
      <c r="AU672" s="2">
        <v>62.4</v>
      </c>
      <c r="AV672" s="8" t="str">
        <f t="shared" si="152"/>
        <v>+</v>
      </c>
      <c r="AW672" s="2">
        <v>53.4</v>
      </c>
      <c r="AX672" s="8" t="str">
        <f t="shared" si="153"/>
        <v>+</v>
      </c>
      <c r="AY672" s="2">
        <v>57.7</v>
      </c>
      <c r="AZ672" s="8" t="str">
        <f t="shared" si="154"/>
        <v>+</v>
      </c>
      <c r="BA672" s="2">
        <v>49.5</v>
      </c>
      <c r="BB672" s="8" t="str">
        <f t="shared" si="155"/>
        <v>+</v>
      </c>
      <c r="BC672" s="2">
        <v>44.5</v>
      </c>
      <c r="BD672" s="8" t="str">
        <f t="shared" si="156"/>
        <v>-</v>
      </c>
      <c r="BE672" s="2">
        <v>78</v>
      </c>
      <c r="BF672" s="8" t="str">
        <f t="shared" si="161"/>
        <v>+</v>
      </c>
      <c r="BG672" s="2">
        <v>55</v>
      </c>
      <c r="BH672" s="8" t="str">
        <f t="shared" si="157"/>
        <v>+</v>
      </c>
      <c r="BI672" s="2">
        <v>57.3</v>
      </c>
      <c r="BJ672" s="8" t="str">
        <f t="shared" si="158"/>
        <v>+</v>
      </c>
      <c r="BK672" s="2">
        <v>53.4</v>
      </c>
      <c r="BL672" s="8" t="str">
        <f t="shared" si="159"/>
        <v>+</v>
      </c>
    </row>
    <row r="673" spans="1:64">
      <c r="A673" s="1">
        <v>38687</v>
      </c>
      <c r="B673">
        <v>56.7</v>
      </c>
      <c r="C673">
        <v>61.2</v>
      </c>
      <c r="D673">
        <v>56</v>
      </c>
      <c r="E673">
        <v>62.4</v>
      </c>
      <c r="F673">
        <v>57</v>
      </c>
      <c r="G673">
        <v>47</v>
      </c>
      <c r="H673">
        <v>43.5</v>
      </c>
      <c r="I673">
        <v>74</v>
      </c>
      <c r="J673">
        <v>53</v>
      </c>
      <c r="K673">
        <v>57.9</v>
      </c>
      <c r="L673">
        <v>54.1</v>
      </c>
      <c r="W673" s="1">
        <v>38687</v>
      </c>
      <c r="X673">
        <v>1248.290039</v>
      </c>
      <c r="Y673" s="4">
        <f t="shared" si="160"/>
        <v>-9.5234899241850176E-4</v>
      </c>
      <c r="Z673" s="4">
        <f t="shared" si="162"/>
        <v>3.001022648322501E-2</v>
      </c>
      <c r="AA673">
        <v>56.7</v>
      </c>
      <c r="AB673">
        <f t="shared" si="163"/>
        <v>56.2</v>
      </c>
      <c r="AP673" s="3">
        <v>38657</v>
      </c>
      <c r="AQ673" s="2">
        <v>57.2</v>
      </c>
      <c r="AR673" s="2" t="str">
        <f t="shared" si="150"/>
        <v>+</v>
      </c>
      <c r="AS673" s="2">
        <v>61.4</v>
      </c>
      <c r="AT673" s="8" t="str">
        <f t="shared" si="151"/>
        <v>+</v>
      </c>
      <c r="AU673" s="2">
        <v>62.1</v>
      </c>
      <c r="AV673" s="8" t="str">
        <f t="shared" si="152"/>
        <v>-</v>
      </c>
      <c r="AW673" s="2">
        <v>54.3</v>
      </c>
      <c r="AX673" s="8" t="str">
        <f t="shared" si="153"/>
        <v>+</v>
      </c>
      <c r="AY673" s="2">
        <v>61.8</v>
      </c>
      <c r="AZ673" s="8" t="str">
        <f t="shared" si="154"/>
        <v>+</v>
      </c>
      <c r="BA673" s="2">
        <v>46.5</v>
      </c>
      <c r="BB673" s="8" t="str">
        <f t="shared" si="155"/>
        <v>-</v>
      </c>
      <c r="BC673" s="2">
        <v>41</v>
      </c>
      <c r="BD673" s="8" t="str">
        <f t="shared" si="156"/>
        <v>-</v>
      </c>
      <c r="BE673" s="2">
        <v>84</v>
      </c>
      <c r="BF673" s="8" t="str">
        <f t="shared" si="161"/>
        <v>+</v>
      </c>
      <c r="BG673" s="2">
        <v>55.5</v>
      </c>
      <c r="BH673" s="8" t="str">
        <f t="shared" si="157"/>
        <v>+</v>
      </c>
      <c r="BI673" s="2">
        <v>55.2</v>
      </c>
      <c r="BJ673" s="8" t="str">
        <f t="shared" si="158"/>
        <v>-</v>
      </c>
      <c r="BK673" s="2">
        <v>58.2</v>
      </c>
      <c r="BL673" s="8" t="str">
        <f t="shared" si="159"/>
        <v>+</v>
      </c>
    </row>
    <row r="674" spans="1:64">
      <c r="A674" s="1">
        <v>38718</v>
      </c>
      <c r="B674">
        <v>55.1</v>
      </c>
      <c r="C674">
        <v>60.1</v>
      </c>
      <c r="D674">
        <v>53.7</v>
      </c>
      <c r="E674">
        <v>60.3</v>
      </c>
      <c r="F674">
        <v>54.9</v>
      </c>
      <c r="G674">
        <v>46.5</v>
      </c>
      <c r="H674">
        <v>48</v>
      </c>
      <c r="I674">
        <v>63</v>
      </c>
      <c r="J674">
        <v>49.5</v>
      </c>
      <c r="K674">
        <v>54.3</v>
      </c>
      <c r="L674">
        <v>52.8</v>
      </c>
      <c r="W674" s="1">
        <v>38718</v>
      </c>
      <c r="X674">
        <v>1280.079956</v>
      </c>
      <c r="Y674" s="4">
        <f t="shared" si="160"/>
        <v>2.5466771348641722E-2</v>
      </c>
      <c r="Z674" s="4">
        <f t="shared" si="162"/>
        <v>8.3647205403553804E-2</v>
      </c>
      <c r="AA674">
        <v>55.1</v>
      </c>
      <c r="AB674">
        <f t="shared" si="163"/>
        <v>57.2</v>
      </c>
      <c r="AP674" s="3">
        <v>38687</v>
      </c>
      <c r="AQ674" s="2">
        <v>56.7</v>
      </c>
      <c r="AR674" s="2" t="str">
        <f t="shared" si="150"/>
        <v>-</v>
      </c>
      <c r="AS674" s="2">
        <v>61.2</v>
      </c>
      <c r="AT674" s="8" t="str">
        <f t="shared" si="151"/>
        <v>-</v>
      </c>
      <c r="AU674" s="2">
        <v>62.4</v>
      </c>
      <c r="AV674" s="8" t="str">
        <f t="shared" si="152"/>
        <v>+</v>
      </c>
      <c r="AW674" s="2">
        <v>56</v>
      </c>
      <c r="AX674" s="8" t="str">
        <f t="shared" si="153"/>
        <v>+</v>
      </c>
      <c r="AY674" s="2">
        <v>57</v>
      </c>
      <c r="AZ674" s="8" t="str">
        <f t="shared" si="154"/>
        <v>-</v>
      </c>
      <c r="BA674" s="2">
        <v>47</v>
      </c>
      <c r="BB674" s="8" t="str">
        <f t="shared" si="155"/>
        <v>+</v>
      </c>
      <c r="BC674" s="2">
        <v>43.5</v>
      </c>
      <c r="BD674" s="8" t="str">
        <f t="shared" si="156"/>
        <v>+</v>
      </c>
      <c r="BE674" s="2">
        <v>74</v>
      </c>
      <c r="BF674" s="8" t="str">
        <f t="shared" si="161"/>
        <v>-</v>
      </c>
      <c r="BG674" s="2">
        <v>53</v>
      </c>
      <c r="BH674" s="8" t="str">
        <f t="shared" si="157"/>
        <v>-</v>
      </c>
      <c r="BI674" s="2">
        <v>57.9</v>
      </c>
      <c r="BJ674" s="8" t="str">
        <f t="shared" si="158"/>
        <v>+</v>
      </c>
      <c r="BK674" s="2">
        <v>54.1</v>
      </c>
      <c r="BL674" s="8" t="str">
        <f t="shared" si="159"/>
        <v>-</v>
      </c>
    </row>
    <row r="675" spans="1:64">
      <c r="A675" s="1">
        <v>38749</v>
      </c>
      <c r="B675">
        <v>55</v>
      </c>
      <c r="C675">
        <v>58.9</v>
      </c>
      <c r="D675">
        <v>53.1</v>
      </c>
      <c r="E675">
        <v>59.7</v>
      </c>
      <c r="F675">
        <v>55.7</v>
      </c>
      <c r="G675">
        <v>47.5</v>
      </c>
      <c r="H675">
        <v>46</v>
      </c>
      <c r="I675">
        <v>65</v>
      </c>
      <c r="J675">
        <v>53.5</v>
      </c>
      <c r="K675">
        <v>58.5</v>
      </c>
      <c r="L675">
        <v>57</v>
      </c>
      <c r="W675" s="1">
        <v>38749</v>
      </c>
      <c r="X675">
        <v>1280.660034</v>
      </c>
      <c r="Y675" s="4">
        <f t="shared" si="160"/>
        <v>4.5315763072534016E-4</v>
      </c>
      <c r="Z675" s="4">
        <f t="shared" si="162"/>
        <v>6.4024642353432568E-2</v>
      </c>
      <c r="AA675">
        <v>55</v>
      </c>
      <c r="AB675">
        <f t="shared" si="163"/>
        <v>56.8</v>
      </c>
      <c r="AP675" s="3">
        <v>38718</v>
      </c>
      <c r="AQ675" s="2">
        <v>55.1</v>
      </c>
      <c r="AR675" s="2" t="str">
        <f t="shared" si="150"/>
        <v>-</v>
      </c>
      <c r="AS675" s="2">
        <v>60.1</v>
      </c>
      <c r="AT675" s="8" t="str">
        <f t="shared" si="151"/>
        <v>-</v>
      </c>
      <c r="AU675" s="2">
        <v>60.3</v>
      </c>
      <c r="AV675" s="8" t="str">
        <f t="shared" si="152"/>
        <v>-</v>
      </c>
      <c r="AW675" s="2">
        <v>53.7</v>
      </c>
      <c r="AX675" s="8" t="str">
        <f t="shared" si="153"/>
        <v>-</v>
      </c>
      <c r="AY675" s="2">
        <v>54.9</v>
      </c>
      <c r="AZ675" s="8" t="str">
        <f t="shared" si="154"/>
        <v>-</v>
      </c>
      <c r="BA675" s="2">
        <v>46.5</v>
      </c>
      <c r="BB675" s="8" t="str">
        <f t="shared" si="155"/>
        <v>-</v>
      </c>
      <c r="BC675" s="2">
        <v>48</v>
      </c>
      <c r="BD675" s="8" t="str">
        <f t="shared" si="156"/>
        <v>+</v>
      </c>
      <c r="BE675" s="2">
        <v>63</v>
      </c>
      <c r="BF675" s="8" t="str">
        <f t="shared" si="161"/>
        <v>-</v>
      </c>
      <c r="BG675" s="2">
        <v>49.5</v>
      </c>
      <c r="BH675" s="8" t="str">
        <f t="shared" si="157"/>
        <v>-</v>
      </c>
      <c r="BI675" s="2">
        <v>54.3</v>
      </c>
      <c r="BJ675" s="8" t="str">
        <f t="shared" si="158"/>
        <v>-</v>
      </c>
      <c r="BK675" s="2">
        <v>52.8</v>
      </c>
      <c r="BL675" s="8" t="str">
        <f t="shared" si="159"/>
        <v>-</v>
      </c>
    </row>
    <row r="676" spans="1:64">
      <c r="A676" s="1">
        <v>38777</v>
      </c>
      <c r="B676">
        <v>55.8</v>
      </c>
      <c r="C676">
        <v>61</v>
      </c>
      <c r="D676">
        <v>53.5</v>
      </c>
      <c r="E676">
        <v>57.9</v>
      </c>
      <c r="F676">
        <v>54.4</v>
      </c>
      <c r="G676">
        <v>52</v>
      </c>
      <c r="H676">
        <v>48.5</v>
      </c>
      <c r="I676">
        <v>62.5</v>
      </c>
      <c r="J676">
        <v>54.5</v>
      </c>
      <c r="K676">
        <v>57</v>
      </c>
      <c r="L676">
        <v>57.5</v>
      </c>
      <c r="W676" s="1">
        <v>38777</v>
      </c>
      <c r="X676">
        <v>1294.869995</v>
      </c>
      <c r="Y676" s="4">
        <f t="shared" si="160"/>
        <v>1.1095810459249501E-2</v>
      </c>
      <c r="Z676" s="4">
        <f t="shared" si="162"/>
        <v>9.6799085449791142E-2</v>
      </c>
      <c r="AA676">
        <v>55.8</v>
      </c>
      <c r="AB676">
        <f t="shared" si="163"/>
        <v>55.5</v>
      </c>
      <c r="AP676" s="3">
        <v>38749</v>
      </c>
      <c r="AQ676" s="2">
        <v>55</v>
      </c>
      <c r="AR676" s="2" t="str">
        <f t="shared" si="150"/>
        <v>-</v>
      </c>
      <c r="AS676" s="2">
        <v>58.9</v>
      </c>
      <c r="AT676" s="8" t="str">
        <f t="shared" si="151"/>
        <v>-</v>
      </c>
      <c r="AU676" s="2">
        <v>59.7</v>
      </c>
      <c r="AV676" s="8" t="str">
        <f t="shared" si="152"/>
        <v>-</v>
      </c>
      <c r="AW676" s="2">
        <v>53.1</v>
      </c>
      <c r="AX676" s="8" t="str">
        <f t="shared" si="153"/>
        <v>-</v>
      </c>
      <c r="AY676" s="2">
        <v>55.7</v>
      </c>
      <c r="AZ676" s="8" t="str">
        <f t="shared" si="154"/>
        <v>+</v>
      </c>
      <c r="BA676" s="2">
        <v>47.5</v>
      </c>
      <c r="BB676" s="8" t="str">
        <f t="shared" si="155"/>
        <v>+</v>
      </c>
      <c r="BC676" s="2">
        <v>46</v>
      </c>
      <c r="BD676" s="8" t="str">
        <f t="shared" si="156"/>
        <v>-</v>
      </c>
      <c r="BE676" s="2">
        <v>65</v>
      </c>
      <c r="BF676" s="8" t="str">
        <f t="shared" si="161"/>
        <v>+</v>
      </c>
      <c r="BG676" s="2">
        <v>53.5</v>
      </c>
      <c r="BH676" s="8" t="str">
        <f t="shared" si="157"/>
        <v>+</v>
      </c>
      <c r="BI676" s="2">
        <v>58.5</v>
      </c>
      <c r="BJ676" s="8" t="str">
        <f t="shared" si="158"/>
        <v>+</v>
      </c>
      <c r="BK676" s="2">
        <v>57</v>
      </c>
      <c r="BL676" s="8" t="str">
        <f t="shared" si="159"/>
        <v>+</v>
      </c>
    </row>
    <row r="677" spans="1:64">
      <c r="A677" s="1">
        <v>38808</v>
      </c>
      <c r="B677">
        <v>54.3</v>
      </c>
      <c r="C677">
        <v>57</v>
      </c>
      <c r="D677">
        <v>53.8</v>
      </c>
      <c r="E677">
        <v>57</v>
      </c>
      <c r="F677">
        <v>53.9</v>
      </c>
      <c r="G677">
        <v>50</v>
      </c>
      <c r="H677">
        <v>48</v>
      </c>
      <c r="I677">
        <v>66.5</v>
      </c>
      <c r="J677">
        <v>59.5</v>
      </c>
      <c r="K677">
        <v>57.3</v>
      </c>
      <c r="L677">
        <v>57</v>
      </c>
      <c r="W677" s="1">
        <v>38808</v>
      </c>
      <c r="X677">
        <v>1310.6099850000001</v>
      </c>
      <c r="Y677" s="4">
        <f t="shared" si="160"/>
        <v>1.215565273794149E-2</v>
      </c>
      <c r="Z677" s="4">
        <f t="shared" si="162"/>
        <v>0.13291266126974452</v>
      </c>
      <c r="AA677">
        <v>54.3</v>
      </c>
      <c r="AB677">
        <f t="shared" si="163"/>
        <v>55.2</v>
      </c>
      <c r="AP677" s="3">
        <v>38777</v>
      </c>
      <c r="AQ677" s="2">
        <v>55.8</v>
      </c>
      <c r="AR677" s="2" t="str">
        <f t="shared" si="150"/>
        <v>+</v>
      </c>
      <c r="AS677" s="2">
        <v>61</v>
      </c>
      <c r="AT677" s="8" t="str">
        <f t="shared" si="151"/>
        <v>+</v>
      </c>
      <c r="AU677" s="2">
        <v>57.9</v>
      </c>
      <c r="AV677" s="8" t="str">
        <f t="shared" si="152"/>
        <v>-</v>
      </c>
      <c r="AW677" s="2">
        <v>53.5</v>
      </c>
      <c r="AX677" s="8" t="str">
        <f t="shared" si="153"/>
        <v>+</v>
      </c>
      <c r="AY677" s="2">
        <v>54.4</v>
      </c>
      <c r="AZ677" s="8" t="str">
        <f t="shared" si="154"/>
        <v>-</v>
      </c>
      <c r="BA677" s="2">
        <v>52</v>
      </c>
      <c r="BB677" s="8" t="str">
        <f t="shared" si="155"/>
        <v>+</v>
      </c>
      <c r="BC677" s="2">
        <v>48.5</v>
      </c>
      <c r="BD677" s="8" t="str">
        <f t="shared" si="156"/>
        <v>+</v>
      </c>
      <c r="BE677" s="2">
        <v>62.5</v>
      </c>
      <c r="BF677" s="8" t="str">
        <f t="shared" si="161"/>
        <v>-</v>
      </c>
      <c r="BG677" s="2">
        <v>54.5</v>
      </c>
      <c r="BH677" s="8" t="str">
        <f t="shared" si="157"/>
        <v>+</v>
      </c>
      <c r="BI677" s="2">
        <v>57</v>
      </c>
      <c r="BJ677" s="8" t="str">
        <f t="shared" si="158"/>
        <v>-</v>
      </c>
      <c r="BK677" s="2">
        <v>57.5</v>
      </c>
      <c r="BL677" s="8" t="str">
        <f t="shared" si="159"/>
        <v>+</v>
      </c>
    </row>
    <row r="678" spans="1:64">
      <c r="A678" s="1">
        <v>38838</v>
      </c>
      <c r="B678">
        <v>55.2</v>
      </c>
      <c r="C678">
        <v>55.7</v>
      </c>
      <c r="D678">
        <v>54.2</v>
      </c>
      <c r="E678">
        <v>57.1</v>
      </c>
      <c r="F678">
        <v>57.4</v>
      </c>
      <c r="G678">
        <v>51.5</v>
      </c>
      <c r="H678">
        <v>46.5</v>
      </c>
      <c r="I678">
        <v>71.5</v>
      </c>
      <c r="J678">
        <v>57</v>
      </c>
      <c r="K678">
        <v>53.4</v>
      </c>
      <c r="L678">
        <v>59</v>
      </c>
      <c r="W678" s="1">
        <v>38838</v>
      </c>
      <c r="X678">
        <v>1270.089966</v>
      </c>
      <c r="Y678" s="4">
        <f t="shared" si="160"/>
        <v>-3.0916916141150906E-2</v>
      </c>
      <c r="Z678" s="4">
        <f t="shared" si="162"/>
        <v>6.5958846831724718E-2</v>
      </c>
      <c r="AA678">
        <v>55.2</v>
      </c>
      <c r="AB678">
        <f t="shared" si="163"/>
        <v>52.2</v>
      </c>
      <c r="AP678" s="3">
        <v>38808</v>
      </c>
      <c r="AQ678" s="2">
        <v>54.3</v>
      </c>
      <c r="AR678" s="2" t="str">
        <f t="shared" ref="AR678:AR741" si="164">IF(OR(AQ678&gt;AQ677,AQ678=AQ677),"+","-")</f>
        <v>-</v>
      </c>
      <c r="AS678" s="2">
        <v>57</v>
      </c>
      <c r="AT678" s="8" t="str">
        <f t="shared" si="151"/>
        <v>-</v>
      </c>
      <c r="AU678" s="2">
        <v>57</v>
      </c>
      <c r="AV678" s="8" t="str">
        <f t="shared" si="152"/>
        <v>-</v>
      </c>
      <c r="AW678" s="2">
        <v>53.8</v>
      </c>
      <c r="AX678" s="8" t="str">
        <f t="shared" si="153"/>
        <v>+</v>
      </c>
      <c r="AY678" s="2">
        <v>53.9</v>
      </c>
      <c r="AZ678" s="8" t="str">
        <f t="shared" si="154"/>
        <v>-</v>
      </c>
      <c r="BA678" s="2">
        <v>50</v>
      </c>
      <c r="BB678" s="8" t="str">
        <f t="shared" si="155"/>
        <v>-</v>
      </c>
      <c r="BC678" s="2">
        <v>48</v>
      </c>
      <c r="BD678" s="8" t="str">
        <f t="shared" si="156"/>
        <v>-</v>
      </c>
      <c r="BE678" s="2">
        <v>66.5</v>
      </c>
      <c r="BF678" s="8" t="str">
        <f t="shared" si="161"/>
        <v>+</v>
      </c>
      <c r="BG678" s="2">
        <v>59.5</v>
      </c>
      <c r="BH678" s="8" t="str">
        <f t="shared" si="157"/>
        <v>+</v>
      </c>
      <c r="BI678" s="2">
        <v>57.3</v>
      </c>
      <c r="BJ678" s="8" t="str">
        <f t="shared" si="158"/>
        <v>+</v>
      </c>
      <c r="BK678" s="2">
        <v>57</v>
      </c>
      <c r="BL678" s="8" t="str">
        <f t="shared" si="159"/>
        <v>-</v>
      </c>
    </row>
    <row r="679" spans="1:64">
      <c r="A679" s="1">
        <v>38869</v>
      </c>
      <c r="B679">
        <v>53.7</v>
      </c>
      <c r="C679">
        <v>54.9</v>
      </c>
      <c r="D679">
        <v>53.2</v>
      </c>
      <c r="E679">
        <v>56</v>
      </c>
      <c r="F679">
        <v>56.1</v>
      </c>
      <c r="G679">
        <v>48.5</v>
      </c>
      <c r="H679">
        <v>44</v>
      </c>
      <c r="I679">
        <v>77</v>
      </c>
      <c r="J679">
        <v>53</v>
      </c>
      <c r="K679">
        <v>55.7</v>
      </c>
      <c r="L679">
        <v>56.5</v>
      </c>
      <c r="W679" s="1">
        <v>38869</v>
      </c>
      <c r="X679">
        <v>1270.1999510000001</v>
      </c>
      <c r="Y679" s="4">
        <f t="shared" si="160"/>
        <v>8.659622778253766E-5</v>
      </c>
      <c r="Z679" s="4">
        <f t="shared" si="162"/>
        <v>6.6203317227758865E-2</v>
      </c>
      <c r="AA679">
        <v>53.7</v>
      </c>
      <c r="AB679">
        <f t="shared" si="163"/>
        <v>50.8</v>
      </c>
      <c r="AP679" s="3">
        <v>38838</v>
      </c>
      <c r="AQ679" s="2">
        <v>55.2</v>
      </c>
      <c r="AR679" s="2" t="str">
        <f t="shared" si="164"/>
        <v>+</v>
      </c>
      <c r="AS679" s="2">
        <v>55.7</v>
      </c>
      <c r="AT679" s="8" t="str">
        <f t="shared" ref="AT679:AT742" si="165">IF(OR(AS679&gt;AS678,AS679=AS678),"+","-")</f>
        <v>-</v>
      </c>
      <c r="AU679" s="2">
        <v>57.1</v>
      </c>
      <c r="AV679" s="8" t="str">
        <f t="shared" ref="AV679:AV742" si="166">IF(OR(AU679&gt;AU678,AU679=AU678),"+","-")</f>
        <v>+</v>
      </c>
      <c r="AW679" s="2">
        <v>54.2</v>
      </c>
      <c r="AX679" s="8" t="str">
        <f t="shared" ref="AX679:AX742" si="167">IF(OR(AW679&gt;AW678,AW679=AW678),"+","-")</f>
        <v>+</v>
      </c>
      <c r="AY679" s="2">
        <v>57.4</v>
      </c>
      <c r="AZ679" s="8" t="str">
        <f t="shared" ref="AZ679:AZ742" si="168">IF(OR(AY679&gt;AY678,AY679=AY678),"+","-")</f>
        <v>+</v>
      </c>
      <c r="BA679" s="2">
        <v>51.5</v>
      </c>
      <c r="BB679" s="8" t="str">
        <f t="shared" ref="BB679:BB742" si="169">IF(OR(BA679&gt;BA678,BA679=BA678),"+","-")</f>
        <v>+</v>
      </c>
      <c r="BC679" s="2">
        <v>46.5</v>
      </c>
      <c r="BD679" s="8" t="str">
        <f t="shared" ref="BD679:BD742" si="170">IF(OR(BC679&gt;BC678,BC679=BC678),"+","-")</f>
        <v>-</v>
      </c>
      <c r="BE679" s="2">
        <v>71.5</v>
      </c>
      <c r="BF679" s="8" t="str">
        <f t="shared" si="161"/>
        <v>+</v>
      </c>
      <c r="BG679" s="2">
        <v>57</v>
      </c>
      <c r="BH679" s="8" t="str">
        <f t="shared" ref="BH679:BH742" si="171">IF(OR(BG679&gt;BG678,BG679=BG678),"+","-")</f>
        <v>-</v>
      </c>
      <c r="BI679" s="2">
        <v>53.4</v>
      </c>
      <c r="BJ679" s="8" t="str">
        <f t="shared" ref="BJ679:BJ742" si="172">IF(OR(BI679&gt;BI678,BI679=BI678),"+","-")</f>
        <v>-</v>
      </c>
      <c r="BK679" s="2">
        <v>59</v>
      </c>
      <c r="BL679" s="8" t="str">
        <f t="shared" ref="BL679:BL742" si="173">IF(OR(BK679&gt;BK678,BK679=BK678),"+","-")</f>
        <v>+</v>
      </c>
    </row>
    <row r="680" spans="1:64">
      <c r="A680" s="1">
        <v>38899</v>
      </c>
      <c r="B680">
        <v>52</v>
      </c>
      <c r="C680">
        <v>55</v>
      </c>
      <c r="D680">
        <v>49.9</v>
      </c>
      <c r="E680">
        <v>53.4</v>
      </c>
      <c r="F680">
        <v>54</v>
      </c>
      <c r="G680">
        <v>47.5</v>
      </c>
      <c r="H680">
        <v>45.5</v>
      </c>
      <c r="I680">
        <v>76.5</v>
      </c>
      <c r="J680">
        <v>54</v>
      </c>
      <c r="K680">
        <v>55.4</v>
      </c>
      <c r="L680">
        <v>56.5</v>
      </c>
      <c r="W680" s="1">
        <v>38899</v>
      </c>
      <c r="X680">
        <v>1276.660034</v>
      </c>
      <c r="Y680" s="4">
        <f t="shared" si="160"/>
        <v>5.085878797990869E-3</v>
      </c>
      <c r="Z680" s="4">
        <f t="shared" si="162"/>
        <v>3.441959693184287E-2</v>
      </c>
      <c r="AA680">
        <v>52</v>
      </c>
      <c r="AB680">
        <f t="shared" si="163"/>
        <v>52.4</v>
      </c>
      <c r="AP680" s="3">
        <v>38869</v>
      </c>
      <c r="AQ680" s="2">
        <v>53.7</v>
      </c>
      <c r="AR680" s="2" t="str">
        <f t="shared" si="164"/>
        <v>-</v>
      </c>
      <c r="AS680" s="2">
        <v>54.9</v>
      </c>
      <c r="AT680" s="8" t="str">
        <f t="shared" si="165"/>
        <v>-</v>
      </c>
      <c r="AU680" s="2">
        <v>56</v>
      </c>
      <c r="AV680" s="8" t="str">
        <f t="shared" si="166"/>
        <v>-</v>
      </c>
      <c r="AW680" s="2">
        <v>53.2</v>
      </c>
      <c r="AX680" s="8" t="str">
        <f t="shared" si="167"/>
        <v>-</v>
      </c>
      <c r="AY680" s="2">
        <v>56.1</v>
      </c>
      <c r="AZ680" s="8" t="str">
        <f t="shared" si="168"/>
        <v>-</v>
      </c>
      <c r="BA680" s="2">
        <v>48.5</v>
      </c>
      <c r="BB680" s="8" t="str">
        <f t="shared" si="169"/>
        <v>-</v>
      </c>
      <c r="BC680" s="2">
        <v>44</v>
      </c>
      <c r="BD680" s="8" t="str">
        <f t="shared" si="170"/>
        <v>-</v>
      </c>
      <c r="BE680" s="2">
        <v>77</v>
      </c>
      <c r="BF680" s="8" t="str">
        <f t="shared" si="161"/>
        <v>+</v>
      </c>
      <c r="BG680" s="2">
        <v>53</v>
      </c>
      <c r="BH680" s="8" t="str">
        <f t="shared" si="171"/>
        <v>-</v>
      </c>
      <c r="BI680" s="2">
        <v>55.7</v>
      </c>
      <c r="BJ680" s="8" t="str">
        <f t="shared" si="172"/>
        <v>+</v>
      </c>
      <c r="BK680" s="2">
        <v>56.5</v>
      </c>
      <c r="BL680" s="8" t="str">
        <f t="shared" si="173"/>
        <v>-</v>
      </c>
    </row>
    <row r="681" spans="1:64">
      <c r="A681" s="1">
        <v>38930</v>
      </c>
      <c r="B681">
        <v>53</v>
      </c>
      <c r="C681">
        <v>55.8</v>
      </c>
      <c r="D681">
        <v>50.7</v>
      </c>
      <c r="E681">
        <v>56.9</v>
      </c>
      <c r="F681">
        <v>53.5</v>
      </c>
      <c r="G681">
        <v>48</v>
      </c>
      <c r="H681">
        <v>44.5</v>
      </c>
      <c r="I681">
        <v>78.5</v>
      </c>
      <c r="J681">
        <v>50.5</v>
      </c>
      <c r="K681">
        <v>51.9</v>
      </c>
      <c r="L681">
        <v>57.5</v>
      </c>
      <c r="W681" s="1">
        <v>38930</v>
      </c>
      <c r="X681">
        <v>1303.8199460000001</v>
      </c>
      <c r="Y681" s="4">
        <f t="shared" si="160"/>
        <v>2.127419303234809E-2</v>
      </c>
      <c r="Z681" s="4">
        <f t="shared" si="162"/>
        <v>6.8415914556144874E-2</v>
      </c>
      <c r="AA681">
        <v>53</v>
      </c>
      <c r="AB681">
        <f t="shared" si="163"/>
        <v>52.8</v>
      </c>
      <c r="AP681" s="3">
        <v>38899</v>
      </c>
      <c r="AQ681" s="2">
        <v>52</v>
      </c>
      <c r="AR681" s="2" t="str">
        <f t="shared" si="164"/>
        <v>-</v>
      </c>
      <c r="AS681" s="2">
        <v>55</v>
      </c>
      <c r="AT681" s="8" t="str">
        <f t="shared" si="165"/>
        <v>+</v>
      </c>
      <c r="AU681" s="2">
        <v>53.4</v>
      </c>
      <c r="AV681" s="8" t="str">
        <f t="shared" si="166"/>
        <v>-</v>
      </c>
      <c r="AW681" s="2">
        <v>49.9</v>
      </c>
      <c r="AX681" s="8" t="str">
        <f t="shared" si="167"/>
        <v>-</v>
      </c>
      <c r="AY681" s="2">
        <v>54</v>
      </c>
      <c r="AZ681" s="8" t="str">
        <f t="shared" si="168"/>
        <v>-</v>
      </c>
      <c r="BA681" s="2">
        <v>47.5</v>
      </c>
      <c r="BB681" s="8" t="str">
        <f t="shared" si="169"/>
        <v>-</v>
      </c>
      <c r="BC681" s="2">
        <v>45.5</v>
      </c>
      <c r="BD681" s="8" t="str">
        <f t="shared" si="170"/>
        <v>+</v>
      </c>
      <c r="BE681" s="2">
        <v>76.5</v>
      </c>
      <c r="BF681" s="8" t="str">
        <f t="shared" si="161"/>
        <v>-</v>
      </c>
      <c r="BG681" s="2">
        <v>54</v>
      </c>
      <c r="BH681" s="8" t="str">
        <f t="shared" si="171"/>
        <v>+</v>
      </c>
      <c r="BI681" s="2">
        <v>55.4</v>
      </c>
      <c r="BJ681" s="8" t="str">
        <f t="shared" si="172"/>
        <v>-</v>
      </c>
      <c r="BK681" s="2">
        <v>56.5</v>
      </c>
      <c r="BL681" s="8" t="str">
        <f t="shared" si="173"/>
        <v>+</v>
      </c>
    </row>
    <row r="682" spans="1:64">
      <c r="A682" s="1">
        <v>38961</v>
      </c>
      <c r="B682">
        <v>53.7</v>
      </c>
      <c r="C682">
        <v>55.3</v>
      </c>
      <c r="D682">
        <v>52.6</v>
      </c>
      <c r="E682">
        <v>55.2</v>
      </c>
      <c r="F682">
        <v>54.2</v>
      </c>
      <c r="G682">
        <v>51</v>
      </c>
      <c r="H682">
        <v>46</v>
      </c>
      <c r="I682">
        <v>73</v>
      </c>
      <c r="J682">
        <v>51.5</v>
      </c>
      <c r="K682">
        <v>55.7</v>
      </c>
      <c r="L682">
        <v>54</v>
      </c>
      <c r="W682" s="1">
        <v>38961</v>
      </c>
      <c r="X682">
        <v>1335.849976</v>
      </c>
      <c r="Y682" s="4">
        <f t="shared" si="160"/>
        <v>2.4566298512509407E-2</v>
      </c>
      <c r="Z682" s="4">
        <f t="shared" si="162"/>
        <v>8.7108594380411131E-2</v>
      </c>
      <c r="AA682">
        <v>53.7</v>
      </c>
      <c r="AB682">
        <f t="shared" si="163"/>
        <v>52.4</v>
      </c>
      <c r="AP682" s="3">
        <v>38930</v>
      </c>
      <c r="AQ682" s="2">
        <v>53</v>
      </c>
      <c r="AR682" s="2" t="str">
        <f t="shared" si="164"/>
        <v>+</v>
      </c>
      <c r="AS682" s="2">
        <v>55.8</v>
      </c>
      <c r="AT682" s="8" t="str">
        <f t="shared" si="165"/>
        <v>+</v>
      </c>
      <c r="AU682" s="2">
        <v>56.9</v>
      </c>
      <c r="AV682" s="8" t="str">
        <f t="shared" si="166"/>
        <v>+</v>
      </c>
      <c r="AW682" s="2">
        <v>50.7</v>
      </c>
      <c r="AX682" s="8" t="str">
        <f t="shared" si="167"/>
        <v>+</v>
      </c>
      <c r="AY682" s="2">
        <v>53.5</v>
      </c>
      <c r="AZ682" s="8" t="str">
        <f t="shared" si="168"/>
        <v>-</v>
      </c>
      <c r="BA682" s="2">
        <v>48</v>
      </c>
      <c r="BB682" s="8" t="str">
        <f t="shared" si="169"/>
        <v>+</v>
      </c>
      <c r="BC682" s="2">
        <v>44.5</v>
      </c>
      <c r="BD682" s="8" t="str">
        <f t="shared" si="170"/>
        <v>-</v>
      </c>
      <c r="BE682" s="2">
        <v>78.5</v>
      </c>
      <c r="BF682" s="8" t="str">
        <f t="shared" si="161"/>
        <v>+</v>
      </c>
      <c r="BG682" s="2">
        <v>50.5</v>
      </c>
      <c r="BH682" s="8" t="str">
        <f t="shared" si="171"/>
        <v>-</v>
      </c>
      <c r="BI682" s="2">
        <v>51.9</v>
      </c>
      <c r="BJ682" s="8" t="str">
        <f t="shared" si="172"/>
        <v>-</v>
      </c>
      <c r="BK682" s="2">
        <v>57.5</v>
      </c>
      <c r="BL682" s="8" t="str">
        <f t="shared" si="173"/>
        <v>+</v>
      </c>
    </row>
    <row r="683" spans="1:64">
      <c r="A683" s="1">
        <v>38991</v>
      </c>
      <c r="B683">
        <v>52.2</v>
      </c>
      <c r="C683">
        <v>54.8</v>
      </c>
      <c r="D683">
        <v>49.9</v>
      </c>
      <c r="E683">
        <v>56.2</v>
      </c>
      <c r="F683">
        <v>52.9</v>
      </c>
      <c r="G683">
        <v>47</v>
      </c>
      <c r="H683">
        <v>49</v>
      </c>
      <c r="I683">
        <v>61</v>
      </c>
      <c r="J683">
        <v>46.5</v>
      </c>
      <c r="K683">
        <v>55.3</v>
      </c>
      <c r="L683">
        <v>56</v>
      </c>
      <c r="W683" s="1">
        <v>38991</v>
      </c>
      <c r="X683">
        <v>1377.9399410000001</v>
      </c>
      <c r="Y683" s="4">
        <f t="shared" si="160"/>
        <v>3.1508002961554211E-2</v>
      </c>
      <c r="Z683" s="4">
        <f t="shared" si="162"/>
        <v>0.14161434419255572</v>
      </c>
      <c r="AA683">
        <v>52.2</v>
      </c>
      <c r="AB683">
        <f t="shared" si="163"/>
        <v>56.8</v>
      </c>
      <c r="AP683" s="3">
        <v>38961</v>
      </c>
      <c r="AQ683" s="2">
        <v>53.7</v>
      </c>
      <c r="AR683" s="2" t="str">
        <f t="shared" si="164"/>
        <v>+</v>
      </c>
      <c r="AS683" s="2">
        <v>55.3</v>
      </c>
      <c r="AT683" s="8" t="str">
        <f t="shared" si="165"/>
        <v>-</v>
      </c>
      <c r="AU683" s="2">
        <v>55.2</v>
      </c>
      <c r="AV683" s="8" t="str">
        <f t="shared" si="166"/>
        <v>-</v>
      </c>
      <c r="AW683" s="2">
        <v>52.6</v>
      </c>
      <c r="AX683" s="8" t="str">
        <f t="shared" si="167"/>
        <v>+</v>
      </c>
      <c r="AY683" s="2">
        <v>54.2</v>
      </c>
      <c r="AZ683" s="8" t="str">
        <f t="shared" si="168"/>
        <v>+</v>
      </c>
      <c r="BA683" s="2">
        <v>51</v>
      </c>
      <c r="BB683" s="8" t="str">
        <f t="shared" si="169"/>
        <v>+</v>
      </c>
      <c r="BC683" s="2">
        <v>46</v>
      </c>
      <c r="BD683" s="8" t="str">
        <f t="shared" si="170"/>
        <v>+</v>
      </c>
      <c r="BE683" s="2">
        <v>73</v>
      </c>
      <c r="BF683" s="8" t="str">
        <f t="shared" si="161"/>
        <v>-</v>
      </c>
      <c r="BG683" s="2">
        <v>51.5</v>
      </c>
      <c r="BH683" s="8" t="str">
        <f t="shared" si="171"/>
        <v>+</v>
      </c>
      <c r="BI683" s="2">
        <v>55.7</v>
      </c>
      <c r="BJ683" s="8" t="str">
        <f t="shared" si="172"/>
        <v>+</v>
      </c>
      <c r="BK683" s="2">
        <v>54</v>
      </c>
      <c r="BL683" s="8" t="str">
        <f t="shared" si="173"/>
        <v>-</v>
      </c>
    </row>
    <row r="684" spans="1:64">
      <c r="A684" s="1">
        <v>39022</v>
      </c>
      <c r="B684">
        <v>51.4</v>
      </c>
      <c r="C684">
        <v>54.1</v>
      </c>
      <c r="D684">
        <v>49.6</v>
      </c>
      <c r="E684">
        <v>54.3</v>
      </c>
      <c r="F684">
        <v>51.3</v>
      </c>
      <c r="G684">
        <v>47.5</v>
      </c>
      <c r="H684">
        <v>52</v>
      </c>
      <c r="I684">
        <v>47</v>
      </c>
      <c r="J684">
        <v>44.5</v>
      </c>
      <c r="K684">
        <v>57.8</v>
      </c>
      <c r="L684">
        <v>57</v>
      </c>
      <c r="W684" s="1">
        <v>39022</v>
      </c>
      <c r="X684">
        <v>1400.630005</v>
      </c>
      <c r="Y684" s="4">
        <f t="shared" si="160"/>
        <v>1.6466656727820252E-2</v>
      </c>
      <c r="Z684" s="4">
        <f t="shared" si="162"/>
        <v>0.12097034559929476</v>
      </c>
      <c r="AA684">
        <v>51.4</v>
      </c>
      <c r="AB684">
        <f t="shared" si="163"/>
        <v>57.2</v>
      </c>
      <c r="AP684" s="3">
        <v>38991</v>
      </c>
      <c r="AQ684" s="2">
        <v>52.2</v>
      </c>
      <c r="AR684" s="2" t="str">
        <f t="shared" si="164"/>
        <v>-</v>
      </c>
      <c r="AS684" s="2">
        <v>54.8</v>
      </c>
      <c r="AT684" s="8" t="str">
        <f t="shared" si="165"/>
        <v>-</v>
      </c>
      <c r="AU684" s="2">
        <v>56.2</v>
      </c>
      <c r="AV684" s="8" t="str">
        <f t="shared" si="166"/>
        <v>+</v>
      </c>
      <c r="AW684" s="2">
        <v>49.9</v>
      </c>
      <c r="AX684" s="8" t="str">
        <f t="shared" si="167"/>
        <v>-</v>
      </c>
      <c r="AY684" s="2">
        <v>52.9</v>
      </c>
      <c r="AZ684" s="8" t="str">
        <f t="shared" si="168"/>
        <v>-</v>
      </c>
      <c r="BA684" s="2">
        <v>47</v>
      </c>
      <c r="BB684" s="8" t="str">
        <f t="shared" si="169"/>
        <v>-</v>
      </c>
      <c r="BC684" s="2">
        <v>49</v>
      </c>
      <c r="BD684" s="8" t="str">
        <f t="shared" si="170"/>
        <v>+</v>
      </c>
      <c r="BE684" s="2">
        <v>61</v>
      </c>
      <c r="BF684" s="8" t="str">
        <f t="shared" si="161"/>
        <v>-</v>
      </c>
      <c r="BG684" s="2">
        <v>46.5</v>
      </c>
      <c r="BH684" s="8" t="str">
        <f t="shared" si="171"/>
        <v>-</v>
      </c>
      <c r="BI684" s="2">
        <v>55.3</v>
      </c>
      <c r="BJ684" s="8" t="str">
        <f t="shared" si="172"/>
        <v>-</v>
      </c>
      <c r="BK684" s="2">
        <v>56</v>
      </c>
      <c r="BL684" s="8" t="str">
        <f t="shared" si="173"/>
        <v>+</v>
      </c>
    </row>
    <row r="685" spans="1:64">
      <c r="A685" s="1">
        <v>39052</v>
      </c>
      <c r="B685">
        <v>50.3</v>
      </c>
      <c r="C685">
        <v>50.8</v>
      </c>
      <c r="D685">
        <v>49.2</v>
      </c>
      <c r="E685">
        <v>50.7</v>
      </c>
      <c r="F685">
        <v>53.1</v>
      </c>
      <c r="G685">
        <v>47.5</v>
      </c>
      <c r="H685">
        <v>50.5</v>
      </c>
      <c r="I685">
        <v>53.5</v>
      </c>
      <c r="J685">
        <v>46.5</v>
      </c>
      <c r="K685">
        <v>56.9</v>
      </c>
      <c r="L685">
        <v>56.5</v>
      </c>
      <c r="W685" s="1">
        <v>39052</v>
      </c>
      <c r="X685">
        <v>1418.3000489999999</v>
      </c>
      <c r="Y685" s="4">
        <f t="shared" si="160"/>
        <v>1.2615782852659909E-2</v>
      </c>
      <c r="Z685" s="4">
        <f t="shared" si="162"/>
        <v>0.13619431757718287</v>
      </c>
      <c r="AA685">
        <v>50.3</v>
      </c>
      <c r="AB685">
        <f t="shared" si="163"/>
        <v>56.7</v>
      </c>
      <c r="AP685" s="3">
        <v>39022</v>
      </c>
      <c r="AQ685" s="2">
        <v>51.4</v>
      </c>
      <c r="AR685" s="2" t="str">
        <f t="shared" si="164"/>
        <v>-</v>
      </c>
      <c r="AS685" s="2">
        <v>54.1</v>
      </c>
      <c r="AT685" s="8" t="str">
        <f t="shared" si="165"/>
        <v>-</v>
      </c>
      <c r="AU685" s="2">
        <v>54.3</v>
      </c>
      <c r="AV685" s="8" t="str">
        <f t="shared" si="166"/>
        <v>-</v>
      </c>
      <c r="AW685" s="2">
        <v>49.6</v>
      </c>
      <c r="AX685" s="8" t="str">
        <f t="shared" si="167"/>
        <v>-</v>
      </c>
      <c r="AY685" s="2">
        <v>51.3</v>
      </c>
      <c r="AZ685" s="8" t="str">
        <f t="shared" si="168"/>
        <v>-</v>
      </c>
      <c r="BA685" s="2">
        <v>47.5</v>
      </c>
      <c r="BB685" s="8" t="str">
        <f t="shared" si="169"/>
        <v>+</v>
      </c>
      <c r="BC685" s="2">
        <v>52</v>
      </c>
      <c r="BD685" s="8" t="str">
        <f t="shared" si="170"/>
        <v>+</v>
      </c>
      <c r="BE685" s="2">
        <v>47</v>
      </c>
      <c r="BF685" s="8" t="str">
        <f t="shared" si="161"/>
        <v>-</v>
      </c>
      <c r="BG685" s="2">
        <v>44.5</v>
      </c>
      <c r="BH685" s="8" t="str">
        <f t="shared" si="171"/>
        <v>-</v>
      </c>
      <c r="BI685" s="2">
        <v>57.8</v>
      </c>
      <c r="BJ685" s="8" t="str">
        <f t="shared" si="172"/>
        <v>+</v>
      </c>
      <c r="BK685" s="2">
        <v>57</v>
      </c>
      <c r="BL685" s="8" t="str">
        <f t="shared" si="173"/>
        <v>+</v>
      </c>
    </row>
    <row r="686" spans="1:64">
      <c r="A686" s="1">
        <v>39083</v>
      </c>
      <c r="B686">
        <v>51.4</v>
      </c>
      <c r="C686">
        <v>51.4</v>
      </c>
      <c r="D686">
        <v>49.8</v>
      </c>
      <c r="E686">
        <v>52.7</v>
      </c>
      <c r="F686">
        <v>55.7</v>
      </c>
      <c r="G686">
        <v>47.5</v>
      </c>
      <c r="H686">
        <v>50.5</v>
      </c>
      <c r="I686">
        <v>47.5</v>
      </c>
      <c r="J686">
        <v>45</v>
      </c>
      <c r="K686">
        <v>54.3</v>
      </c>
      <c r="L686">
        <v>55.5</v>
      </c>
      <c r="W686" s="1">
        <v>39083</v>
      </c>
      <c r="X686">
        <v>1438.23999</v>
      </c>
      <c r="Y686" s="4">
        <f t="shared" si="160"/>
        <v>1.4059042735039834E-2</v>
      </c>
      <c r="Z686" s="4">
        <f t="shared" si="162"/>
        <v>0.12355480863415691</v>
      </c>
      <c r="AA686">
        <v>51.4</v>
      </c>
      <c r="AB686">
        <f t="shared" si="163"/>
        <v>55.1</v>
      </c>
      <c r="AP686" s="3">
        <v>39052</v>
      </c>
      <c r="AQ686" s="2">
        <v>50.3</v>
      </c>
      <c r="AR686" s="2" t="str">
        <f t="shared" si="164"/>
        <v>-</v>
      </c>
      <c r="AS686" s="2">
        <v>50.8</v>
      </c>
      <c r="AT686" s="8" t="str">
        <f t="shared" si="165"/>
        <v>-</v>
      </c>
      <c r="AU686" s="2">
        <v>50.7</v>
      </c>
      <c r="AV686" s="8" t="str">
        <f t="shared" si="166"/>
        <v>-</v>
      </c>
      <c r="AW686" s="2">
        <v>49.2</v>
      </c>
      <c r="AX686" s="8" t="str">
        <f t="shared" si="167"/>
        <v>-</v>
      </c>
      <c r="AY686" s="2">
        <v>53.1</v>
      </c>
      <c r="AZ686" s="8" t="str">
        <f t="shared" si="168"/>
        <v>+</v>
      </c>
      <c r="BA686" s="2">
        <v>47.5</v>
      </c>
      <c r="BB686" s="8" t="str">
        <f t="shared" si="169"/>
        <v>+</v>
      </c>
      <c r="BC686" s="2">
        <v>50.5</v>
      </c>
      <c r="BD686" s="8" t="str">
        <f t="shared" si="170"/>
        <v>-</v>
      </c>
      <c r="BE686" s="2">
        <v>53.5</v>
      </c>
      <c r="BF686" s="8" t="str">
        <f t="shared" si="161"/>
        <v>+</v>
      </c>
      <c r="BG686" s="2">
        <v>46.5</v>
      </c>
      <c r="BH686" s="8" t="str">
        <f t="shared" si="171"/>
        <v>+</v>
      </c>
      <c r="BI686" s="2">
        <v>56.9</v>
      </c>
      <c r="BJ686" s="8" t="str">
        <f t="shared" si="172"/>
        <v>-</v>
      </c>
      <c r="BK686" s="2">
        <v>56.5</v>
      </c>
      <c r="BL686" s="8" t="str">
        <f t="shared" si="173"/>
        <v>-</v>
      </c>
    </row>
    <row r="687" spans="1:64">
      <c r="A687" s="1">
        <v>39114</v>
      </c>
      <c r="B687">
        <v>49.5</v>
      </c>
      <c r="C687">
        <v>52.2</v>
      </c>
      <c r="D687">
        <v>50.3</v>
      </c>
      <c r="E687">
        <v>51.2</v>
      </c>
      <c r="F687">
        <v>53.1</v>
      </c>
      <c r="G687">
        <v>40.5</v>
      </c>
      <c r="H687">
        <v>52</v>
      </c>
      <c r="I687">
        <v>53</v>
      </c>
      <c r="J687">
        <v>43.5</v>
      </c>
      <c r="K687">
        <v>52.5</v>
      </c>
      <c r="L687">
        <v>54.5</v>
      </c>
      <c r="W687" s="1">
        <v>39114</v>
      </c>
      <c r="X687">
        <v>1406.8199460000001</v>
      </c>
      <c r="Y687" s="4">
        <f t="shared" si="160"/>
        <v>-2.1846176033528286E-2</v>
      </c>
      <c r="Z687" s="4">
        <f t="shared" si="162"/>
        <v>9.8511633572224117E-2</v>
      </c>
      <c r="AA687">
        <v>49.5</v>
      </c>
      <c r="AB687">
        <f t="shared" si="163"/>
        <v>55</v>
      </c>
      <c r="AP687" s="3">
        <v>39083</v>
      </c>
      <c r="AQ687" s="2">
        <v>51.4</v>
      </c>
      <c r="AR687" s="2" t="str">
        <f t="shared" si="164"/>
        <v>+</v>
      </c>
      <c r="AS687" s="2">
        <v>51.4</v>
      </c>
      <c r="AT687" s="8" t="str">
        <f t="shared" si="165"/>
        <v>+</v>
      </c>
      <c r="AU687" s="2">
        <v>52.7</v>
      </c>
      <c r="AV687" s="8" t="str">
        <f t="shared" si="166"/>
        <v>+</v>
      </c>
      <c r="AW687" s="2">
        <v>49.8</v>
      </c>
      <c r="AX687" s="8" t="str">
        <f t="shared" si="167"/>
        <v>+</v>
      </c>
      <c r="AY687" s="2">
        <v>55.7</v>
      </c>
      <c r="AZ687" s="8" t="str">
        <f t="shared" si="168"/>
        <v>+</v>
      </c>
      <c r="BA687" s="2">
        <v>47.5</v>
      </c>
      <c r="BB687" s="8" t="str">
        <f t="shared" si="169"/>
        <v>+</v>
      </c>
      <c r="BC687" s="2">
        <v>50.5</v>
      </c>
      <c r="BD687" s="8" t="str">
        <f t="shared" si="170"/>
        <v>+</v>
      </c>
      <c r="BE687" s="2">
        <v>47.5</v>
      </c>
      <c r="BF687" s="8" t="str">
        <f t="shared" si="161"/>
        <v>-</v>
      </c>
      <c r="BG687" s="2">
        <v>45</v>
      </c>
      <c r="BH687" s="8" t="str">
        <f t="shared" si="171"/>
        <v>-</v>
      </c>
      <c r="BI687" s="2">
        <v>54.3</v>
      </c>
      <c r="BJ687" s="8" t="str">
        <f t="shared" si="172"/>
        <v>-</v>
      </c>
      <c r="BK687" s="2">
        <v>55.5</v>
      </c>
      <c r="BL687" s="8" t="str">
        <f t="shared" si="173"/>
        <v>-</v>
      </c>
    </row>
    <row r="688" spans="1:64">
      <c r="A688" s="1">
        <v>39142</v>
      </c>
      <c r="B688">
        <v>51.9</v>
      </c>
      <c r="C688">
        <v>55.1</v>
      </c>
      <c r="D688">
        <v>50.9</v>
      </c>
      <c r="E688">
        <v>53.8</v>
      </c>
      <c r="F688">
        <v>52.8</v>
      </c>
      <c r="G688">
        <v>47</v>
      </c>
      <c r="H688">
        <v>53</v>
      </c>
      <c r="I688">
        <v>59</v>
      </c>
      <c r="J688">
        <v>51.5</v>
      </c>
      <c r="K688">
        <v>54</v>
      </c>
      <c r="L688">
        <v>61.5</v>
      </c>
      <c r="W688" s="1">
        <v>39142</v>
      </c>
      <c r="X688">
        <v>1420.8599850000001</v>
      </c>
      <c r="Y688" s="4">
        <f t="shared" si="160"/>
        <v>9.9799828968304798E-3</v>
      </c>
      <c r="Z688" s="4">
        <f t="shared" si="162"/>
        <v>9.7299335444096094E-2</v>
      </c>
      <c r="AA688">
        <v>51.9</v>
      </c>
      <c r="AB688">
        <f t="shared" si="163"/>
        <v>55.8</v>
      </c>
      <c r="AP688" s="3">
        <v>39114</v>
      </c>
      <c r="AQ688" s="2">
        <v>49.5</v>
      </c>
      <c r="AR688" s="2" t="str">
        <f t="shared" si="164"/>
        <v>-</v>
      </c>
      <c r="AS688" s="2">
        <v>52.2</v>
      </c>
      <c r="AT688" s="8" t="str">
        <f t="shared" si="165"/>
        <v>+</v>
      </c>
      <c r="AU688" s="2">
        <v>51.2</v>
      </c>
      <c r="AV688" s="8" t="str">
        <f t="shared" si="166"/>
        <v>-</v>
      </c>
      <c r="AW688" s="2">
        <v>50.3</v>
      </c>
      <c r="AX688" s="8" t="str">
        <f t="shared" si="167"/>
        <v>+</v>
      </c>
      <c r="AY688" s="2">
        <v>53.1</v>
      </c>
      <c r="AZ688" s="8" t="str">
        <f t="shared" si="168"/>
        <v>-</v>
      </c>
      <c r="BA688" s="2">
        <v>40.5</v>
      </c>
      <c r="BB688" s="8" t="str">
        <f t="shared" si="169"/>
        <v>-</v>
      </c>
      <c r="BC688" s="2">
        <v>52</v>
      </c>
      <c r="BD688" s="8" t="str">
        <f t="shared" si="170"/>
        <v>+</v>
      </c>
      <c r="BE688" s="2">
        <v>53</v>
      </c>
      <c r="BF688" s="8" t="str">
        <f t="shared" si="161"/>
        <v>+</v>
      </c>
      <c r="BG688" s="2">
        <v>43.5</v>
      </c>
      <c r="BH688" s="8" t="str">
        <f t="shared" si="171"/>
        <v>-</v>
      </c>
      <c r="BI688" s="2">
        <v>52.5</v>
      </c>
      <c r="BJ688" s="8" t="str">
        <f t="shared" si="172"/>
        <v>-</v>
      </c>
      <c r="BK688" s="2">
        <v>54.5</v>
      </c>
      <c r="BL688" s="8" t="str">
        <f t="shared" si="173"/>
        <v>-</v>
      </c>
    </row>
    <row r="689" spans="1:64">
      <c r="A689" s="1">
        <v>39173</v>
      </c>
      <c r="B689">
        <v>50.7</v>
      </c>
      <c r="C689">
        <v>50.2</v>
      </c>
      <c r="D689">
        <v>49.9</v>
      </c>
      <c r="E689">
        <v>53.1</v>
      </c>
      <c r="F689">
        <v>51.2</v>
      </c>
      <c r="G689">
        <v>49</v>
      </c>
      <c r="H689">
        <v>48</v>
      </c>
      <c r="I689">
        <v>65.5</v>
      </c>
      <c r="J689">
        <v>47</v>
      </c>
      <c r="K689">
        <v>55.5</v>
      </c>
      <c r="L689">
        <v>57.5</v>
      </c>
      <c r="W689" s="1">
        <v>39173</v>
      </c>
      <c r="X689">
        <v>1482.369995</v>
      </c>
      <c r="Y689" s="4">
        <f t="shared" si="160"/>
        <v>4.329069060242411E-2</v>
      </c>
      <c r="Z689" s="4">
        <f t="shared" si="162"/>
        <v>0.13105348804434749</v>
      </c>
      <c r="AA689">
        <v>50.7</v>
      </c>
      <c r="AB689">
        <f t="shared" si="163"/>
        <v>54.3</v>
      </c>
      <c r="AP689" s="3">
        <v>39142</v>
      </c>
      <c r="AQ689" s="2">
        <v>51.9</v>
      </c>
      <c r="AR689" s="2" t="str">
        <f t="shared" si="164"/>
        <v>+</v>
      </c>
      <c r="AS689" s="2">
        <v>55.1</v>
      </c>
      <c r="AT689" s="8" t="str">
        <f t="shared" si="165"/>
        <v>+</v>
      </c>
      <c r="AU689" s="2">
        <v>53.8</v>
      </c>
      <c r="AV689" s="8" t="str">
        <f t="shared" si="166"/>
        <v>+</v>
      </c>
      <c r="AW689" s="2">
        <v>50.9</v>
      </c>
      <c r="AX689" s="8" t="str">
        <f t="shared" si="167"/>
        <v>+</v>
      </c>
      <c r="AY689" s="2">
        <v>52.8</v>
      </c>
      <c r="AZ689" s="8" t="str">
        <f t="shared" si="168"/>
        <v>-</v>
      </c>
      <c r="BA689" s="2">
        <v>47</v>
      </c>
      <c r="BB689" s="8" t="str">
        <f t="shared" si="169"/>
        <v>+</v>
      </c>
      <c r="BC689" s="2">
        <v>53</v>
      </c>
      <c r="BD689" s="8" t="str">
        <f t="shared" si="170"/>
        <v>+</v>
      </c>
      <c r="BE689" s="2">
        <v>59</v>
      </c>
      <c r="BF689" s="8" t="str">
        <f t="shared" si="161"/>
        <v>+</v>
      </c>
      <c r="BG689" s="2">
        <v>51.5</v>
      </c>
      <c r="BH689" s="8" t="str">
        <f t="shared" si="171"/>
        <v>+</v>
      </c>
      <c r="BI689" s="2">
        <v>54</v>
      </c>
      <c r="BJ689" s="8" t="str">
        <f t="shared" si="172"/>
        <v>+</v>
      </c>
      <c r="BK689" s="2">
        <v>61.5</v>
      </c>
      <c r="BL689" s="8" t="str">
        <f t="shared" si="173"/>
        <v>+</v>
      </c>
    </row>
    <row r="690" spans="1:64">
      <c r="A690" s="1">
        <v>39203</v>
      </c>
      <c r="B690">
        <v>52.6</v>
      </c>
      <c r="C690">
        <v>57.4</v>
      </c>
      <c r="D690">
        <v>51.9</v>
      </c>
      <c r="E690">
        <v>56.2</v>
      </c>
      <c r="F690">
        <v>50.3</v>
      </c>
      <c r="G690">
        <v>47</v>
      </c>
      <c r="H690">
        <v>47</v>
      </c>
      <c r="I690">
        <v>73</v>
      </c>
      <c r="J690">
        <v>54.5</v>
      </c>
      <c r="K690">
        <v>57</v>
      </c>
      <c r="L690">
        <v>58</v>
      </c>
      <c r="W690" s="1">
        <v>39203</v>
      </c>
      <c r="X690">
        <v>1530.619995</v>
      </c>
      <c r="Y690" s="4">
        <f t="shared" si="160"/>
        <v>3.254922870993486E-2</v>
      </c>
      <c r="Z690" s="4">
        <f t="shared" si="162"/>
        <v>0.20512722403477363</v>
      </c>
      <c r="AA690">
        <v>52.6</v>
      </c>
      <c r="AB690">
        <f t="shared" si="163"/>
        <v>55.2</v>
      </c>
      <c r="AP690" s="3">
        <v>39173</v>
      </c>
      <c r="AQ690" s="2">
        <v>50.7</v>
      </c>
      <c r="AR690" s="2" t="str">
        <f t="shared" si="164"/>
        <v>-</v>
      </c>
      <c r="AS690" s="2">
        <v>50.2</v>
      </c>
      <c r="AT690" s="8" t="str">
        <f t="shared" si="165"/>
        <v>-</v>
      </c>
      <c r="AU690" s="2">
        <v>53.1</v>
      </c>
      <c r="AV690" s="8" t="str">
        <f t="shared" si="166"/>
        <v>-</v>
      </c>
      <c r="AW690" s="2">
        <v>49.9</v>
      </c>
      <c r="AX690" s="8" t="str">
        <f t="shared" si="167"/>
        <v>-</v>
      </c>
      <c r="AY690" s="2">
        <v>51.2</v>
      </c>
      <c r="AZ690" s="8" t="str">
        <f t="shared" si="168"/>
        <v>-</v>
      </c>
      <c r="BA690" s="2">
        <v>49</v>
      </c>
      <c r="BB690" s="8" t="str">
        <f t="shared" si="169"/>
        <v>+</v>
      </c>
      <c r="BC690" s="2">
        <v>48</v>
      </c>
      <c r="BD690" s="8" t="str">
        <f t="shared" si="170"/>
        <v>-</v>
      </c>
      <c r="BE690" s="2">
        <v>65.5</v>
      </c>
      <c r="BF690" s="8" t="str">
        <f t="shared" si="161"/>
        <v>+</v>
      </c>
      <c r="BG690" s="2">
        <v>47</v>
      </c>
      <c r="BH690" s="8" t="str">
        <f t="shared" si="171"/>
        <v>-</v>
      </c>
      <c r="BI690" s="2">
        <v>55.5</v>
      </c>
      <c r="BJ690" s="8" t="str">
        <f t="shared" si="172"/>
        <v>+</v>
      </c>
      <c r="BK690" s="2">
        <v>57.5</v>
      </c>
      <c r="BL690" s="8" t="str">
        <f t="shared" si="173"/>
        <v>-</v>
      </c>
    </row>
    <row r="691" spans="1:64">
      <c r="A691" s="1">
        <v>39234</v>
      </c>
      <c r="B691">
        <v>52.5</v>
      </c>
      <c r="C691">
        <v>58.6</v>
      </c>
      <c r="D691">
        <v>52.2</v>
      </c>
      <c r="E691">
        <v>56.2</v>
      </c>
      <c r="F691">
        <v>49.3</v>
      </c>
      <c r="G691">
        <v>46</v>
      </c>
      <c r="H691">
        <v>48</v>
      </c>
      <c r="I691">
        <v>71</v>
      </c>
      <c r="J691">
        <v>52.5</v>
      </c>
      <c r="K691">
        <v>59</v>
      </c>
      <c r="L691">
        <v>57.5</v>
      </c>
      <c r="W691" s="1">
        <v>39234</v>
      </c>
      <c r="X691">
        <v>1503.349976</v>
      </c>
      <c r="Y691" s="4">
        <f t="shared" si="160"/>
        <v>-1.7816322202167525E-2</v>
      </c>
      <c r="Z691" s="4">
        <f t="shared" si="162"/>
        <v>0.18355379782249726</v>
      </c>
      <c r="AA691">
        <v>52.5</v>
      </c>
      <c r="AB691">
        <f t="shared" si="163"/>
        <v>53.7</v>
      </c>
      <c r="AP691" s="3">
        <v>39203</v>
      </c>
      <c r="AQ691" s="2">
        <v>52.6</v>
      </c>
      <c r="AR691" s="2" t="str">
        <f t="shared" si="164"/>
        <v>+</v>
      </c>
      <c r="AS691" s="2">
        <v>57.4</v>
      </c>
      <c r="AT691" s="8" t="str">
        <f t="shared" si="165"/>
        <v>+</v>
      </c>
      <c r="AU691" s="2">
        <v>56.2</v>
      </c>
      <c r="AV691" s="8" t="str">
        <f t="shared" si="166"/>
        <v>+</v>
      </c>
      <c r="AW691" s="2">
        <v>51.9</v>
      </c>
      <c r="AX691" s="8" t="str">
        <f t="shared" si="167"/>
        <v>+</v>
      </c>
      <c r="AY691" s="2">
        <v>50.3</v>
      </c>
      <c r="AZ691" s="8" t="str">
        <f t="shared" si="168"/>
        <v>-</v>
      </c>
      <c r="BA691" s="2">
        <v>47</v>
      </c>
      <c r="BB691" s="8" t="str">
        <f t="shared" si="169"/>
        <v>-</v>
      </c>
      <c r="BC691" s="2">
        <v>47</v>
      </c>
      <c r="BD691" s="8" t="str">
        <f t="shared" si="170"/>
        <v>-</v>
      </c>
      <c r="BE691" s="2">
        <v>73</v>
      </c>
      <c r="BF691" s="8" t="str">
        <f t="shared" si="161"/>
        <v>+</v>
      </c>
      <c r="BG691" s="2">
        <v>54.5</v>
      </c>
      <c r="BH691" s="8" t="str">
        <f t="shared" si="171"/>
        <v>+</v>
      </c>
      <c r="BI691" s="2">
        <v>57</v>
      </c>
      <c r="BJ691" s="8" t="str">
        <f t="shared" si="172"/>
        <v>+</v>
      </c>
      <c r="BK691" s="2">
        <v>58</v>
      </c>
      <c r="BL691" s="8" t="str">
        <f t="shared" si="173"/>
        <v>+</v>
      </c>
    </row>
    <row r="692" spans="1:64">
      <c r="A692" s="1">
        <v>39264</v>
      </c>
      <c r="B692">
        <v>52.6</v>
      </c>
      <c r="C692">
        <v>57.7</v>
      </c>
      <c r="D692">
        <v>51.9</v>
      </c>
      <c r="E692">
        <v>59.5</v>
      </c>
      <c r="F692">
        <v>48.9</v>
      </c>
      <c r="G692">
        <v>45</v>
      </c>
      <c r="H692">
        <v>47</v>
      </c>
      <c r="I692">
        <v>68</v>
      </c>
      <c r="J692">
        <v>53.5</v>
      </c>
      <c r="K692">
        <v>56</v>
      </c>
      <c r="L692">
        <v>54.5</v>
      </c>
      <c r="W692" s="1">
        <v>39264</v>
      </c>
      <c r="X692">
        <v>1455.2700199999999</v>
      </c>
      <c r="Y692" s="4">
        <f t="shared" si="160"/>
        <v>-3.1981878316802555E-2</v>
      </c>
      <c r="Z692" s="4">
        <f t="shared" si="162"/>
        <v>0.1399041101336771</v>
      </c>
      <c r="AA692">
        <v>52.6</v>
      </c>
      <c r="AB692">
        <f t="shared" si="163"/>
        <v>52</v>
      </c>
      <c r="AP692" s="3">
        <v>39234</v>
      </c>
      <c r="AQ692" s="2">
        <v>52.5</v>
      </c>
      <c r="AR692" s="2" t="str">
        <f t="shared" si="164"/>
        <v>-</v>
      </c>
      <c r="AS692" s="2">
        <v>58.6</v>
      </c>
      <c r="AT692" s="8" t="str">
        <f t="shared" si="165"/>
        <v>+</v>
      </c>
      <c r="AU692" s="2">
        <v>56.2</v>
      </c>
      <c r="AV692" s="8" t="str">
        <f t="shared" si="166"/>
        <v>+</v>
      </c>
      <c r="AW692" s="2">
        <v>52.2</v>
      </c>
      <c r="AX692" s="8" t="str">
        <f t="shared" si="167"/>
        <v>+</v>
      </c>
      <c r="AY692" s="2">
        <v>49.3</v>
      </c>
      <c r="AZ692" s="8" t="str">
        <f t="shared" si="168"/>
        <v>-</v>
      </c>
      <c r="BA692" s="2">
        <v>46</v>
      </c>
      <c r="BB692" s="8" t="str">
        <f t="shared" si="169"/>
        <v>-</v>
      </c>
      <c r="BC692" s="2">
        <v>48</v>
      </c>
      <c r="BD692" s="8" t="str">
        <f t="shared" si="170"/>
        <v>+</v>
      </c>
      <c r="BE692" s="2">
        <v>71</v>
      </c>
      <c r="BF692" s="8" t="str">
        <f t="shared" si="161"/>
        <v>-</v>
      </c>
      <c r="BG692" s="2">
        <v>52.5</v>
      </c>
      <c r="BH692" s="8" t="str">
        <f t="shared" si="171"/>
        <v>-</v>
      </c>
      <c r="BI692" s="2">
        <v>59</v>
      </c>
      <c r="BJ692" s="8" t="str">
        <f t="shared" si="172"/>
        <v>+</v>
      </c>
      <c r="BK692" s="2">
        <v>57.5</v>
      </c>
      <c r="BL692" s="8" t="str">
        <f t="shared" si="173"/>
        <v>-</v>
      </c>
    </row>
    <row r="693" spans="1:64">
      <c r="A693" s="1">
        <v>39295</v>
      </c>
      <c r="B693">
        <v>52.4</v>
      </c>
      <c r="C693">
        <v>58.6</v>
      </c>
      <c r="D693">
        <v>49.8</v>
      </c>
      <c r="E693">
        <v>57</v>
      </c>
      <c r="F693">
        <v>50</v>
      </c>
      <c r="G693">
        <v>46.5</v>
      </c>
      <c r="H693">
        <v>51</v>
      </c>
      <c r="I693">
        <v>65</v>
      </c>
      <c r="J693">
        <v>52</v>
      </c>
      <c r="K693">
        <v>56.5</v>
      </c>
      <c r="L693">
        <v>54.5</v>
      </c>
      <c r="W693" s="1">
        <v>39295</v>
      </c>
      <c r="X693">
        <v>1473.98999</v>
      </c>
      <c r="Y693" s="4">
        <f t="shared" si="160"/>
        <v>1.2863571531556806E-2</v>
      </c>
      <c r="Z693" s="4">
        <f t="shared" si="162"/>
        <v>0.13051652148907986</v>
      </c>
      <c r="AA693">
        <v>52.4</v>
      </c>
      <c r="AB693">
        <f t="shared" si="163"/>
        <v>53</v>
      </c>
      <c r="AP693" s="3">
        <v>39264</v>
      </c>
      <c r="AQ693" s="2">
        <v>52.6</v>
      </c>
      <c r="AR693" s="2" t="str">
        <f t="shared" si="164"/>
        <v>+</v>
      </c>
      <c r="AS693" s="2">
        <v>57.7</v>
      </c>
      <c r="AT693" s="8" t="str">
        <f t="shared" si="165"/>
        <v>-</v>
      </c>
      <c r="AU693" s="2">
        <v>59.5</v>
      </c>
      <c r="AV693" s="8" t="str">
        <f t="shared" si="166"/>
        <v>+</v>
      </c>
      <c r="AW693" s="2">
        <v>51.9</v>
      </c>
      <c r="AX693" s="8" t="str">
        <f t="shared" si="167"/>
        <v>-</v>
      </c>
      <c r="AY693" s="2">
        <v>48.9</v>
      </c>
      <c r="AZ693" s="8" t="str">
        <f t="shared" si="168"/>
        <v>-</v>
      </c>
      <c r="BA693" s="2">
        <v>45</v>
      </c>
      <c r="BB693" s="8" t="str">
        <f t="shared" si="169"/>
        <v>-</v>
      </c>
      <c r="BC693" s="2">
        <v>47</v>
      </c>
      <c r="BD693" s="8" t="str">
        <f t="shared" si="170"/>
        <v>-</v>
      </c>
      <c r="BE693" s="2">
        <v>68</v>
      </c>
      <c r="BF693" s="8" t="str">
        <f t="shared" si="161"/>
        <v>-</v>
      </c>
      <c r="BG693" s="2">
        <v>53.5</v>
      </c>
      <c r="BH693" s="8" t="str">
        <f t="shared" si="171"/>
        <v>+</v>
      </c>
      <c r="BI693" s="2">
        <v>56</v>
      </c>
      <c r="BJ693" s="8" t="str">
        <f t="shared" si="172"/>
        <v>-</v>
      </c>
      <c r="BK693" s="2">
        <v>54.5</v>
      </c>
      <c r="BL693" s="8" t="str">
        <f t="shared" si="173"/>
        <v>-</v>
      </c>
    </row>
    <row r="694" spans="1:64">
      <c r="A694" s="1">
        <v>39326</v>
      </c>
      <c r="B694">
        <v>50.9</v>
      </c>
      <c r="C694">
        <v>54.4</v>
      </c>
      <c r="D694">
        <v>50</v>
      </c>
      <c r="E694">
        <v>54.3</v>
      </c>
      <c r="F694">
        <v>49.2</v>
      </c>
      <c r="G694">
        <v>46.5</v>
      </c>
      <c r="H694">
        <v>49</v>
      </c>
      <c r="I694">
        <v>63</v>
      </c>
      <c r="J694">
        <v>50.5</v>
      </c>
      <c r="K694">
        <v>57</v>
      </c>
      <c r="L694">
        <v>52.5</v>
      </c>
      <c r="W694" s="1">
        <v>39326</v>
      </c>
      <c r="X694">
        <v>1526.75</v>
      </c>
      <c r="Y694" s="4">
        <f t="shared" si="160"/>
        <v>3.5794008343299509E-2</v>
      </c>
      <c r="Z694" s="4">
        <f t="shared" si="162"/>
        <v>0.1429052868433783</v>
      </c>
      <c r="AA694">
        <v>50.9</v>
      </c>
      <c r="AB694">
        <f t="shared" si="163"/>
        <v>53.7</v>
      </c>
      <c r="AP694" s="3">
        <v>39295</v>
      </c>
      <c r="AQ694" s="2">
        <v>52.4</v>
      </c>
      <c r="AR694" s="2" t="str">
        <f t="shared" si="164"/>
        <v>-</v>
      </c>
      <c r="AS694" s="2">
        <v>58.6</v>
      </c>
      <c r="AT694" s="8" t="str">
        <f t="shared" si="165"/>
        <v>+</v>
      </c>
      <c r="AU694" s="2">
        <v>57</v>
      </c>
      <c r="AV694" s="8" t="str">
        <f t="shared" si="166"/>
        <v>-</v>
      </c>
      <c r="AW694" s="2">
        <v>49.8</v>
      </c>
      <c r="AX694" s="8" t="str">
        <f t="shared" si="167"/>
        <v>-</v>
      </c>
      <c r="AY694" s="2">
        <v>50</v>
      </c>
      <c r="AZ694" s="8" t="str">
        <f t="shared" si="168"/>
        <v>+</v>
      </c>
      <c r="BA694" s="2">
        <v>46.5</v>
      </c>
      <c r="BB694" s="8" t="str">
        <f t="shared" si="169"/>
        <v>+</v>
      </c>
      <c r="BC694" s="2">
        <v>51</v>
      </c>
      <c r="BD694" s="8" t="str">
        <f t="shared" si="170"/>
        <v>+</v>
      </c>
      <c r="BE694" s="2">
        <v>65</v>
      </c>
      <c r="BF694" s="8" t="str">
        <f t="shared" si="161"/>
        <v>-</v>
      </c>
      <c r="BG694" s="2">
        <v>52</v>
      </c>
      <c r="BH694" s="8" t="str">
        <f t="shared" si="171"/>
        <v>-</v>
      </c>
      <c r="BI694" s="2">
        <v>56.5</v>
      </c>
      <c r="BJ694" s="8" t="str">
        <f t="shared" si="172"/>
        <v>+</v>
      </c>
      <c r="BK694" s="2">
        <v>54.5</v>
      </c>
      <c r="BL694" s="8" t="str">
        <f t="shared" si="173"/>
        <v>+</v>
      </c>
    </row>
    <row r="695" spans="1:64">
      <c r="A695" s="1">
        <v>39356</v>
      </c>
      <c r="B695">
        <v>51</v>
      </c>
      <c r="C695">
        <v>54.4</v>
      </c>
      <c r="D695">
        <v>52</v>
      </c>
      <c r="E695">
        <v>56.3</v>
      </c>
      <c r="F695">
        <v>50.7</v>
      </c>
      <c r="G695">
        <v>41.5</v>
      </c>
      <c r="H695">
        <v>50</v>
      </c>
      <c r="I695">
        <v>59</v>
      </c>
      <c r="J695">
        <v>51</v>
      </c>
      <c r="K695">
        <v>54.5</v>
      </c>
      <c r="L695">
        <v>53</v>
      </c>
      <c r="W695" s="1">
        <v>39356</v>
      </c>
      <c r="X695">
        <v>1549.380005</v>
      </c>
      <c r="Y695" s="4">
        <f t="shared" si="160"/>
        <v>1.4822338300311107E-2</v>
      </c>
      <c r="Z695" s="4">
        <f t="shared" si="162"/>
        <v>0.12441766066783885</v>
      </c>
      <c r="AA695">
        <v>51</v>
      </c>
      <c r="AB695">
        <f t="shared" si="163"/>
        <v>52.2</v>
      </c>
      <c r="AP695" s="3">
        <v>39326</v>
      </c>
      <c r="AQ695" s="2">
        <v>50.9</v>
      </c>
      <c r="AR695" s="2" t="str">
        <f t="shared" si="164"/>
        <v>-</v>
      </c>
      <c r="AS695" s="2">
        <v>54.4</v>
      </c>
      <c r="AT695" s="8" t="str">
        <f t="shared" si="165"/>
        <v>-</v>
      </c>
      <c r="AU695" s="2">
        <v>54.3</v>
      </c>
      <c r="AV695" s="8" t="str">
        <f t="shared" si="166"/>
        <v>-</v>
      </c>
      <c r="AW695" s="2">
        <v>50</v>
      </c>
      <c r="AX695" s="8" t="str">
        <f t="shared" si="167"/>
        <v>+</v>
      </c>
      <c r="AY695" s="2">
        <v>49.2</v>
      </c>
      <c r="AZ695" s="8" t="str">
        <f t="shared" si="168"/>
        <v>-</v>
      </c>
      <c r="BA695" s="2">
        <v>46.5</v>
      </c>
      <c r="BB695" s="8" t="str">
        <f t="shared" si="169"/>
        <v>+</v>
      </c>
      <c r="BC695" s="2">
        <v>49</v>
      </c>
      <c r="BD695" s="8" t="str">
        <f t="shared" si="170"/>
        <v>-</v>
      </c>
      <c r="BE695" s="2">
        <v>63</v>
      </c>
      <c r="BF695" s="8" t="str">
        <f t="shared" si="161"/>
        <v>-</v>
      </c>
      <c r="BG695" s="2">
        <v>50.5</v>
      </c>
      <c r="BH695" s="8" t="str">
        <f t="shared" si="171"/>
        <v>-</v>
      </c>
      <c r="BI695" s="2">
        <v>57</v>
      </c>
      <c r="BJ695" s="8" t="str">
        <f t="shared" si="172"/>
        <v>+</v>
      </c>
      <c r="BK695" s="2">
        <v>52.5</v>
      </c>
      <c r="BL695" s="8" t="str">
        <f t="shared" si="173"/>
        <v>-</v>
      </c>
    </row>
    <row r="696" spans="1:64">
      <c r="A696" s="1">
        <v>39387</v>
      </c>
      <c r="B696">
        <v>51.1</v>
      </c>
      <c r="C696">
        <v>56.4</v>
      </c>
      <c r="D696">
        <v>50.7</v>
      </c>
      <c r="E696">
        <v>51.3</v>
      </c>
      <c r="F696">
        <v>51.6</v>
      </c>
      <c r="G696">
        <v>45.5</v>
      </c>
      <c r="H696">
        <v>54</v>
      </c>
      <c r="I696">
        <v>63</v>
      </c>
      <c r="J696">
        <v>46</v>
      </c>
      <c r="K696">
        <v>57</v>
      </c>
      <c r="L696">
        <v>47.5</v>
      </c>
      <c r="W696" s="1">
        <v>39387</v>
      </c>
      <c r="X696">
        <v>1481.1400149999999</v>
      </c>
      <c r="Y696" s="4">
        <f t="shared" si="160"/>
        <v>-4.4043417224814412E-2</v>
      </c>
      <c r="Z696" s="4">
        <f t="shared" si="162"/>
        <v>5.7481283217261911E-2</v>
      </c>
      <c r="AA696">
        <v>51.1</v>
      </c>
      <c r="AB696">
        <f t="shared" si="163"/>
        <v>51.4</v>
      </c>
      <c r="AP696" s="3">
        <v>39356</v>
      </c>
      <c r="AQ696" s="2">
        <v>51</v>
      </c>
      <c r="AR696" s="2" t="str">
        <f t="shared" si="164"/>
        <v>+</v>
      </c>
      <c r="AS696" s="2">
        <v>54.4</v>
      </c>
      <c r="AT696" s="8" t="str">
        <f t="shared" si="165"/>
        <v>+</v>
      </c>
      <c r="AU696" s="2">
        <v>56.3</v>
      </c>
      <c r="AV696" s="8" t="str">
        <f t="shared" si="166"/>
        <v>+</v>
      </c>
      <c r="AW696" s="2">
        <v>52</v>
      </c>
      <c r="AX696" s="8" t="str">
        <f t="shared" si="167"/>
        <v>+</v>
      </c>
      <c r="AY696" s="2">
        <v>50.7</v>
      </c>
      <c r="AZ696" s="8" t="str">
        <f t="shared" si="168"/>
        <v>+</v>
      </c>
      <c r="BA696" s="2">
        <v>41.5</v>
      </c>
      <c r="BB696" s="8" t="str">
        <f t="shared" si="169"/>
        <v>-</v>
      </c>
      <c r="BC696" s="2">
        <v>50</v>
      </c>
      <c r="BD696" s="8" t="str">
        <f t="shared" si="170"/>
        <v>+</v>
      </c>
      <c r="BE696" s="2">
        <v>59</v>
      </c>
      <c r="BF696" s="8" t="str">
        <f t="shared" si="161"/>
        <v>-</v>
      </c>
      <c r="BG696" s="2">
        <v>51</v>
      </c>
      <c r="BH696" s="8" t="str">
        <f t="shared" si="171"/>
        <v>+</v>
      </c>
      <c r="BI696" s="2">
        <v>54.5</v>
      </c>
      <c r="BJ696" s="8" t="str">
        <f t="shared" si="172"/>
        <v>-</v>
      </c>
      <c r="BK696" s="2">
        <v>53</v>
      </c>
      <c r="BL696" s="8" t="str">
        <f t="shared" si="173"/>
        <v>+</v>
      </c>
    </row>
    <row r="697" spans="1:64">
      <c r="A697" s="1">
        <v>39417</v>
      </c>
      <c r="B697">
        <v>50.5</v>
      </c>
      <c r="C697">
        <v>52.4</v>
      </c>
      <c r="D697">
        <v>48.4</v>
      </c>
      <c r="E697">
        <v>53.7</v>
      </c>
      <c r="F697">
        <v>52.4</v>
      </c>
      <c r="G697">
        <v>45.5</v>
      </c>
      <c r="H697">
        <v>49</v>
      </c>
      <c r="I697">
        <v>67.5</v>
      </c>
      <c r="J697">
        <v>41.5</v>
      </c>
      <c r="K697">
        <v>58.5</v>
      </c>
      <c r="L697">
        <v>47.5</v>
      </c>
      <c r="W697" s="1">
        <v>39417</v>
      </c>
      <c r="X697">
        <v>1468.3599850000001</v>
      </c>
      <c r="Y697" s="4">
        <f t="shared" si="160"/>
        <v>-8.6285090339686069E-3</v>
      </c>
      <c r="Z697" s="4">
        <f t="shared" si="162"/>
        <v>3.529573029014265E-2</v>
      </c>
      <c r="AA697">
        <v>50.5</v>
      </c>
      <c r="AB697">
        <f t="shared" si="163"/>
        <v>50.3</v>
      </c>
      <c r="AP697" s="3">
        <v>39387</v>
      </c>
      <c r="AQ697" s="2">
        <v>51.1</v>
      </c>
      <c r="AR697" s="2" t="str">
        <f t="shared" si="164"/>
        <v>+</v>
      </c>
      <c r="AS697" s="2">
        <v>56.4</v>
      </c>
      <c r="AT697" s="8" t="str">
        <f t="shared" si="165"/>
        <v>+</v>
      </c>
      <c r="AU697" s="2">
        <v>51.3</v>
      </c>
      <c r="AV697" s="8" t="str">
        <f t="shared" si="166"/>
        <v>-</v>
      </c>
      <c r="AW697" s="2">
        <v>50.7</v>
      </c>
      <c r="AX697" s="8" t="str">
        <f t="shared" si="167"/>
        <v>-</v>
      </c>
      <c r="AY697" s="2">
        <v>51.6</v>
      </c>
      <c r="AZ697" s="8" t="str">
        <f t="shared" si="168"/>
        <v>+</v>
      </c>
      <c r="BA697" s="2">
        <v>45.5</v>
      </c>
      <c r="BB697" s="8" t="str">
        <f t="shared" si="169"/>
        <v>+</v>
      </c>
      <c r="BC697" s="2">
        <v>54</v>
      </c>
      <c r="BD697" s="8" t="str">
        <f t="shared" si="170"/>
        <v>+</v>
      </c>
      <c r="BE697" s="2">
        <v>63</v>
      </c>
      <c r="BF697" s="8" t="str">
        <f t="shared" si="161"/>
        <v>+</v>
      </c>
      <c r="BG697" s="2">
        <v>46</v>
      </c>
      <c r="BH697" s="8" t="str">
        <f t="shared" si="171"/>
        <v>-</v>
      </c>
      <c r="BI697" s="2">
        <v>57</v>
      </c>
      <c r="BJ697" s="8" t="str">
        <f t="shared" si="172"/>
        <v>+</v>
      </c>
      <c r="BK697" s="2">
        <v>47.5</v>
      </c>
      <c r="BL697" s="8" t="str">
        <f t="shared" si="173"/>
        <v>-</v>
      </c>
    </row>
    <row r="698" spans="1:64">
      <c r="A698" s="1">
        <v>39448</v>
      </c>
      <c r="B698">
        <v>49</v>
      </c>
      <c r="C698">
        <v>46.5</v>
      </c>
      <c r="D698">
        <v>48.6</v>
      </c>
      <c r="E698">
        <v>49.2</v>
      </c>
      <c r="F698">
        <v>56</v>
      </c>
      <c r="G698">
        <v>44.5</v>
      </c>
      <c r="H698">
        <v>51.5</v>
      </c>
      <c r="I698">
        <v>68</v>
      </c>
      <c r="J698">
        <v>43</v>
      </c>
      <c r="K698">
        <v>52.5</v>
      </c>
      <c r="L698">
        <v>48</v>
      </c>
      <c r="W698" s="1">
        <v>39448</v>
      </c>
      <c r="X698">
        <v>1378.5500489999999</v>
      </c>
      <c r="Y698" s="4">
        <f t="shared" si="160"/>
        <v>-6.1163431935936409E-2</v>
      </c>
      <c r="Z698" s="4">
        <f t="shared" si="162"/>
        <v>-4.1502072960716445E-2</v>
      </c>
      <c r="AA698">
        <v>49</v>
      </c>
      <c r="AB698">
        <f t="shared" si="163"/>
        <v>51.4</v>
      </c>
      <c r="AP698" s="3">
        <v>39417</v>
      </c>
      <c r="AQ698" s="2">
        <v>50.5</v>
      </c>
      <c r="AR698" s="2" t="str">
        <f t="shared" si="164"/>
        <v>-</v>
      </c>
      <c r="AS698" s="2">
        <v>52.4</v>
      </c>
      <c r="AT698" s="8" t="str">
        <f t="shared" si="165"/>
        <v>-</v>
      </c>
      <c r="AU698" s="2">
        <v>53.7</v>
      </c>
      <c r="AV698" s="8" t="str">
        <f t="shared" si="166"/>
        <v>+</v>
      </c>
      <c r="AW698" s="2">
        <v>48.4</v>
      </c>
      <c r="AX698" s="8" t="str">
        <f t="shared" si="167"/>
        <v>-</v>
      </c>
      <c r="AY698" s="2">
        <v>52.4</v>
      </c>
      <c r="AZ698" s="8" t="str">
        <f t="shared" si="168"/>
        <v>+</v>
      </c>
      <c r="BA698" s="2">
        <v>45.5</v>
      </c>
      <c r="BB698" s="8" t="str">
        <f t="shared" si="169"/>
        <v>+</v>
      </c>
      <c r="BC698" s="2">
        <v>49</v>
      </c>
      <c r="BD698" s="8" t="str">
        <f t="shared" si="170"/>
        <v>-</v>
      </c>
      <c r="BE698" s="2">
        <v>67.5</v>
      </c>
      <c r="BF698" s="8" t="str">
        <f t="shared" si="161"/>
        <v>+</v>
      </c>
      <c r="BG698" s="2">
        <v>41.5</v>
      </c>
      <c r="BH698" s="8" t="str">
        <f t="shared" si="171"/>
        <v>-</v>
      </c>
      <c r="BI698" s="2">
        <v>58.5</v>
      </c>
      <c r="BJ698" s="8" t="str">
        <f t="shared" si="172"/>
        <v>+</v>
      </c>
      <c r="BK698" s="2">
        <v>47.5</v>
      </c>
      <c r="BL698" s="8" t="str">
        <f t="shared" si="173"/>
        <v>+</v>
      </c>
    </row>
    <row r="699" spans="1:64">
      <c r="A699" s="1">
        <v>39479</v>
      </c>
      <c r="B699">
        <v>50.3</v>
      </c>
      <c r="C699">
        <v>48</v>
      </c>
      <c r="D699">
        <v>47.1</v>
      </c>
      <c r="E699">
        <v>53.7</v>
      </c>
      <c r="F699">
        <v>53.8</v>
      </c>
      <c r="G699">
        <v>49</v>
      </c>
      <c r="H699">
        <v>49.5</v>
      </c>
      <c r="I699">
        <v>76</v>
      </c>
      <c r="J699">
        <v>44</v>
      </c>
      <c r="K699">
        <v>58.5</v>
      </c>
      <c r="L699">
        <v>52.5</v>
      </c>
      <c r="W699" s="1">
        <v>39479</v>
      </c>
      <c r="X699">
        <v>1330.630005</v>
      </c>
      <c r="Y699" s="4">
        <f t="shared" si="160"/>
        <v>-3.4761192772624509E-2</v>
      </c>
      <c r="Z699" s="4">
        <f t="shared" si="162"/>
        <v>-5.4157563813784657E-2</v>
      </c>
      <c r="AA699">
        <v>50.3</v>
      </c>
      <c r="AB699">
        <f t="shared" si="163"/>
        <v>49.5</v>
      </c>
      <c r="AP699" s="3">
        <v>39448</v>
      </c>
      <c r="AQ699" s="2">
        <v>49</v>
      </c>
      <c r="AR699" s="2" t="str">
        <f t="shared" si="164"/>
        <v>-</v>
      </c>
      <c r="AS699" s="2">
        <v>46.5</v>
      </c>
      <c r="AT699" s="8" t="str">
        <f t="shared" si="165"/>
        <v>-</v>
      </c>
      <c r="AU699" s="2">
        <v>49.2</v>
      </c>
      <c r="AV699" s="8" t="str">
        <f t="shared" si="166"/>
        <v>-</v>
      </c>
      <c r="AW699" s="2">
        <v>48.6</v>
      </c>
      <c r="AX699" s="8" t="str">
        <f t="shared" si="167"/>
        <v>+</v>
      </c>
      <c r="AY699" s="2">
        <v>56</v>
      </c>
      <c r="AZ699" s="8" t="str">
        <f t="shared" si="168"/>
        <v>+</v>
      </c>
      <c r="BA699" s="2">
        <v>44.5</v>
      </c>
      <c r="BB699" s="8" t="str">
        <f t="shared" si="169"/>
        <v>-</v>
      </c>
      <c r="BC699" s="2">
        <v>51.5</v>
      </c>
      <c r="BD699" s="8" t="str">
        <f t="shared" si="170"/>
        <v>+</v>
      </c>
      <c r="BE699" s="2">
        <v>68</v>
      </c>
      <c r="BF699" s="8" t="str">
        <f t="shared" si="161"/>
        <v>+</v>
      </c>
      <c r="BG699" s="2">
        <v>43</v>
      </c>
      <c r="BH699" s="8" t="str">
        <f t="shared" si="171"/>
        <v>+</v>
      </c>
      <c r="BI699" s="2">
        <v>52.5</v>
      </c>
      <c r="BJ699" s="8" t="str">
        <f t="shared" si="172"/>
        <v>-</v>
      </c>
      <c r="BK699" s="2">
        <v>48</v>
      </c>
      <c r="BL699" s="8" t="str">
        <f t="shared" si="173"/>
        <v>+</v>
      </c>
    </row>
    <row r="700" spans="1:64">
      <c r="A700" s="1">
        <v>39508</v>
      </c>
      <c r="B700">
        <v>47.6</v>
      </c>
      <c r="C700">
        <v>46.4</v>
      </c>
      <c r="D700">
        <v>45.8</v>
      </c>
      <c r="E700">
        <v>47.4</v>
      </c>
      <c r="F700">
        <v>51.6</v>
      </c>
      <c r="G700">
        <v>47</v>
      </c>
      <c r="H700">
        <v>49</v>
      </c>
      <c r="I700">
        <v>75.5</v>
      </c>
      <c r="J700">
        <v>45</v>
      </c>
      <c r="K700">
        <v>56</v>
      </c>
      <c r="L700">
        <v>47.5</v>
      </c>
      <c r="W700" s="1">
        <v>39508</v>
      </c>
      <c r="X700">
        <v>1322.6999510000001</v>
      </c>
      <c r="Y700" s="4">
        <f t="shared" si="160"/>
        <v>-5.9596236145298166E-3</v>
      </c>
      <c r="Z700" s="4">
        <f t="shared" si="162"/>
        <v>-6.908494505881943E-2</v>
      </c>
      <c r="AA700">
        <v>47.6</v>
      </c>
      <c r="AB700">
        <f t="shared" si="163"/>
        <v>51.9</v>
      </c>
      <c r="AP700" s="3">
        <v>39479</v>
      </c>
      <c r="AQ700" s="2">
        <v>50.3</v>
      </c>
      <c r="AR700" s="2" t="str">
        <f t="shared" si="164"/>
        <v>+</v>
      </c>
      <c r="AS700" s="2">
        <v>48</v>
      </c>
      <c r="AT700" s="8" t="str">
        <f t="shared" si="165"/>
        <v>+</v>
      </c>
      <c r="AU700" s="2">
        <v>53.7</v>
      </c>
      <c r="AV700" s="8" t="str">
        <f t="shared" si="166"/>
        <v>+</v>
      </c>
      <c r="AW700" s="2">
        <v>47.1</v>
      </c>
      <c r="AX700" s="8" t="str">
        <f t="shared" si="167"/>
        <v>-</v>
      </c>
      <c r="AY700" s="2">
        <v>53.8</v>
      </c>
      <c r="AZ700" s="8" t="str">
        <f t="shared" si="168"/>
        <v>-</v>
      </c>
      <c r="BA700" s="2">
        <v>49</v>
      </c>
      <c r="BB700" s="8" t="str">
        <f t="shared" si="169"/>
        <v>+</v>
      </c>
      <c r="BC700" s="2">
        <v>49.5</v>
      </c>
      <c r="BD700" s="8" t="str">
        <f t="shared" si="170"/>
        <v>-</v>
      </c>
      <c r="BE700" s="2">
        <v>76</v>
      </c>
      <c r="BF700" s="8" t="str">
        <f t="shared" si="161"/>
        <v>+</v>
      </c>
      <c r="BG700" s="2">
        <v>44</v>
      </c>
      <c r="BH700" s="8" t="str">
        <f t="shared" si="171"/>
        <v>+</v>
      </c>
      <c r="BI700" s="2">
        <v>58.5</v>
      </c>
      <c r="BJ700" s="8" t="str">
        <f t="shared" si="172"/>
        <v>+</v>
      </c>
      <c r="BK700" s="2">
        <v>52.5</v>
      </c>
      <c r="BL700" s="8" t="str">
        <f t="shared" si="173"/>
        <v>+</v>
      </c>
    </row>
    <row r="701" spans="1:64">
      <c r="A701" s="1">
        <v>39539</v>
      </c>
      <c r="B701">
        <v>48.3</v>
      </c>
      <c r="C701">
        <v>45.6</v>
      </c>
      <c r="D701">
        <v>48.2</v>
      </c>
      <c r="E701">
        <v>48.3</v>
      </c>
      <c r="F701">
        <v>52.7</v>
      </c>
      <c r="G701">
        <v>46.5</v>
      </c>
      <c r="H701">
        <v>51</v>
      </c>
      <c r="I701">
        <v>83.5</v>
      </c>
      <c r="J701">
        <v>47.5</v>
      </c>
      <c r="K701">
        <v>56.5</v>
      </c>
      <c r="L701">
        <v>45</v>
      </c>
      <c r="W701" s="1">
        <v>39539</v>
      </c>
      <c r="X701">
        <v>1385.589966</v>
      </c>
      <c r="Y701" s="4">
        <f t="shared" si="160"/>
        <v>4.754669791319887E-2</v>
      </c>
      <c r="Z701" s="4">
        <f t="shared" si="162"/>
        <v>-6.52873636989664E-2</v>
      </c>
      <c r="AA701">
        <v>48.3</v>
      </c>
      <c r="AB701">
        <f t="shared" si="163"/>
        <v>50.7</v>
      </c>
      <c r="AP701" s="3">
        <v>39508</v>
      </c>
      <c r="AQ701" s="2">
        <v>47.6</v>
      </c>
      <c r="AR701" s="2" t="str">
        <f t="shared" si="164"/>
        <v>-</v>
      </c>
      <c r="AS701" s="2">
        <v>46.4</v>
      </c>
      <c r="AT701" s="8" t="str">
        <f t="shared" si="165"/>
        <v>-</v>
      </c>
      <c r="AU701" s="2">
        <v>47.4</v>
      </c>
      <c r="AV701" s="8" t="str">
        <f t="shared" si="166"/>
        <v>-</v>
      </c>
      <c r="AW701" s="2">
        <v>45.8</v>
      </c>
      <c r="AX701" s="8" t="str">
        <f t="shared" si="167"/>
        <v>-</v>
      </c>
      <c r="AY701" s="2">
        <v>51.6</v>
      </c>
      <c r="AZ701" s="8" t="str">
        <f t="shared" si="168"/>
        <v>-</v>
      </c>
      <c r="BA701" s="2">
        <v>47</v>
      </c>
      <c r="BB701" s="8" t="str">
        <f t="shared" si="169"/>
        <v>-</v>
      </c>
      <c r="BC701" s="2">
        <v>49</v>
      </c>
      <c r="BD701" s="8" t="str">
        <f t="shared" si="170"/>
        <v>-</v>
      </c>
      <c r="BE701" s="2">
        <v>75.5</v>
      </c>
      <c r="BF701" s="8" t="str">
        <f t="shared" si="161"/>
        <v>-</v>
      </c>
      <c r="BG701" s="2">
        <v>45</v>
      </c>
      <c r="BH701" s="8" t="str">
        <f t="shared" si="171"/>
        <v>+</v>
      </c>
      <c r="BI701" s="2">
        <v>56</v>
      </c>
      <c r="BJ701" s="8" t="str">
        <f t="shared" si="172"/>
        <v>-</v>
      </c>
      <c r="BK701" s="2">
        <v>47.5</v>
      </c>
      <c r="BL701" s="8" t="str">
        <f t="shared" si="173"/>
        <v>-</v>
      </c>
    </row>
    <row r="702" spans="1:64">
      <c r="A702" s="1">
        <v>39569</v>
      </c>
      <c r="B702">
        <v>48.8</v>
      </c>
      <c r="C702">
        <v>46.5</v>
      </c>
      <c r="D702">
        <v>46.6</v>
      </c>
      <c r="E702">
        <v>48.3</v>
      </c>
      <c r="F702">
        <v>53.8</v>
      </c>
      <c r="G702">
        <v>49</v>
      </c>
      <c r="H702">
        <v>45</v>
      </c>
      <c r="I702">
        <v>84.5</v>
      </c>
      <c r="J702">
        <v>51.5</v>
      </c>
      <c r="K702">
        <v>57.5</v>
      </c>
      <c r="L702">
        <v>48</v>
      </c>
      <c r="W702" s="1">
        <v>39569</v>
      </c>
      <c r="X702">
        <v>1400.380005</v>
      </c>
      <c r="Y702" s="4">
        <f t="shared" si="160"/>
        <v>1.0674181657577029E-2</v>
      </c>
      <c r="Z702" s="4">
        <f t="shared" si="162"/>
        <v>-8.5089695956833508E-2</v>
      </c>
      <c r="AA702">
        <v>48.8</v>
      </c>
      <c r="AB702">
        <f t="shared" si="163"/>
        <v>52.6</v>
      </c>
      <c r="AP702" s="3">
        <v>39539</v>
      </c>
      <c r="AQ702" s="2">
        <v>48.3</v>
      </c>
      <c r="AR702" s="2" t="str">
        <f t="shared" si="164"/>
        <v>+</v>
      </c>
      <c r="AS702" s="2">
        <v>45.6</v>
      </c>
      <c r="AT702" s="8" t="str">
        <f t="shared" si="165"/>
        <v>-</v>
      </c>
      <c r="AU702" s="2">
        <v>48.3</v>
      </c>
      <c r="AV702" s="8" t="str">
        <f t="shared" si="166"/>
        <v>+</v>
      </c>
      <c r="AW702" s="2">
        <v>48.2</v>
      </c>
      <c r="AX702" s="8" t="str">
        <f t="shared" si="167"/>
        <v>+</v>
      </c>
      <c r="AY702" s="2">
        <v>52.7</v>
      </c>
      <c r="AZ702" s="8" t="str">
        <f t="shared" si="168"/>
        <v>+</v>
      </c>
      <c r="BA702" s="2">
        <v>46.5</v>
      </c>
      <c r="BB702" s="8" t="str">
        <f t="shared" si="169"/>
        <v>-</v>
      </c>
      <c r="BC702" s="2">
        <v>51</v>
      </c>
      <c r="BD702" s="8" t="str">
        <f t="shared" si="170"/>
        <v>+</v>
      </c>
      <c r="BE702" s="2">
        <v>83.5</v>
      </c>
      <c r="BF702" s="8" t="str">
        <f t="shared" si="161"/>
        <v>+</v>
      </c>
      <c r="BG702" s="2">
        <v>47.5</v>
      </c>
      <c r="BH702" s="8" t="str">
        <f t="shared" si="171"/>
        <v>+</v>
      </c>
      <c r="BI702" s="2">
        <v>56.5</v>
      </c>
      <c r="BJ702" s="8" t="str">
        <f t="shared" si="172"/>
        <v>+</v>
      </c>
      <c r="BK702" s="2">
        <v>45</v>
      </c>
      <c r="BL702" s="8" t="str">
        <f t="shared" si="173"/>
        <v>-</v>
      </c>
    </row>
    <row r="703" spans="1:64">
      <c r="A703" s="1">
        <v>39600</v>
      </c>
      <c r="B703">
        <v>48.8</v>
      </c>
      <c r="C703">
        <v>48.5</v>
      </c>
      <c r="D703">
        <v>46.1</v>
      </c>
      <c r="E703">
        <v>49.4</v>
      </c>
      <c r="F703">
        <v>52.2</v>
      </c>
      <c r="G703">
        <v>48</v>
      </c>
      <c r="H703">
        <v>47</v>
      </c>
      <c r="I703">
        <v>87</v>
      </c>
      <c r="J703">
        <v>46</v>
      </c>
      <c r="K703">
        <v>59.5</v>
      </c>
      <c r="L703">
        <v>49.5</v>
      </c>
      <c r="W703" s="1">
        <v>39600</v>
      </c>
      <c r="X703">
        <v>1280</v>
      </c>
      <c r="Y703" s="4">
        <f t="shared" si="160"/>
        <v>-8.5962384902803571E-2</v>
      </c>
      <c r="Z703" s="4">
        <f t="shared" si="162"/>
        <v>-0.14856818409926922</v>
      </c>
      <c r="AA703">
        <v>48.8</v>
      </c>
      <c r="AB703">
        <f t="shared" si="163"/>
        <v>52.5</v>
      </c>
      <c r="AP703" s="3">
        <v>39569</v>
      </c>
      <c r="AQ703" s="2">
        <v>48.8</v>
      </c>
      <c r="AR703" s="2" t="str">
        <f t="shared" si="164"/>
        <v>+</v>
      </c>
      <c r="AS703" s="2">
        <v>46.5</v>
      </c>
      <c r="AT703" s="8" t="str">
        <f t="shared" si="165"/>
        <v>+</v>
      </c>
      <c r="AU703" s="2">
        <v>48.3</v>
      </c>
      <c r="AV703" s="8" t="str">
        <f t="shared" si="166"/>
        <v>+</v>
      </c>
      <c r="AW703" s="2">
        <v>46.6</v>
      </c>
      <c r="AX703" s="8" t="str">
        <f t="shared" si="167"/>
        <v>-</v>
      </c>
      <c r="AY703" s="2">
        <v>53.8</v>
      </c>
      <c r="AZ703" s="8" t="str">
        <f t="shared" si="168"/>
        <v>+</v>
      </c>
      <c r="BA703" s="2">
        <v>49</v>
      </c>
      <c r="BB703" s="8" t="str">
        <f t="shared" si="169"/>
        <v>+</v>
      </c>
      <c r="BC703" s="2">
        <v>45</v>
      </c>
      <c r="BD703" s="8" t="str">
        <f t="shared" si="170"/>
        <v>-</v>
      </c>
      <c r="BE703" s="2">
        <v>84.5</v>
      </c>
      <c r="BF703" s="8" t="str">
        <f t="shared" si="161"/>
        <v>+</v>
      </c>
      <c r="BG703" s="2">
        <v>51.5</v>
      </c>
      <c r="BH703" s="8" t="str">
        <f t="shared" si="171"/>
        <v>+</v>
      </c>
      <c r="BI703" s="2">
        <v>57.5</v>
      </c>
      <c r="BJ703" s="8" t="str">
        <f t="shared" si="172"/>
        <v>+</v>
      </c>
      <c r="BK703" s="2">
        <v>48</v>
      </c>
      <c r="BL703" s="8" t="str">
        <f t="shared" si="173"/>
        <v>+</v>
      </c>
    </row>
    <row r="704" spans="1:64">
      <c r="A704" s="1">
        <v>39630</v>
      </c>
      <c r="B704">
        <v>49.8</v>
      </c>
      <c r="C704">
        <v>49.7</v>
      </c>
      <c r="D704">
        <v>44.8</v>
      </c>
      <c r="E704">
        <v>50.7</v>
      </c>
      <c r="F704">
        <v>53.9</v>
      </c>
      <c r="G704">
        <v>50</v>
      </c>
      <c r="H704">
        <v>55</v>
      </c>
      <c r="I704">
        <v>91.5</v>
      </c>
      <c r="J704">
        <v>47.5</v>
      </c>
      <c r="K704">
        <v>58.5</v>
      </c>
      <c r="L704">
        <v>46</v>
      </c>
      <c r="W704" s="1">
        <v>39630</v>
      </c>
      <c r="X704">
        <v>1267.380005</v>
      </c>
      <c r="Y704" s="4">
        <f t="shared" si="160"/>
        <v>-9.8593710937500134E-3</v>
      </c>
      <c r="Z704" s="4">
        <f t="shared" si="162"/>
        <v>-0.12911007058332719</v>
      </c>
      <c r="AA704">
        <v>49.8</v>
      </c>
      <c r="AB704">
        <f t="shared" si="163"/>
        <v>52.6</v>
      </c>
      <c r="AP704" s="3">
        <v>39600</v>
      </c>
      <c r="AQ704" s="2">
        <v>48.8</v>
      </c>
      <c r="AR704" s="2" t="str">
        <f t="shared" si="164"/>
        <v>+</v>
      </c>
      <c r="AS704" s="2">
        <v>48.5</v>
      </c>
      <c r="AT704" s="8" t="str">
        <f t="shared" si="165"/>
        <v>+</v>
      </c>
      <c r="AU704" s="2">
        <v>49.4</v>
      </c>
      <c r="AV704" s="8" t="str">
        <f t="shared" si="166"/>
        <v>+</v>
      </c>
      <c r="AW704" s="2">
        <v>46.1</v>
      </c>
      <c r="AX704" s="8" t="str">
        <f t="shared" si="167"/>
        <v>-</v>
      </c>
      <c r="AY704" s="2">
        <v>52.2</v>
      </c>
      <c r="AZ704" s="8" t="str">
        <f t="shared" si="168"/>
        <v>-</v>
      </c>
      <c r="BA704" s="2">
        <v>48</v>
      </c>
      <c r="BB704" s="8" t="str">
        <f t="shared" si="169"/>
        <v>-</v>
      </c>
      <c r="BC704" s="2">
        <v>47</v>
      </c>
      <c r="BD704" s="8" t="str">
        <f t="shared" si="170"/>
        <v>+</v>
      </c>
      <c r="BE704" s="2">
        <v>87</v>
      </c>
      <c r="BF704" s="8" t="str">
        <f t="shared" si="161"/>
        <v>+</v>
      </c>
      <c r="BG704" s="2">
        <v>46</v>
      </c>
      <c r="BH704" s="8" t="str">
        <f t="shared" si="171"/>
        <v>-</v>
      </c>
      <c r="BI704" s="2">
        <v>59.5</v>
      </c>
      <c r="BJ704" s="8" t="str">
        <f t="shared" si="172"/>
        <v>+</v>
      </c>
      <c r="BK704" s="2">
        <v>49.5</v>
      </c>
      <c r="BL704" s="8" t="str">
        <f t="shared" si="173"/>
        <v>+</v>
      </c>
    </row>
    <row r="705" spans="1:64">
      <c r="A705" s="1">
        <v>39661</v>
      </c>
      <c r="B705">
        <v>50</v>
      </c>
      <c r="C705">
        <v>47</v>
      </c>
      <c r="D705">
        <v>51.2</v>
      </c>
      <c r="E705">
        <v>54.6</v>
      </c>
      <c r="F705">
        <v>53.3</v>
      </c>
      <c r="G705">
        <v>44</v>
      </c>
      <c r="H705">
        <v>47</v>
      </c>
      <c r="I705">
        <v>88.5</v>
      </c>
      <c r="J705">
        <v>43</v>
      </c>
      <c r="K705">
        <v>54</v>
      </c>
      <c r="L705">
        <v>46.5</v>
      </c>
      <c r="W705" s="1">
        <v>39661</v>
      </c>
      <c r="X705">
        <v>1282.829956</v>
      </c>
      <c r="Y705" s="4">
        <f t="shared" si="160"/>
        <v>1.2190464532379975E-2</v>
      </c>
      <c r="Z705" s="4">
        <f t="shared" si="162"/>
        <v>-0.12968882780540456</v>
      </c>
      <c r="AA705">
        <v>50</v>
      </c>
      <c r="AB705">
        <f t="shared" si="163"/>
        <v>52.4</v>
      </c>
      <c r="AP705" s="3">
        <v>39630</v>
      </c>
      <c r="AQ705" s="2">
        <v>49.8</v>
      </c>
      <c r="AR705" s="2" t="str">
        <f t="shared" si="164"/>
        <v>+</v>
      </c>
      <c r="AS705" s="2">
        <v>49.7</v>
      </c>
      <c r="AT705" s="8" t="str">
        <f t="shared" si="165"/>
        <v>+</v>
      </c>
      <c r="AU705" s="2">
        <v>50.7</v>
      </c>
      <c r="AV705" s="8" t="str">
        <f t="shared" si="166"/>
        <v>+</v>
      </c>
      <c r="AW705" s="2">
        <v>44.8</v>
      </c>
      <c r="AX705" s="8" t="str">
        <f t="shared" si="167"/>
        <v>-</v>
      </c>
      <c r="AY705" s="2">
        <v>53.9</v>
      </c>
      <c r="AZ705" s="8" t="str">
        <f t="shared" si="168"/>
        <v>+</v>
      </c>
      <c r="BA705" s="2">
        <v>50</v>
      </c>
      <c r="BB705" s="8" t="str">
        <f t="shared" si="169"/>
        <v>+</v>
      </c>
      <c r="BC705" s="2">
        <v>55</v>
      </c>
      <c r="BD705" s="8" t="str">
        <f t="shared" si="170"/>
        <v>+</v>
      </c>
      <c r="BE705" s="2">
        <v>91.5</v>
      </c>
      <c r="BF705" s="8" t="str">
        <f t="shared" si="161"/>
        <v>+</v>
      </c>
      <c r="BG705" s="2">
        <v>47.5</v>
      </c>
      <c r="BH705" s="8" t="str">
        <f t="shared" si="171"/>
        <v>+</v>
      </c>
      <c r="BI705" s="2">
        <v>58.5</v>
      </c>
      <c r="BJ705" s="8" t="str">
        <f t="shared" si="172"/>
        <v>-</v>
      </c>
      <c r="BK705" s="2">
        <v>46</v>
      </c>
      <c r="BL705" s="8" t="str">
        <f t="shared" si="173"/>
        <v>-</v>
      </c>
    </row>
    <row r="706" spans="1:64">
      <c r="A706" s="1">
        <v>39692</v>
      </c>
      <c r="B706">
        <v>49.2</v>
      </c>
      <c r="C706">
        <v>46.7</v>
      </c>
      <c r="D706">
        <v>48.9</v>
      </c>
      <c r="E706">
        <v>50.4</v>
      </c>
      <c r="F706">
        <v>49.3</v>
      </c>
      <c r="G706">
        <v>50.5</v>
      </c>
      <c r="H706">
        <v>54.5</v>
      </c>
      <c r="I706">
        <v>77</v>
      </c>
      <c r="J706">
        <v>43.5</v>
      </c>
      <c r="K706">
        <v>57</v>
      </c>
      <c r="L706">
        <v>48.5</v>
      </c>
      <c r="W706" s="1">
        <v>39692</v>
      </c>
      <c r="X706">
        <v>1166.3599850000001</v>
      </c>
      <c r="Y706" s="4">
        <f t="shared" si="160"/>
        <v>-9.0791433779084579E-2</v>
      </c>
      <c r="Z706" s="4">
        <f t="shared" si="162"/>
        <v>-0.23605044375307022</v>
      </c>
      <c r="AA706">
        <v>49.2</v>
      </c>
      <c r="AB706">
        <f t="shared" si="163"/>
        <v>50.9</v>
      </c>
      <c r="AP706" s="3">
        <v>39661</v>
      </c>
      <c r="AQ706" s="2">
        <v>50</v>
      </c>
      <c r="AR706" s="2" t="str">
        <f t="shared" si="164"/>
        <v>+</v>
      </c>
      <c r="AS706" s="2">
        <v>47</v>
      </c>
      <c r="AT706" s="8" t="str">
        <f t="shared" si="165"/>
        <v>-</v>
      </c>
      <c r="AU706" s="2">
        <v>54.6</v>
      </c>
      <c r="AV706" s="8" t="str">
        <f t="shared" si="166"/>
        <v>+</v>
      </c>
      <c r="AW706" s="2">
        <v>51.2</v>
      </c>
      <c r="AX706" s="8" t="str">
        <f t="shared" si="167"/>
        <v>+</v>
      </c>
      <c r="AY706" s="2">
        <v>53.3</v>
      </c>
      <c r="AZ706" s="8" t="str">
        <f t="shared" si="168"/>
        <v>-</v>
      </c>
      <c r="BA706" s="2">
        <v>44</v>
      </c>
      <c r="BB706" s="8" t="str">
        <f t="shared" si="169"/>
        <v>-</v>
      </c>
      <c r="BC706" s="2">
        <v>47</v>
      </c>
      <c r="BD706" s="8" t="str">
        <f t="shared" si="170"/>
        <v>-</v>
      </c>
      <c r="BE706" s="2">
        <v>88.5</v>
      </c>
      <c r="BF706" s="8" t="str">
        <f t="shared" si="161"/>
        <v>-</v>
      </c>
      <c r="BG706" s="2">
        <v>43</v>
      </c>
      <c r="BH706" s="8" t="str">
        <f t="shared" si="171"/>
        <v>-</v>
      </c>
      <c r="BI706" s="2">
        <v>54</v>
      </c>
      <c r="BJ706" s="8" t="str">
        <f t="shared" si="172"/>
        <v>-</v>
      </c>
      <c r="BK706" s="2">
        <v>46.5</v>
      </c>
      <c r="BL706" s="8" t="str">
        <f t="shared" si="173"/>
        <v>+</v>
      </c>
    </row>
    <row r="707" spans="1:64">
      <c r="A707" s="1">
        <v>39722</v>
      </c>
      <c r="B707">
        <v>44.8</v>
      </c>
      <c r="C707">
        <v>41.8</v>
      </c>
      <c r="D707">
        <v>42.1</v>
      </c>
      <c r="E707">
        <v>45.4</v>
      </c>
      <c r="F707">
        <v>51.6</v>
      </c>
      <c r="G707">
        <v>43</v>
      </c>
      <c r="H707">
        <v>53.5</v>
      </c>
      <c r="I707">
        <v>53.5</v>
      </c>
      <c r="J707">
        <v>35</v>
      </c>
      <c r="K707">
        <v>52</v>
      </c>
      <c r="L707">
        <v>44</v>
      </c>
      <c r="W707" s="1">
        <v>39722</v>
      </c>
      <c r="X707">
        <v>968.75</v>
      </c>
      <c r="Y707" s="4">
        <f t="shared" si="160"/>
        <v>-0.16942452376741993</v>
      </c>
      <c r="Z707" s="4">
        <f t="shared" si="162"/>
        <v>-0.3747499019777269</v>
      </c>
      <c r="AA707">
        <v>44.8</v>
      </c>
      <c r="AB707">
        <f t="shared" si="163"/>
        <v>51</v>
      </c>
      <c r="AP707" s="3">
        <v>39692</v>
      </c>
      <c r="AQ707" s="2">
        <v>49.2</v>
      </c>
      <c r="AR707" s="2" t="str">
        <f t="shared" si="164"/>
        <v>-</v>
      </c>
      <c r="AS707" s="2">
        <v>46.7</v>
      </c>
      <c r="AT707" s="8" t="str">
        <f t="shared" si="165"/>
        <v>-</v>
      </c>
      <c r="AU707" s="2">
        <v>50.4</v>
      </c>
      <c r="AV707" s="8" t="str">
        <f t="shared" si="166"/>
        <v>-</v>
      </c>
      <c r="AW707" s="2">
        <v>48.9</v>
      </c>
      <c r="AX707" s="8" t="str">
        <f t="shared" si="167"/>
        <v>-</v>
      </c>
      <c r="AY707" s="2">
        <v>49.3</v>
      </c>
      <c r="AZ707" s="8" t="str">
        <f t="shared" si="168"/>
        <v>-</v>
      </c>
      <c r="BA707" s="2">
        <v>50.5</v>
      </c>
      <c r="BB707" s="8" t="str">
        <f t="shared" si="169"/>
        <v>+</v>
      </c>
      <c r="BC707" s="2">
        <v>54.5</v>
      </c>
      <c r="BD707" s="8" t="str">
        <f t="shared" si="170"/>
        <v>+</v>
      </c>
      <c r="BE707" s="2">
        <v>77</v>
      </c>
      <c r="BF707" s="8" t="str">
        <f t="shared" si="161"/>
        <v>-</v>
      </c>
      <c r="BG707" s="2">
        <v>43.5</v>
      </c>
      <c r="BH707" s="8" t="str">
        <f t="shared" si="171"/>
        <v>+</v>
      </c>
      <c r="BI707" s="2">
        <v>57</v>
      </c>
      <c r="BJ707" s="8" t="str">
        <f t="shared" si="172"/>
        <v>+</v>
      </c>
      <c r="BK707" s="2">
        <v>48.5</v>
      </c>
      <c r="BL707" s="8" t="str">
        <f t="shared" si="173"/>
        <v>+</v>
      </c>
    </row>
    <row r="708" spans="1:64">
      <c r="A708" s="1">
        <v>39753</v>
      </c>
      <c r="B708">
        <v>38.9</v>
      </c>
      <c r="C708">
        <v>33.200000000000003</v>
      </c>
      <c r="D708">
        <v>33.700000000000003</v>
      </c>
      <c r="E708">
        <v>33.6</v>
      </c>
      <c r="F708">
        <v>50.3</v>
      </c>
      <c r="G708">
        <v>43.5</v>
      </c>
      <c r="H708">
        <v>55</v>
      </c>
      <c r="I708">
        <v>37</v>
      </c>
      <c r="J708">
        <v>29.5</v>
      </c>
      <c r="K708">
        <v>41</v>
      </c>
      <c r="L708">
        <v>41</v>
      </c>
      <c r="W708" s="1">
        <v>39753</v>
      </c>
      <c r="X708">
        <v>896.23999000000003</v>
      </c>
      <c r="Y708" s="4">
        <f t="shared" ref="Y708:Y771" si="174">(X708-X707)/X707</f>
        <v>-7.484904258064512E-2</v>
      </c>
      <c r="Z708" s="4">
        <f t="shared" si="162"/>
        <v>-0.39489853698942834</v>
      </c>
      <c r="AA708">
        <v>38.9</v>
      </c>
      <c r="AB708">
        <f t="shared" si="163"/>
        <v>51.1</v>
      </c>
      <c r="AP708" s="3">
        <v>39722</v>
      </c>
      <c r="AQ708" s="2">
        <v>44.8</v>
      </c>
      <c r="AR708" s="2" t="str">
        <f t="shared" si="164"/>
        <v>-</v>
      </c>
      <c r="AS708" s="2">
        <v>41.8</v>
      </c>
      <c r="AT708" s="8" t="str">
        <f t="shared" si="165"/>
        <v>-</v>
      </c>
      <c r="AU708" s="2">
        <v>45.4</v>
      </c>
      <c r="AV708" s="8" t="str">
        <f t="shared" si="166"/>
        <v>-</v>
      </c>
      <c r="AW708" s="2">
        <v>42.1</v>
      </c>
      <c r="AX708" s="8" t="str">
        <f t="shared" si="167"/>
        <v>-</v>
      </c>
      <c r="AY708" s="2">
        <v>51.6</v>
      </c>
      <c r="AZ708" s="8" t="str">
        <f t="shared" si="168"/>
        <v>+</v>
      </c>
      <c r="BA708" s="2">
        <v>43</v>
      </c>
      <c r="BB708" s="8" t="str">
        <f t="shared" si="169"/>
        <v>-</v>
      </c>
      <c r="BC708" s="2">
        <v>53.5</v>
      </c>
      <c r="BD708" s="8" t="str">
        <f t="shared" si="170"/>
        <v>-</v>
      </c>
      <c r="BE708" s="2">
        <v>53.5</v>
      </c>
      <c r="BF708" s="8" t="str">
        <f t="shared" si="161"/>
        <v>-</v>
      </c>
      <c r="BG708" s="2">
        <v>35</v>
      </c>
      <c r="BH708" s="8" t="str">
        <f t="shared" si="171"/>
        <v>-</v>
      </c>
      <c r="BI708" s="2">
        <v>52</v>
      </c>
      <c r="BJ708" s="8" t="str">
        <f t="shared" si="172"/>
        <v>-</v>
      </c>
      <c r="BK708" s="2">
        <v>44</v>
      </c>
      <c r="BL708" s="8" t="str">
        <f t="shared" si="173"/>
        <v>-</v>
      </c>
    </row>
    <row r="709" spans="1:64">
      <c r="A709" s="1">
        <v>39783</v>
      </c>
      <c r="B709">
        <v>36.5</v>
      </c>
      <c r="C709">
        <v>27.6</v>
      </c>
      <c r="D709">
        <v>34.4</v>
      </c>
      <c r="E709">
        <v>32.4</v>
      </c>
      <c r="F709">
        <v>49.7</v>
      </c>
      <c r="G709">
        <v>38.5</v>
      </c>
      <c r="H709">
        <v>55</v>
      </c>
      <c r="I709">
        <v>25.5</v>
      </c>
      <c r="J709">
        <v>27</v>
      </c>
      <c r="K709">
        <v>41</v>
      </c>
      <c r="L709">
        <v>37.5</v>
      </c>
      <c r="W709" s="1">
        <v>39783</v>
      </c>
      <c r="X709">
        <v>903.25</v>
      </c>
      <c r="Y709" s="4">
        <f t="shared" si="174"/>
        <v>7.8215768970540632E-3</v>
      </c>
      <c r="Z709" s="4">
        <f t="shared" si="162"/>
        <v>-0.38485793046178662</v>
      </c>
      <c r="AA709">
        <v>36.5</v>
      </c>
      <c r="AB709">
        <f t="shared" si="163"/>
        <v>50.5</v>
      </c>
      <c r="AP709" s="3">
        <v>39753</v>
      </c>
      <c r="AQ709" s="2">
        <v>38.9</v>
      </c>
      <c r="AR709" s="2" t="str">
        <f t="shared" si="164"/>
        <v>-</v>
      </c>
      <c r="AS709" s="2">
        <v>33.200000000000003</v>
      </c>
      <c r="AT709" s="8" t="str">
        <f t="shared" si="165"/>
        <v>-</v>
      </c>
      <c r="AU709" s="2">
        <v>33.6</v>
      </c>
      <c r="AV709" s="8" t="str">
        <f t="shared" si="166"/>
        <v>-</v>
      </c>
      <c r="AW709" s="2">
        <v>33.700000000000003</v>
      </c>
      <c r="AX709" s="8" t="str">
        <f t="shared" si="167"/>
        <v>-</v>
      </c>
      <c r="AY709" s="2">
        <v>50.3</v>
      </c>
      <c r="AZ709" s="8" t="str">
        <f t="shared" si="168"/>
        <v>-</v>
      </c>
      <c r="BA709" s="2">
        <v>43.5</v>
      </c>
      <c r="BB709" s="8" t="str">
        <f t="shared" si="169"/>
        <v>+</v>
      </c>
      <c r="BC709" s="2">
        <v>55</v>
      </c>
      <c r="BD709" s="8" t="str">
        <f t="shared" si="170"/>
        <v>+</v>
      </c>
      <c r="BE709" s="2">
        <v>37</v>
      </c>
      <c r="BF709" s="8" t="str">
        <f t="shared" si="161"/>
        <v>-</v>
      </c>
      <c r="BG709" s="2">
        <v>29.5</v>
      </c>
      <c r="BH709" s="8" t="str">
        <f t="shared" si="171"/>
        <v>-</v>
      </c>
      <c r="BI709" s="2">
        <v>41</v>
      </c>
      <c r="BJ709" s="8" t="str">
        <f t="shared" si="172"/>
        <v>-</v>
      </c>
      <c r="BK709" s="2">
        <v>41</v>
      </c>
      <c r="BL709" s="8" t="str">
        <f t="shared" si="173"/>
        <v>-</v>
      </c>
    </row>
    <row r="710" spans="1:64">
      <c r="A710" s="1">
        <v>39814</v>
      </c>
      <c r="B710">
        <v>33.1</v>
      </c>
      <c r="C710">
        <v>23.2</v>
      </c>
      <c r="D710">
        <v>29.9</v>
      </c>
      <c r="E710">
        <v>26.3</v>
      </c>
      <c r="F710">
        <v>48.1</v>
      </c>
      <c r="G710">
        <v>38</v>
      </c>
      <c r="H710">
        <v>57</v>
      </c>
      <c r="I710">
        <v>18</v>
      </c>
      <c r="J710">
        <v>23</v>
      </c>
      <c r="K710">
        <v>35.5</v>
      </c>
      <c r="L710">
        <v>39</v>
      </c>
      <c r="W710" s="1">
        <v>39814</v>
      </c>
      <c r="X710">
        <v>825.88000499999998</v>
      </c>
      <c r="Y710" s="4">
        <f t="shared" si="174"/>
        <v>-8.5657342928314437E-2</v>
      </c>
      <c r="Z710" s="4">
        <f t="shared" si="162"/>
        <v>-0.40090676751337884</v>
      </c>
      <c r="AA710">
        <v>33.1</v>
      </c>
      <c r="AB710">
        <f t="shared" si="163"/>
        <v>49</v>
      </c>
      <c r="AP710" s="3">
        <v>39783</v>
      </c>
      <c r="AQ710" s="2">
        <v>36.5</v>
      </c>
      <c r="AR710" s="2" t="str">
        <f t="shared" si="164"/>
        <v>-</v>
      </c>
      <c r="AS710" s="2">
        <v>27.6</v>
      </c>
      <c r="AT710" s="8" t="str">
        <f t="shared" si="165"/>
        <v>-</v>
      </c>
      <c r="AU710" s="2">
        <v>32.4</v>
      </c>
      <c r="AV710" s="8" t="str">
        <f t="shared" si="166"/>
        <v>-</v>
      </c>
      <c r="AW710" s="2">
        <v>34.4</v>
      </c>
      <c r="AX710" s="8" t="str">
        <f t="shared" si="167"/>
        <v>+</v>
      </c>
      <c r="AY710" s="2">
        <v>49.7</v>
      </c>
      <c r="AZ710" s="8" t="str">
        <f t="shared" si="168"/>
        <v>-</v>
      </c>
      <c r="BA710" s="2">
        <v>38.5</v>
      </c>
      <c r="BB710" s="8" t="str">
        <f t="shared" si="169"/>
        <v>-</v>
      </c>
      <c r="BC710" s="2">
        <v>55</v>
      </c>
      <c r="BD710" s="8" t="str">
        <f t="shared" si="170"/>
        <v>+</v>
      </c>
      <c r="BE710" s="2">
        <v>25.5</v>
      </c>
      <c r="BF710" s="8" t="str">
        <f t="shared" ref="BF710:BF773" si="175">IF(OR(BE710&gt;BE709,BE710=BE709),"+","-")</f>
        <v>-</v>
      </c>
      <c r="BG710" s="2">
        <v>27</v>
      </c>
      <c r="BH710" s="8" t="str">
        <f t="shared" si="171"/>
        <v>-</v>
      </c>
      <c r="BI710" s="2">
        <v>41</v>
      </c>
      <c r="BJ710" s="8" t="str">
        <f t="shared" si="172"/>
        <v>+</v>
      </c>
      <c r="BK710" s="2">
        <v>37.5</v>
      </c>
      <c r="BL710" s="8" t="str">
        <f t="shared" si="173"/>
        <v>-</v>
      </c>
    </row>
    <row r="711" spans="1:64">
      <c r="A711" s="1">
        <v>39845</v>
      </c>
      <c r="B711">
        <v>34.9</v>
      </c>
      <c r="C711">
        <v>31.8</v>
      </c>
      <c r="D711">
        <v>28.8</v>
      </c>
      <c r="E711">
        <v>30.3</v>
      </c>
      <c r="F711">
        <v>45.5</v>
      </c>
      <c r="G711">
        <v>38</v>
      </c>
      <c r="H711">
        <v>55.5</v>
      </c>
      <c r="I711">
        <v>29</v>
      </c>
      <c r="J711">
        <v>29.5</v>
      </c>
      <c r="K711">
        <v>37.5</v>
      </c>
      <c r="L711">
        <v>36.5</v>
      </c>
      <c r="W711" s="1">
        <v>39845</v>
      </c>
      <c r="X711">
        <v>735.09002699999996</v>
      </c>
      <c r="Y711" s="4">
        <f t="shared" si="174"/>
        <v>-0.10993119757149226</v>
      </c>
      <c r="Z711" s="4">
        <f t="shared" si="162"/>
        <v>-0.44756241461727747</v>
      </c>
      <c r="AA711">
        <v>34.9</v>
      </c>
      <c r="AB711">
        <f t="shared" si="163"/>
        <v>50.3</v>
      </c>
      <c r="AP711" s="3">
        <v>39814</v>
      </c>
      <c r="AQ711" s="2">
        <v>33.1</v>
      </c>
      <c r="AR711" s="2" t="str">
        <f t="shared" si="164"/>
        <v>-</v>
      </c>
      <c r="AS711" s="2">
        <v>23.2</v>
      </c>
      <c r="AT711" s="8" t="str">
        <f t="shared" si="165"/>
        <v>-</v>
      </c>
      <c r="AU711" s="2">
        <v>26.3</v>
      </c>
      <c r="AV711" s="8" t="str">
        <f t="shared" si="166"/>
        <v>-</v>
      </c>
      <c r="AW711" s="2">
        <v>29.9</v>
      </c>
      <c r="AX711" s="8" t="str">
        <f t="shared" si="167"/>
        <v>-</v>
      </c>
      <c r="AY711" s="2">
        <v>48.1</v>
      </c>
      <c r="AZ711" s="8" t="str">
        <f t="shared" si="168"/>
        <v>-</v>
      </c>
      <c r="BA711" s="2">
        <v>38</v>
      </c>
      <c r="BB711" s="8" t="str">
        <f t="shared" si="169"/>
        <v>-</v>
      </c>
      <c r="BC711" s="2">
        <v>57</v>
      </c>
      <c r="BD711" s="8" t="str">
        <f t="shared" si="170"/>
        <v>+</v>
      </c>
      <c r="BE711" s="2">
        <v>18</v>
      </c>
      <c r="BF711" s="8" t="str">
        <f t="shared" si="175"/>
        <v>-</v>
      </c>
      <c r="BG711" s="2">
        <v>23</v>
      </c>
      <c r="BH711" s="8" t="str">
        <f t="shared" si="171"/>
        <v>-</v>
      </c>
      <c r="BI711" s="2">
        <v>35.5</v>
      </c>
      <c r="BJ711" s="8" t="str">
        <f t="shared" si="172"/>
        <v>-</v>
      </c>
      <c r="BK711" s="2">
        <v>39</v>
      </c>
      <c r="BL711" s="8" t="str">
        <f t="shared" si="173"/>
        <v>+</v>
      </c>
    </row>
    <row r="712" spans="1:64">
      <c r="A712" s="1">
        <v>39873</v>
      </c>
      <c r="B712">
        <v>35.5</v>
      </c>
      <c r="C712">
        <v>32.799999999999997</v>
      </c>
      <c r="D712">
        <v>25.5</v>
      </c>
      <c r="E712">
        <v>35.299999999999997</v>
      </c>
      <c r="F712">
        <v>46</v>
      </c>
      <c r="G712">
        <v>38</v>
      </c>
      <c r="H712">
        <v>51</v>
      </c>
      <c r="I712">
        <v>29</v>
      </c>
      <c r="J712">
        <v>31</v>
      </c>
      <c r="K712">
        <v>37.5</v>
      </c>
      <c r="L712">
        <v>32</v>
      </c>
      <c r="W712" s="1">
        <v>39873</v>
      </c>
      <c r="X712">
        <v>797.86999500000002</v>
      </c>
      <c r="Y712" s="4">
        <f t="shared" si="174"/>
        <v>8.5404461622494654E-2</v>
      </c>
      <c r="Z712" s="4">
        <f t="shared" si="162"/>
        <v>-0.39678685676461478</v>
      </c>
      <c r="AA712">
        <v>35.5</v>
      </c>
      <c r="AB712">
        <f t="shared" si="163"/>
        <v>47.6</v>
      </c>
      <c r="AP712" s="3">
        <v>39845</v>
      </c>
      <c r="AQ712" s="2">
        <v>34.9</v>
      </c>
      <c r="AR712" s="2" t="str">
        <f t="shared" si="164"/>
        <v>+</v>
      </c>
      <c r="AS712" s="2">
        <v>31.8</v>
      </c>
      <c r="AT712" s="8" t="str">
        <f t="shared" si="165"/>
        <v>+</v>
      </c>
      <c r="AU712" s="2">
        <v>30.3</v>
      </c>
      <c r="AV712" s="8" t="str">
        <f t="shared" si="166"/>
        <v>+</v>
      </c>
      <c r="AW712" s="2">
        <v>28.8</v>
      </c>
      <c r="AX712" s="8" t="str">
        <f t="shared" si="167"/>
        <v>-</v>
      </c>
      <c r="AY712" s="2">
        <v>45.5</v>
      </c>
      <c r="AZ712" s="8" t="str">
        <f t="shared" si="168"/>
        <v>-</v>
      </c>
      <c r="BA712" s="2">
        <v>38</v>
      </c>
      <c r="BB712" s="8" t="str">
        <f t="shared" si="169"/>
        <v>+</v>
      </c>
      <c r="BC712" s="2">
        <v>55.5</v>
      </c>
      <c r="BD712" s="8" t="str">
        <f t="shared" si="170"/>
        <v>-</v>
      </c>
      <c r="BE712" s="2">
        <v>29</v>
      </c>
      <c r="BF712" s="8" t="str">
        <f t="shared" si="175"/>
        <v>+</v>
      </c>
      <c r="BG712" s="2">
        <v>29.5</v>
      </c>
      <c r="BH712" s="8" t="str">
        <f t="shared" si="171"/>
        <v>+</v>
      </c>
      <c r="BI712" s="2">
        <v>37.5</v>
      </c>
      <c r="BJ712" s="8" t="str">
        <f t="shared" si="172"/>
        <v>+</v>
      </c>
      <c r="BK712" s="2">
        <v>36.5</v>
      </c>
      <c r="BL712" s="8" t="str">
        <f t="shared" si="173"/>
        <v>-</v>
      </c>
    </row>
    <row r="713" spans="1:64">
      <c r="A713" s="1">
        <v>39904</v>
      </c>
      <c r="B713">
        <v>36</v>
      </c>
      <c r="C713">
        <v>40.299999999999997</v>
      </c>
      <c r="D713">
        <v>28.6</v>
      </c>
      <c r="E713">
        <v>36.299999999999997</v>
      </c>
      <c r="F713">
        <v>41.9</v>
      </c>
      <c r="G713">
        <v>33</v>
      </c>
      <c r="H713">
        <v>54</v>
      </c>
      <c r="I713">
        <v>31</v>
      </c>
      <c r="J713">
        <v>35.5</v>
      </c>
      <c r="K713">
        <v>39</v>
      </c>
      <c r="L713">
        <v>33</v>
      </c>
      <c r="W713" s="1">
        <v>39904</v>
      </c>
      <c r="X713">
        <v>872.80999799999995</v>
      </c>
      <c r="Y713" s="4">
        <f t="shared" si="174"/>
        <v>9.3925079862164682E-2</v>
      </c>
      <c r="Z713" s="4">
        <f t="shared" si="162"/>
        <v>-0.37008060146417088</v>
      </c>
      <c r="AA713">
        <v>36</v>
      </c>
      <c r="AB713">
        <f t="shared" si="163"/>
        <v>48.3</v>
      </c>
      <c r="AP713" s="3">
        <v>39873</v>
      </c>
      <c r="AQ713" s="2">
        <v>35.5</v>
      </c>
      <c r="AR713" s="2" t="str">
        <f t="shared" si="164"/>
        <v>+</v>
      </c>
      <c r="AS713" s="2">
        <v>32.799999999999997</v>
      </c>
      <c r="AT713" s="8" t="str">
        <f t="shared" si="165"/>
        <v>+</v>
      </c>
      <c r="AU713" s="2">
        <v>35.299999999999997</v>
      </c>
      <c r="AV713" s="8" t="str">
        <f t="shared" si="166"/>
        <v>+</v>
      </c>
      <c r="AW713" s="2">
        <v>25.5</v>
      </c>
      <c r="AX713" s="8" t="str">
        <f t="shared" si="167"/>
        <v>-</v>
      </c>
      <c r="AY713" s="2">
        <v>46</v>
      </c>
      <c r="AZ713" s="8" t="str">
        <f t="shared" si="168"/>
        <v>+</v>
      </c>
      <c r="BA713" s="2">
        <v>38</v>
      </c>
      <c r="BB713" s="8" t="str">
        <f t="shared" si="169"/>
        <v>+</v>
      </c>
      <c r="BC713" s="2">
        <v>51</v>
      </c>
      <c r="BD713" s="8" t="str">
        <f t="shared" si="170"/>
        <v>-</v>
      </c>
      <c r="BE713" s="2">
        <v>29</v>
      </c>
      <c r="BF713" s="8" t="str">
        <f t="shared" si="175"/>
        <v>+</v>
      </c>
      <c r="BG713" s="2">
        <v>31</v>
      </c>
      <c r="BH713" s="8" t="str">
        <f t="shared" si="171"/>
        <v>+</v>
      </c>
      <c r="BI713" s="2">
        <v>37.5</v>
      </c>
      <c r="BJ713" s="8" t="str">
        <f t="shared" si="172"/>
        <v>+</v>
      </c>
      <c r="BK713" s="2">
        <v>32</v>
      </c>
      <c r="BL713" s="8" t="str">
        <f t="shared" si="173"/>
        <v>-</v>
      </c>
    </row>
    <row r="714" spans="1:64">
      <c r="A714" s="1">
        <v>39934</v>
      </c>
      <c r="B714">
        <v>39.5</v>
      </c>
      <c r="C714">
        <v>46.5</v>
      </c>
      <c r="D714">
        <v>33.200000000000003</v>
      </c>
      <c r="E714">
        <v>39</v>
      </c>
      <c r="F714">
        <v>44.4</v>
      </c>
      <c r="G714">
        <v>34.5</v>
      </c>
      <c r="H714">
        <v>49.5</v>
      </c>
      <c r="I714">
        <v>32</v>
      </c>
      <c r="J714">
        <v>40.5</v>
      </c>
      <c r="K714">
        <v>44</v>
      </c>
      <c r="L714">
        <v>42</v>
      </c>
      <c r="W714" s="1">
        <v>39934</v>
      </c>
      <c r="X714">
        <v>919.14001499999995</v>
      </c>
      <c r="Y714" s="4">
        <f t="shared" si="174"/>
        <v>5.3081446255385356E-2</v>
      </c>
      <c r="Z714" s="4">
        <f t="shared" si="162"/>
        <v>-0.34364957246015521</v>
      </c>
      <c r="AA714">
        <v>39.5</v>
      </c>
      <c r="AB714">
        <f t="shared" si="163"/>
        <v>48.8</v>
      </c>
      <c r="AP714" s="3">
        <v>39904</v>
      </c>
      <c r="AQ714" s="2">
        <v>36</v>
      </c>
      <c r="AR714" s="2" t="str">
        <f t="shared" si="164"/>
        <v>+</v>
      </c>
      <c r="AS714" s="2">
        <v>40.299999999999997</v>
      </c>
      <c r="AT714" s="8" t="str">
        <f t="shared" si="165"/>
        <v>+</v>
      </c>
      <c r="AU714" s="2">
        <v>36.299999999999997</v>
      </c>
      <c r="AV714" s="8" t="str">
        <f t="shared" si="166"/>
        <v>+</v>
      </c>
      <c r="AW714" s="2">
        <v>28.6</v>
      </c>
      <c r="AX714" s="8" t="str">
        <f t="shared" si="167"/>
        <v>+</v>
      </c>
      <c r="AY714" s="2">
        <v>41.9</v>
      </c>
      <c r="AZ714" s="8" t="str">
        <f t="shared" si="168"/>
        <v>-</v>
      </c>
      <c r="BA714" s="2">
        <v>33</v>
      </c>
      <c r="BB714" s="8" t="str">
        <f t="shared" si="169"/>
        <v>-</v>
      </c>
      <c r="BC714" s="2">
        <v>54</v>
      </c>
      <c r="BD714" s="8" t="str">
        <f t="shared" si="170"/>
        <v>+</v>
      </c>
      <c r="BE714" s="2">
        <v>31</v>
      </c>
      <c r="BF714" s="8" t="str">
        <f t="shared" si="175"/>
        <v>+</v>
      </c>
      <c r="BG714" s="2">
        <v>35.5</v>
      </c>
      <c r="BH714" s="8" t="str">
        <f t="shared" si="171"/>
        <v>+</v>
      </c>
      <c r="BI714" s="2">
        <v>39</v>
      </c>
      <c r="BJ714" s="8" t="str">
        <f t="shared" si="172"/>
        <v>+</v>
      </c>
      <c r="BK714" s="2">
        <v>33</v>
      </c>
      <c r="BL714" s="8" t="str">
        <f t="shared" si="173"/>
        <v>+</v>
      </c>
    </row>
    <row r="715" spans="1:64">
      <c r="A715" s="1">
        <v>39965</v>
      </c>
      <c r="B715">
        <v>41.7</v>
      </c>
      <c r="C715">
        <v>49</v>
      </c>
      <c r="D715">
        <v>34.799999999999997</v>
      </c>
      <c r="E715">
        <v>42.7</v>
      </c>
      <c r="F715">
        <v>49.2</v>
      </c>
      <c r="G715">
        <v>33</v>
      </c>
      <c r="H715">
        <v>46</v>
      </c>
      <c r="I715">
        <v>43.5</v>
      </c>
      <c r="J715">
        <v>48</v>
      </c>
      <c r="K715">
        <v>48</v>
      </c>
      <c r="L715">
        <v>42.5</v>
      </c>
      <c r="W715" s="1">
        <v>39965</v>
      </c>
      <c r="X715">
        <v>919.32000700000003</v>
      </c>
      <c r="Y715" s="4">
        <f t="shared" si="174"/>
        <v>1.958265303029853E-4</v>
      </c>
      <c r="Z715" s="4">
        <f t="shared" si="162"/>
        <v>-0.28178124453124997</v>
      </c>
      <c r="AA715">
        <v>41.7</v>
      </c>
      <c r="AB715">
        <f t="shared" si="163"/>
        <v>48.8</v>
      </c>
      <c r="AP715" s="3">
        <v>39934</v>
      </c>
      <c r="AQ715" s="2">
        <v>39.5</v>
      </c>
      <c r="AR715" s="2" t="str">
        <f t="shared" si="164"/>
        <v>+</v>
      </c>
      <c r="AS715" s="2">
        <v>46.5</v>
      </c>
      <c r="AT715" s="8" t="str">
        <f t="shared" si="165"/>
        <v>+</v>
      </c>
      <c r="AU715" s="2">
        <v>39</v>
      </c>
      <c r="AV715" s="8" t="str">
        <f t="shared" si="166"/>
        <v>+</v>
      </c>
      <c r="AW715" s="2">
        <v>33.200000000000003</v>
      </c>
      <c r="AX715" s="8" t="str">
        <f t="shared" si="167"/>
        <v>+</v>
      </c>
      <c r="AY715" s="2">
        <v>44.4</v>
      </c>
      <c r="AZ715" s="8" t="str">
        <f t="shared" si="168"/>
        <v>+</v>
      </c>
      <c r="BA715" s="2">
        <v>34.5</v>
      </c>
      <c r="BB715" s="8" t="str">
        <f t="shared" si="169"/>
        <v>+</v>
      </c>
      <c r="BC715" s="2">
        <v>49.5</v>
      </c>
      <c r="BD715" s="8" t="str">
        <f t="shared" si="170"/>
        <v>-</v>
      </c>
      <c r="BE715" s="2">
        <v>32</v>
      </c>
      <c r="BF715" s="8" t="str">
        <f t="shared" si="175"/>
        <v>+</v>
      </c>
      <c r="BG715" s="2">
        <v>40.5</v>
      </c>
      <c r="BH715" s="8" t="str">
        <f t="shared" si="171"/>
        <v>+</v>
      </c>
      <c r="BI715" s="2">
        <v>44</v>
      </c>
      <c r="BJ715" s="8" t="str">
        <f t="shared" si="172"/>
        <v>+</v>
      </c>
      <c r="BK715" s="2">
        <v>42</v>
      </c>
      <c r="BL715" s="8" t="str">
        <f t="shared" si="173"/>
        <v>+</v>
      </c>
    </row>
    <row r="716" spans="1:64">
      <c r="A716" s="1">
        <v>39995</v>
      </c>
      <c r="B716">
        <v>45.8</v>
      </c>
      <c r="C716">
        <v>51.7</v>
      </c>
      <c r="D716">
        <v>40.700000000000003</v>
      </c>
      <c r="E716">
        <v>55.4</v>
      </c>
      <c r="F716">
        <v>50.4</v>
      </c>
      <c r="G716">
        <v>31</v>
      </c>
      <c r="H716">
        <v>43.5</v>
      </c>
      <c r="I716">
        <v>50</v>
      </c>
      <c r="J716">
        <v>47.5</v>
      </c>
      <c r="K716">
        <v>49.5</v>
      </c>
      <c r="L716">
        <v>46</v>
      </c>
      <c r="W716" s="1">
        <v>39995</v>
      </c>
      <c r="X716">
        <v>987.47997999999995</v>
      </c>
      <c r="Y716" s="4">
        <f t="shared" si="174"/>
        <v>7.4141727016716522E-2</v>
      </c>
      <c r="Z716" s="4">
        <f t="shared" si="162"/>
        <v>-0.22084933003184001</v>
      </c>
      <c r="AA716">
        <v>45.8</v>
      </c>
      <c r="AB716">
        <f t="shared" si="163"/>
        <v>49.8</v>
      </c>
      <c r="AP716" s="3">
        <v>39965</v>
      </c>
      <c r="AQ716" s="2">
        <v>41.7</v>
      </c>
      <c r="AR716" s="2" t="str">
        <f t="shared" si="164"/>
        <v>+</v>
      </c>
      <c r="AS716" s="2">
        <v>49</v>
      </c>
      <c r="AT716" s="8" t="str">
        <f t="shared" si="165"/>
        <v>+</v>
      </c>
      <c r="AU716" s="2">
        <v>42.7</v>
      </c>
      <c r="AV716" s="8" t="str">
        <f t="shared" si="166"/>
        <v>+</v>
      </c>
      <c r="AW716" s="2">
        <v>34.799999999999997</v>
      </c>
      <c r="AX716" s="8" t="str">
        <f t="shared" si="167"/>
        <v>+</v>
      </c>
      <c r="AY716" s="2">
        <v>49.2</v>
      </c>
      <c r="AZ716" s="8" t="str">
        <f t="shared" si="168"/>
        <v>+</v>
      </c>
      <c r="BA716" s="2">
        <v>33</v>
      </c>
      <c r="BB716" s="8" t="str">
        <f t="shared" si="169"/>
        <v>-</v>
      </c>
      <c r="BC716" s="2">
        <v>46</v>
      </c>
      <c r="BD716" s="8" t="str">
        <f t="shared" si="170"/>
        <v>-</v>
      </c>
      <c r="BE716" s="2">
        <v>43.5</v>
      </c>
      <c r="BF716" s="8" t="str">
        <f t="shared" si="175"/>
        <v>+</v>
      </c>
      <c r="BG716" s="2">
        <v>48</v>
      </c>
      <c r="BH716" s="8" t="str">
        <f t="shared" si="171"/>
        <v>+</v>
      </c>
      <c r="BI716" s="2">
        <v>48</v>
      </c>
      <c r="BJ716" s="8" t="str">
        <f t="shared" si="172"/>
        <v>+</v>
      </c>
      <c r="BK716" s="2">
        <v>42.5</v>
      </c>
      <c r="BL716" s="8" t="str">
        <f t="shared" si="173"/>
        <v>+</v>
      </c>
    </row>
    <row r="717" spans="1:64">
      <c r="A717" s="1">
        <v>40026</v>
      </c>
      <c r="B717">
        <v>49.9</v>
      </c>
      <c r="C717">
        <v>57.6</v>
      </c>
      <c r="D717">
        <v>47.1</v>
      </c>
      <c r="E717">
        <v>59.9</v>
      </c>
      <c r="F717">
        <v>52.2</v>
      </c>
      <c r="G717">
        <v>32.5</v>
      </c>
      <c r="H717">
        <v>42.5</v>
      </c>
      <c r="I717">
        <v>55</v>
      </c>
      <c r="J717">
        <v>50</v>
      </c>
      <c r="K717">
        <v>50.5</v>
      </c>
      <c r="L717">
        <v>50</v>
      </c>
      <c r="W717" s="1">
        <v>40026</v>
      </c>
      <c r="X717">
        <v>1020.619995</v>
      </c>
      <c r="Y717" s="4">
        <f t="shared" si="174"/>
        <v>3.3560189240494843E-2</v>
      </c>
      <c r="Z717" s="4">
        <f t="shared" si="162"/>
        <v>-0.20439962426321764</v>
      </c>
      <c r="AA717">
        <v>49.9</v>
      </c>
      <c r="AB717">
        <f t="shared" si="163"/>
        <v>50</v>
      </c>
      <c r="AP717" s="3">
        <v>39995</v>
      </c>
      <c r="AQ717" s="2">
        <v>45.8</v>
      </c>
      <c r="AR717" s="2" t="str">
        <f t="shared" si="164"/>
        <v>+</v>
      </c>
      <c r="AS717" s="2">
        <v>51.7</v>
      </c>
      <c r="AT717" s="8" t="str">
        <f t="shared" si="165"/>
        <v>+</v>
      </c>
      <c r="AU717" s="2">
        <v>55.4</v>
      </c>
      <c r="AV717" s="8" t="str">
        <f t="shared" si="166"/>
        <v>+</v>
      </c>
      <c r="AW717" s="2">
        <v>40.700000000000003</v>
      </c>
      <c r="AX717" s="8" t="str">
        <f t="shared" si="167"/>
        <v>+</v>
      </c>
      <c r="AY717" s="2">
        <v>50.4</v>
      </c>
      <c r="AZ717" s="8" t="str">
        <f t="shared" si="168"/>
        <v>+</v>
      </c>
      <c r="BA717" s="2">
        <v>31</v>
      </c>
      <c r="BB717" s="8" t="str">
        <f t="shared" si="169"/>
        <v>-</v>
      </c>
      <c r="BC717" s="2">
        <v>43.5</v>
      </c>
      <c r="BD717" s="8" t="str">
        <f t="shared" si="170"/>
        <v>-</v>
      </c>
      <c r="BE717" s="2">
        <v>50</v>
      </c>
      <c r="BF717" s="8" t="str">
        <f t="shared" si="175"/>
        <v>+</v>
      </c>
      <c r="BG717" s="2">
        <v>47.5</v>
      </c>
      <c r="BH717" s="8" t="str">
        <f t="shared" si="171"/>
        <v>-</v>
      </c>
      <c r="BI717" s="2">
        <v>49.5</v>
      </c>
      <c r="BJ717" s="8" t="str">
        <f t="shared" si="172"/>
        <v>+</v>
      </c>
      <c r="BK717" s="2">
        <v>46</v>
      </c>
      <c r="BL717" s="8" t="str">
        <f t="shared" si="173"/>
        <v>+</v>
      </c>
    </row>
    <row r="718" spans="1:64">
      <c r="A718" s="1">
        <v>40057</v>
      </c>
      <c r="B718">
        <v>53.5</v>
      </c>
      <c r="C718">
        <v>66.599999999999994</v>
      </c>
      <c r="D718">
        <v>46.1</v>
      </c>
      <c r="E718">
        <v>62.4</v>
      </c>
      <c r="F718">
        <v>56.5</v>
      </c>
      <c r="G718">
        <v>36</v>
      </c>
      <c r="H718">
        <v>39</v>
      </c>
      <c r="I718">
        <v>65</v>
      </c>
      <c r="J718">
        <v>52.5</v>
      </c>
      <c r="K718">
        <v>55.5</v>
      </c>
      <c r="L718">
        <v>49.5</v>
      </c>
      <c r="W718" s="1">
        <v>40057</v>
      </c>
      <c r="X718">
        <v>1057.079956</v>
      </c>
      <c r="Y718" s="4">
        <f t="shared" si="174"/>
        <v>3.5723345788458732E-2</v>
      </c>
      <c r="Z718" s="4">
        <f t="shared" si="162"/>
        <v>-9.3693225423881463E-2</v>
      </c>
      <c r="AA718">
        <v>53.5</v>
      </c>
      <c r="AB718">
        <f t="shared" si="163"/>
        <v>49.2</v>
      </c>
      <c r="AP718" s="3">
        <v>40026</v>
      </c>
      <c r="AQ718" s="2">
        <v>49.9</v>
      </c>
      <c r="AR718" s="2" t="str">
        <f t="shared" si="164"/>
        <v>+</v>
      </c>
      <c r="AS718" s="2">
        <v>57.6</v>
      </c>
      <c r="AT718" s="8" t="str">
        <f t="shared" si="165"/>
        <v>+</v>
      </c>
      <c r="AU718" s="2">
        <v>59.9</v>
      </c>
      <c r="AV718" s="8" t="str">
        <f t="shared" si="166"/>
        <v>+</v>
      </c>
      <c r="AW718" s="2">
        <v>47.1</v>
      </c>
      <c r="AX718" s="8" t="str">
        <f t="shared" si="167"/>
        <v>+</v>
      </c>
      <c r="AY718" s="2">
        <v>52.2</v>
      </c>
      <c r="AZ718" s="8" t="str">
        <f t="shared" si="168"/>
        <v>+</v>
      </c>
      <c r="BA718" s="2">
        <v>32.5</v>
      </c>
      <c r="BB718" s="8" t="str">
        <f t="shared" si="169"/>
        <v>+</v>
      </c>
      <c r="BC718" s="2">
        <v>42.5</v>
      </c>
      <c r="BD718" s="8" t="str">
        <f t="shared" si="170"/>
        <v>-</v>
      </c>
      <c r="BE718" s="2">
        <v>55</v>
      </c>
      <c r="BF718" s="8" t="str">
        <f t="shared" si="175"/>
        <v>+</v>
      </c>
      <c r="BG718" s="2">
        <v>50</v>
      </c>
      <c r="BH718" s="8" t="str">
        <f t="shared" si="171"/>
        <v>+</v>
      </c>
      <c r="BI718" s="2">
        <v>50.5</v>
      </c>
      <c r="BJ718" s="8" t="str">
        <f t="shared" si="172"/>
        <v>+</v>
      </c>
      <c r="BK718" s="2">
        <v>50</v>
      </c>
      <c r="BL718" s="8" t="str">
        <f t="shared" si="173"/>
        <v>+</v>
      </c>
    </row>
    <row r="719" spans="1:64">
      <c r="A719" s="1">
        <v>40087</v>
      </c>
      <c r="B719">
        <v>54.4</v>
      </c>
      <c r="C719">
        <v>63.3</v>
      </c>
      <c r="D719">
        <v>47.8</v>
      </c>
      <c r="E719">
        <v>61.2</v>
      </c>
      <c r="F719">
        <v>58.4</v>
      </c>
      <c r="G719">
        <v>41.5</v>
      </c>
      <c r="H719">
        <v>39</v>
      </c>
      <c r="I719">
        <v>63.5</v>
      </c>
      <c r="J719">
        <v>53.5</v>
      </c>
      <c r="K719">
        <v>55</v>
      </c>
      <c r="L719">
        <v>52</v>
      </c>
      <c r="W719" s="1">
        <v>40087</v>
      </c>
      <c r="X719">
        <v>1036.1899410000001</v>
      </c>
      <c r="Y719" s="4">
        <f t="shared" si="174"/>
        <v>-1.976200086041547E-2</v>
      </c>
      <c r="Z719" s="4">
        <f t="shared" ref="Z719:Z782" si="176">(X719-X707)/X707</f>
        <v>6.9615422967742022E-2</v>
      </c>
      <c r="AA719">
        <v>54.4</v>
      </c>
      <c r="AB719">
        <f t="shared" ref="AB719:AB782" si="177">AA707</f>
        <v>44.8</v>
      </c>
      <c r="AP719" s="3">
        <v>40057</v>
      </c>
      <c r="AQ719" s="2">
        <v>53.5</v>
      </c>
      <c r="AR719" s="2" t="str">
        <f t="shared" si="164"/>
        <v>+</v>
      </c>
      <c r="AS719" s="2">
        <v>66.599999999999994</v>
      </c>
      <c r="AT719" s="8" t="str">
        <f t="shared" si="165"/>
        <v>+</v>
      </c>
      <c r="AU719" s="2">
        <v>62.4</v>
      </c>
      <c r="AV719" s="8" t="str">
        <f t="shared" si="166"/>
        <v>+</v>
      </c>
      <c r="AW719" s="2">
        <v>46.1</v>
      </c>
      <c r="AX719" s="8" t="str">
        <f t="shared" si="167"/>
        <v>-</v>
      </c>
      <c r="AY719" s="2">
        <v>56.5</v>
      </c>
      <c r="AZ719" s="8" t="str">
        <f t="shared" si="168"/>
        <v>+</v>
      </c>
      <c r="BA719" s="2">
        <v>36</v>
      </c>
      <c r="BB719" s="8" t="str">
        <f t="shared" si="169"/>
        <v>+</v>
      </c>
      <c r="BC719" s="2">
        <v>39</v>
      </c>
      <c r="BD719" s="8" t="str">
        <f t="shared" si="170"/>
        <v>-</v>
      </c>
      <c r="BE719" s="2">
        <v>65</v>
      </c>
      <c r="BF719" s="8" t="str">
        <f t="shared" si="175"/>
        <v>+</v>
      </c>
      <c r="BG719" s="2">
        <v>52.5</v>
      </c>
      <c r="BH719" s="8" t="str">
        <f t="shared" si="171"/>
        <v>+</v>
      </c>
      <c r="BI719" s="2">
        <v>55.5</v>
      </c>
      <c r="BJ719" s="8" t="str">
        <f t="shared" si="172"/>
        <v>+</v>
      </c>
      <c r="BK719" s="2">
        <v>49.5</v>
      </c>
      <c r="BL719" s="8" t="str">
        <f t="shared" si="173"/>
        <v>-</v>
      </c>
    </row>
    <row r="720" spans="1:64">
      <c r="A720" s="1">
        <v>40118</v>
      </c>
      <c r="B720">
        <v>56</v>
      </c>
      <c r="C720">
        <v>59.9</v>
      </c>
      <c r="D720">
        <v>52.4</v>
      </c>
      <c r="E720">
        <v>63</v>
      </c>
      <c r="F720">
        <v>58.4</v>
      </c>
      <c r="G720">
        <v>46.5</v>
      </c>
      <c r="H720">
        <v>38.5</v>
      </c>
      <c r="I720">
        <v>65</v>
      </c>
      <c r="J720">
        <v>53.5</v>
      </c>
      <c r="K720">
        <v>55.5</v>
      </c>
      <c r="L720">
        <v>51</v>
      </c>
      <c r="W720" s="1">
        <v>40118</v>
      </c>
      <c r="X720">
        <v>1095.630005</v>
      </c>
      <c r="Y720" s="4">
        <f t="shared" si="174"/>
        <v>5.7364061981373636E-2</v>
      </c>
      <c r="Z720" s="4">
        <f t="shared" si="176"/>
        <v>0.22247391014096563</v>
      </c>
      <c r="AA720">
        <v>56</v>
      </c>
      <c r="AB720">
        <f t="shared" si="177"/>
        <v>38.9</v>
      </c>
      <c r="AP720" s="3">
        <v>40087</v>
      </c>
      <c r="AQ720" s="2">
        <v>54.4</v>
      </c>
      <c r="AR720" s="2" t="str">
        <f t="shared" si="164"/>
        <v>+</v>
      </c>
      <c r="AS720" s="2">
        <v>63.3</v>
      </c>
      <c r="AT720" s="8" t="str">
        <f t="shared" si="165"/>
        <v>-</v>
      </c>
      <c r="AU720" s="2">
        <v>61.2</v>
      </c>
      <c r="AV720" s="8" t="str">
        <f t="shared" si="166"/>
        <v>-</v>
      </c>
      <c r="AW720" s="2">
        <v>47.8</v>
      </c>
      <c r="AX720" s="8" t="str">
        <f t="shared" si="167"/>
        <v>+</v>
      </c>
      <c r="AY720" s="2">
        <v>58.4</v>
      </c>
      <c r="AZ720" s="8" t="str">
        <f t="shared" si="168"/>
        <v>+</v>
      </c>
      <c r="BA720" s="2">
        <v>41.5</v>
      </c>
      <c r="BB720" s="8" t="str">
        <f t="shared" si="169"/>
        <v>+</v>
      </c>
      <c r="BC720" s="2">
        <v>39</v>
      </c>
      <c r="BD720" s="8" t="str">
        <f t="shared" si="170"/>
        <v>+</v>
      </c>
      <c r="BE720" s="2">
        <v>63.5</v>
      </c>
      <c r="BF720" s="8" t="str">
        <f t="shared" si="175"/>
        <v>-</v>
      </c>
      <c r="BG720" s="2">
        <v>53.5</v>
      </c>
      <c r="BH720" s="8" t="str">
        <f t="shared" si="171"/>
        <v>+</v>
      </c>
      <c r="BI720" s="2">
        <v>55</v>
      </c>
      <c r="BJ720" s="8" t="str">
        <f t="shared" si="172"/>
        <v>-</v>
      </c>
      <c r="BK720" s="2">
        <v>52</v>
      </c>
      <c r="BL720" s="8" t="str">
        <f t="shared" si="173"/>
        <v>+</v>
      </c>
    </row>
    <row r="721" spans="1:64">
      <c r="A721" s="1">
        <v>40148</v>
      </c>
      <c r="B721">
        <v>54.4</v>
      </c>
      <c r="C721">
        <v>60.6</v>
      </c>
      <c r="D721">
        <v>51.7</v>
      </c>
      <c r="E721">
        <v>62.7</v>
      </c>
      <c r="F721">
        <v>57.5</v>
      </c>
      <c r="G721">
        <v>39.5</v>
      </c>
      <c r="H721">
        <v>37</v>
      </c>
      <c r="I721">
        <v>55</v>
      </c>
      <c r="J721">
        <v>52</v>
      </c>
      <c r="K721">
        <v>56</v>
      </c>
      <c r="L721">
        <v>51.5</v>
      </c>
      <c r="W721" s="1">
        <v>40148</v>
      </c>
      <c r="X721">
        <v>1115.099976</v>
      </c>
      <c r="Y721" s="4">
        <f t="shared" si="174"/>
        <v>1.7770571188400402E-2</v>
      </c>
      <c r="Z721" s="4">
        <f t="shared" si="176"/>
        <v>0.23454190534182118</v>
      </c>
      <c r="AA721">
        <v>54.4</v>
      </c>
      <c r="AB721">
        <f t="shared" si="177"/>
        <v>36.5</v>
      </c>
      <c r="AP721" s="3">
        <v>40118</v>
      </c>
      <c r="AQ721" s="2">
        <v>56</v>
      </c>
      <c r="AR721" s="2" t="str">
        <f t="shared" si="164"/>
        <v>+</v>
      </c>
      <c r="AS721" s="2">
        <v>59.9</v>
      </c>
      <c r="AT721" s="8" t="str">
        <f t="shared" si="165"/>
        <v>-</v>
      </c>
      <c r="AU721" s="2">
        <v>63</v>
      </c>
      <c r="AV721" s="8" t="str">
        <f t="shared" si="166"/>
        <v>+</v>
      </c>
      <c r="AW721" s="2">
        <v>52.4</v>
      </c>
      <c r="AX721" s="8" t="str">
        <f t="shared" si="167"/>
        <v>+</v>
      </c>
      <c r="AY721" s="2">
        <v>58.4</v>
      </c>
      <c r="AZ721" s="8" t="str">
        <f t="shared" si="168"/>
        <v>+</v>
      </c>
      <c r="BA721" s="2">
        <v>46.5</v>
      </c>
      <c r="BB721" s="8" t="str">
        <f t="shared" si="169"/>
        <v>+</v>
      </c>
      <c r="BC721" s="2">
        <v>38.5</v>
      </c>
      <c r="BD721" s="8" t="str">
        <f t="shared" si="170"/>
        <v>-</v>
      </c>
      <c r="BE721" s="2">
        <v>65</v>
      </c>
      <c r="BF721" s="8" t="str">
        <f t="shared" si="175"/>
        <v>+</v>
      </c>
      <c r="BG721" s="2">
        <v>53.5</v>
      </c>
      <c r="BH721" s="8" t="str">
        <f t="shared" si="171"/>
        <v>+</v>
      </c>
      <c r="BI721" s="2">
        <v>55.5</v>
      </c>
      <c r="BJ721" s="8" t="str">
        <f t="shared" si="172"/>
        <v>+</v>
      </c>
      <c r="BK721" s="2">
        <v>51</v>
      </c>
      <c r="BL721" s="8" t="str">
        <f t="shared" si="173"/>
        <v>-</v>
      </c>
    </row>
    <row r="722" spans="1:64">
      <c r="A722" s="1">
        <v>40179</v>
      </c>
      <c r="B722">
        <v>55.3</v>
      </c>
      <c r="C722">
        <v>63</v>
      </c>
      <c r="D722">
        <v>51.6</v>
      </c>
      <c r="E722">
        <v>62.3</v>
      </c>
      <c r="F722">
        <v>58.3</v>
      </c>
      <c r="G722">
        <v>41.5</v>
      </c>
      <c r="H722">
        <v>35</v>
      </c>
      <c r="I722">
        <v>61.5</v>
      </c>
      <c r="J722">
        <v>50</v>
      </c>
      <c r="K722">
        <v>54.5</v>
      </c>
      <c r="L722">
        <v>55</v>
      </c>
      <c r="W722" s="1">
        <v>40179</v>
      </c>
      <c r="X722">
        <v>1073.869995</v>
      </c>
      <c r="Y722" s="4">
        <f t="shared" si="174"/>
        <v>-3.6974246154947411E-2</v>
      </c>
      <c r="Z722" s="4">
        <f t="shared" si="176"/>
        <v>0.3002736335770716</v>
      </c>
      <c r="AA722">
        <v>55.3</v>
      </c>
      <c r="AB722">
        <f t="shared" si="177"/>
        <v>33.1</v>
      </c>
      <c r="AP722" s="3">
        <v>40148</v>
      </c>
      <c r="AQ722" s="2">
        <v>54.4</v>
      </c>
      <c r="AR722" s="2" t="str">
        <f t="shared" si="164"/>
        <v>-</v>
      </c>
      <c r="AS722" s="2">
        <v>60.6</v>
      </c>
      <c r="AT722" s="8" t="str">
        <f t="shared" si="165"/>
        <v>+</v>
      </c>
      <c r="AU722" s="2">
        <v>62.7</v>
      </c>
      <c r="AV722" s="8" t="str">
        <f t="shared" si="166"/>
        <v>-</v>
      </c>
      <c r="AW722" s="2">
        <v>51.7</v>
      </c>
      <c r="AX722" s="8" t="str">
        <f t="shared" si="167"/>
        <v>-</v>
      </c>
      <c r="AY722" s="2">
        <v>57.5</v>
      </c>
      <c r="AZ722" s="8" t="str">
        <f t="shared" si="168"/>
        <v>-</v>
      </c>
      <c r="BA722" s="2">
        <v>39.5</v>
      </c>
      <c r="BB722" s="8" t="str">
        <f t="shared" si="169"/>
        <v>-</v>
      </c>
      <c r="BC722" s="2">
        <v>37</v>
      </c>
      <c r="BD722" s="8" t="str">
        <f t="shared" si="170"/>
        <v>-</v>
      </c>
      <c r="BE722" s="2">
        <v>55</v>
      </c>
      <c r="BF722" s="8" t="str">
        <f t="shared" si="175"/>
        <v>-</v>
      </c>
      <c r="BG722" s="2">
        <v>52</v>
      </c>
      <c r="BH722" s="8" t="str">
        <f t="shared" si="171"/>
        <v>-</v>
      </c>
      <c r="BI722" s="2">
        <v>56</v>
      </c>
      <c r="BJ722" s="8" t="str">
        <f t="shared" si="172"/>
        <v>+</v>
      </c>
      <c r="BK722" s="2">
        <v>51.5</v>
      </c>
      <c r="BL722" s="8" t="str">
        <f t="shared" si="173"/>
        <v>+</v>
      </c>
    </row>
    <row r="723" spans="1:64">
      <c r="A723" s="1">
        <v>40210</v>
      </c>
      <c r="B723">
        <v>57.2</v>
      </c>
      <c r="C723">
        <v>62.9</v>
      </c>
      <c r="D723">
        <v>53.6</v>
      </c>
      <c r="E723">
        <v>64.7</v>
      </c>
      <c r="F723">
        <v>59</v>
      </c>
      <c r="G723">
        <v>46</v>
      </c>
      <c r="H723">
        <v>32</v>
      </c>
      <c r="I723">
        <v>70</v>
      </c>
      <c r="J723">
        <v>56</v>
      </c>
      <c r="K723">
        <v>58.5</v>
      </c>
      <c r="L723">
        <v>56.5</v>
      </c>
      <c r="W723" s="1">
        <v>40210</v>
      </c>
      <c r="X723">
        <v>1104.48999</v>
      </c>
      <c r="Y723" s="4">
        <f t="shared" si="174"/>
        <v>2.8513688940531405E-2</v>
      </c>
      <c r="Z723" s="4">
        <f t="shared" si="176"/>
        <v>0.50252343173198855</v>
      </c>
      <c r="AA723">
        <v>57.2</v>
      </c>
      <c r="AB723">
        <f t="shared" si="177"/>
        <v>34.9</v>
      </c>
      <c r="AP723" s="3">
        <v>40179</v>
      </c>
      <c r="AQ723" s="2">
        <v>55.3</v>
      </c>
      <c r="AR723" s="2" t="str">
        <f t="shared" si="164"/>
        <v>+</v>
      </c>
      <c r="AS723" s="2">
        <v>63</v>
      </c>
      <c r="AT723" s="8" t="str">
        <f t="shared" si="165"/>
        <v>+</v>
      </c>
      <c r="AU723" s="2">
        <v>62.3</v>
      </c>
      <c r="AV723" s="8" t="str">
        <f t="shared" si="166"/>
        <v>-</v>
      </c>
      <c r="AW723" s="2">
        <v>51.6</v>
      </c>
      <c r="AX723" s="8" t="str">
        <f t="shared" si="167"/>
        <v>-</v>
      </c>
      <c r="AY723" s="2">
        <v>58.3</v>
      </c>
      <c r="AZ723" s="8" t="str">
        <f t="shared" si="168"/>
        <v>+</v>
      </c>
      <c r="BA723" s="2">
        <v>41.5</v>
      </c>
      <c r="BB723" s="8" t="str">
        <f t="shared" si="169"/>
        <v>+</v>
      </c>
      <c r="BC723" s="2">
        <v>35</v>
      </c>
      <c r="BD723" s="8" t="str">
        <f t="shared" si="170"/>
        <v>-</v>
      </c>
      <c r="BE723" s="2">
        <v>61.5</v>
      </c>
      <c r="BF723" s="8" t="str">
        <f t="shared" si="175"/>
        <v>+</v>
      </c>
      <c r="BG723" s="2">
        <v>50</v>
      </c>
      <c r="BH723" s="8" t="str">
        <f t="shared" si="171"/>
        <v>-</v>
      </c>
      <c r="BI723" s="2">
        <v>54.5</v>
      </c>
      <c r="BJ723" s="8" t="str">
        <f t="shared" si="172"/>
        <v>-</v>
      </c>
      <c r="BK723" s="2">
        <v>55</v>
      </c>
      <c r="BL723" s="8" t="str">
        <f t="shared" si="173"/>
        <v>+</v>
      </c>
    </row>
    <row r="724" spans="1:64">
      <c r="A724" s="1">
        <v>40238</v>
      </c>
      <c r="B724">
        <v>55.8</v>
      </c>
      <c r="C724">
        <v>57.1</v>
      </c>
      <c r="D724">
        <v>54.6</v>
      </c>
      <c r="E724">
        <v>58.4</v>
      </c>
      <c r="F724">
        <v>59.8</v>
      </c>
      <c r="G724">
        <v>49</v>
      </c>
      <c r="H724">
        <v>37</v>
      </c>
      <c r="I724">
        <v>67</v>
      </c>
      <c r="J724">
        <v>61</v>
      </c>
      <c r="K724">
        <v>56.5</v>
      </c>
      <c r="L724">
        <v>56</v>
      </c>
      <c r="W724" s="1">
        <v>40238</v>
      </c>
      <c r="X724">
        <v>1169.4300539999999</v>
      </c>
      <c r="Y724" s="4">
        <f t="shared" si="174"/>
        <v>5.879642603189178E-2</v>
      </c>
      <c r="Z724" s="4">
        <f t="shared" si="176"/>
        <v>0.465689976222254</v>
      </c>
      <c r="AA724">
        <v>55.8</v>
      </c>
      <c r="AB724">
        <f t="shared" si="177"/>
        <v>35.5</v>
      </c>
      <c r="AP724" s="3">
        <v>40210</v>
      </c>
      <c r="AQ724" s="2">
        <v>57.2</v>
      </c>
      <c r="AR724" s="2" t="str">
        <f t="shared" si="164"/>
        <v>+</v>
      </c>
      <c r="AS724" s="2">
        <v>62.9</v>
      </c>
      <c r="AT724" s="8" t="str">
        <f t="shared" si="165"/>
        <v>-</v>
      </c>
      <c r="AU724" s="2">
        <v>64.7</v>
      </c>
      <c r="AV724" s="8" t="str">
        <f t="shared" si="166"/>
        <v>+</v>
      </c>
      <c r="AW724" s="2">
        <v>53.6</v>
      </c>
      <c r="AX724" s="8" t="str">
        <f t="shared" si="167"/>
        <v>+</v>
      </c>
      <c r="AY724" s="2">
        <v>59</v>
      </c>
      <c r="AZ724" s="8" t="str">
        <f t="shared" si="168"/>
        <v>+</v>
      </c>
      <c r="BA724" s="2">
        <v>46</v>
      </c>
      <c r="BB724" s="8" t="str">
        <f t="shared" si="169"/>
        <v>+</v>
      </c>
      <c r="BC724" s="2">
        <v>32</v>
      </c>
      <c r="BD724" s="8" t="str">
        <f t="shared" si="170"/>
        <v>-</v>
      </c>
      <c r="BE724" s="2">
        <v>70</v>
      </c>
      <c r="BF724" s="8" t="str">
        <f t="shared" si="175"/>
        <v>+</v>
      </c>
      <c r="BG724" s="2">
        <v>56</v>
      </c>
      <c r="BH724" s="8" t="str">
        <f t="shared" si="171"/>
        <v>+</v>
      </c>
      <c r="BI724" s="2">
        <v>58.5</v>
      </c>
      <c r="BJ724" s="8" t="str">
        <f t="shared" si="172"/>
        <v>+</v>
      </c>
      <c r="BK724" s="2">
        <v>56.5</v>
      </c>
      <c r="BL724" s="8" t="str">
        <f t="shared" si="173"/>
        <v>+</v>
      </c>
    </row>
    <row r="725" spans="1:64">
      <c r="A725" s="1">
        <v>40269</v>
      </c>
      <c r="B725">
        <v>58.8</v>
      </c>
      <c r="C725">
        <v>61.4</v>
      </c>
      <c r="D725">
        <v>54</v>
      </c>
      <c r="E725">
        <v>60.7</v>
      </c>
      <c r="F725">
        <v>61.3</v>
      </c>
      <c r="G725">
        <v>56.5</v>
      </c>
      <c r="H725">
        <v>39</v>
      </c>
      <c r="I725">
        <v>75</v>
      </c>
      <c r="J725">
        <v>58</v>
      </c>
      <c r="K725">
        <v>61.5</v>
      </c>
      <c r="L725">
        <v>57</v>
      </c>
      <c r="W725" s="1">
        <v>40269</v>
      </c>
      <c r="X725">
        <v>1186.6899410000001</v>
      </c>
      <c r="Y725" s="4">
        <f t="shared" si="174"/>
        <v>1.4759229883791036E-2</v>
      </c>
      <c r="Z725" s="4">
        <f t="shared" si="176"/>
        <v>0.35962001319787834</v>
      </c>
      <c r="AA725">
        <v>58.8</v>
      </c>
      <c r="AB725">
        <f t="shared" si="177"/>
        <v>36</v>
      </c>
      <c r="AP725" s="3">
        <v>40238</v>
      </c>
      <c r="AQ725" s="2">
        <v>55.8</v>
      </c>
      <c r="AR725" s="2" t="str">
        <f t="shared" si="164"/>
        <v>-</v>
      </c>
      <c r="AS725" s="2">
        <v>57.1</v>
      </c>
      <c r="AT725" s="8" t="str">
        <f t="shared" si="165"/>
        <v>-</v>
      </c>
      <c r="AU725" s="2">
        <v>58.4</v>
      </c>
      <c r="AV725" s="8" t="str">
        <f t="shared" si="166"/>
        <v>-</v>
      </c>
      <c r="AW725" s="2">
        <v>54.6</v>
      </c>
      <c r="AX725" s="8" t="str">
        <f t="shared" si="167"/>
        <v>+</v>
      </c>
      <c r="AY725" s="2">
        <v>59.8</v>
      </c>
      <c r="AZ725" s="8" t="str">
        <f t="shared" si="168"/>
        <v>+</v>
      </c>
      <c r="BA725" s="2">
        <v>49</v>
      </c>
      <c r="BB725" s="8" t="str">
        <f t="shared" si="169"/>
        <v>+</v>
      </c>
      <c r="BC725" s="2">
        <v>37</v>
      </c>
      <c r="BD725" s="8" t="str">
        <f t="shared" si="170"/>
        <v>+</v>
      </c>
      <c r="BE725" s="2">
        <v>67</v>
      </c>
      <c r="BF725" s="8" t="str">
        <f t="shared" si="175"/>
        <v>-</v>
      </c>
      <c r="BG725" s="2">
        <v>61</v>
      </c>
      <c r="BH725" s="8" t="str">
        <f t="shared" si="171"/>
        <v>+</v>
      </c>
      <c r="BI725" s="2">
        <v>56.5</v>
      </c>
      <c r="BJ725" s="8" t="str">
        <f t="shared" si="172"/>
        <v>-</v>
      </c>
      <c r="BK725" s="2">
        <v>56</v>
      </c>
      <c r="BL725" s="8" t="str">
        <f t="shared" si="173"/>
        <v>-</v>
      </c>
    </row>
    <row r="726" spans="1:64">
      <c r="A726" s="1">
        <v>40299</v>
      </c>
      <c r="B726">
        <v>58.1</v>
      </c>
      <c r="C726">
        <v>62.4</v>
      </c>
      <c r="D726">
        <v>55.6</v>
      </c>
      <c r="E726">
        <v>63</v>
      </c>
      <c r="F726">
        <v>58.9</v>
      </c>
      <c r="G726">
        <v>50.5</v>
      </c>
      <c r="H726">
        <v>33</v>
      </c>
      <c r="I726">
        <v>78</v>
      </c>
      <c r="J726">
        <v>57.5</v>
      </c>
      <c r="K726">
        <v>61</v>
      </c>
      <c r="L726">
        <v>58</v>
      </c>
      <c r="W726" s="1">
        <v>40299</v>
      </c>
      <c r="X726">
        <v>1089.410034</v>
      </c>
      <c r="Y726" s="4">
        <f t="shared" si="174"/>
        <v>-8.1975841910334427E-2</v>
      </c>
      <c r="Z726" s="4">
        <f t="shared" si="176"/>
        <v>0.18524927238642749</v>
      </c>
      <c r="AA726">
        <v>58.1</v>
      </c>
      <c r="AB726">
        <f t="shared" si="177"/>
        <v>39.5</v>
      </c>
      <c r="AP726" s="3">
        <v>40269</v>
      </c>
      <c r="AQ726" s="2">
        <v>58.8</v>
      </c>
      <c r="AR726" s="2" t="str">
        <f t="shared" si="164"/>
        <v>+</v>
      </c>
      <c r="AS726" s="2">
        <v>61.4</v>
      </c>
      <c r="AT726" s="8" t="str">
        <f t="shared" si="165"/>
        <v>+</v>
      </c>
      <c r="AU726" s="2">
        <v>60.7</v>
      </c>
      <c r="AV726" s="8" t="str">
        <f t="shared" si="166"/>
        <v>+</v>
      </c>
      <c r="AW726" s="2">
        <v>54</v>
      </c>
      <c r="AX726" s="8" t="str">
        <f t="shared" si="167"/>
        <v>-</v>
      </c>
      <c r="AY726" s="2">
        <v>61.3</v>
      </c>
      <c r="AZ726" s="8" t="str">
        <f t="shared" si="168"/>
        <v>+</v>
      </c>
      <c r="BA726" s="2">
        <v>56.5</v>
      </c>
      <c r="BB726" s="8" t="str">
        <f t="shared" si="169"/>
        <v>+</v>
      </c>
      <c r="BC726" s="2">
        <v>39</v>
      </c>
      <c r="BD726" s="8" t="str">
        <f t="shared" si="170"/>
        <v>+</v>
      </c>
      <c r="BE726" s="2">
        <v>75</v>
      </c>
      <c r="BF726" s="8" t="str">
        <f t="shared" si="175"/>
        <v>+</v>
      </c>
      <c r="BG726" s="2">
        <v>58</v>
      </c>
      <c r="BH726" s="8" t="str">
        <f t="shared" si="171"/>
        <v>-</v>
      </c>
      <c r="BI726" s="2">
        <v>61.5</v>
      </c>
      <c r="BJ726" s="8" t="str">
        <f t="shared" si="172"/>
        <v>+</v>
      </c>
      <c r="BK726" s="2">
        <v>57</v>
      </c>
      <c r="BL726" s="8" t="str">
        <f t="shared" si="173"/>
        <v>+</v>
      </c>
    </row>
    <row r="727" spans="1:64">
      <c r="A727" s="1">
        <v>40330</v>
      </c>
      <c r="B727">
        <v>58.3</v>
      </c>
      <c r="C727">
        <v>63.1</v>
      </c>
      <c r="D727">
        <v>57.1</v>
      </c>
      <c r="E727">
        <v>64.599999999999994</v>
      </c>
      <c r="F727">
        <v>60.8</v>
      </c>
      <c r="G727">
        <v>46</v>
      </c>
      <c r="H727">
        <v>32</v>
      </c>
      <c r="I727">
        <v>77.5</v>
      </c>
      <c r="J727">
        <v>59.5</v>
      </c>
      <c r="K727">
        <v>62</v>
      </c>
      <c r="L727">
        <v>56.5</v>
      </c>
      <c r="W727" s="1">
        <v>40330</v>
      </c>
      <c r="X727">
        <v>1030.709961</v>
      </c>
      <c r="Y727" s="4">
        <f t="shared" si="174"/>
        <v>-5.3882442026415164E-2</v>
      </c>
      <c r="Z727" s="4">
        <f t="shared" si="176"/>
        <v>0.12116559321220123</v>
      </c>
      <c r="AA727">
        <v>58.3</v>
      </c>
      <c r="AB727">
        <f t="shared" si="177"/>
        <v>41.7</v>
      </c>
      <c r="AP727" s="3">
        <v>40299</v>
      </c>
      <c r="AQ727" s="2">
        <v>58.1</v>
      </c>
      <c r="AR727" s="2" t="str">
        <f t="shared" si="164"/>
        <v>-</v>
      </c>
      <c r="AS727" s="2">
        <v>62.4</v>
      </c>
      <c r="AT727" s="8" t="str">
        <f t="shared" si="165"/>
        <v>+</v>
      </c>
      <c r="AU727" s="2">
        <v>63</v>
      </c>
      <c r="AV727" s="8" t="str">
        <f t="shared" si="166"/>
        <v>+</v>
      </c>
      <c r="AW727" s="2">
        <v>55.6</v>
      </c>
      <c r="AX727" s="8" t="str">
        <f t="shared" si="167"/>
        <v>+</v>
      </c>
      <c r="AY727" s="2">
        <v>58.9</v>
      </c>
      <c r="AZ727" s="8" t="str">
        <f t="shared" si="168"/>
        <v>-</v>
      </c>
      <c r="BA727" s="2">
        <v>50.5</v>
      </c>
      <c r="BB727" s="8" t="str">
        <f t="shared" si="169"/>
        <v>-</v>
      </c>
      <c r="BC727" s="2">
        <v>33</v>
      </c>
      <c r="BD727" s="8" t="str">
        <f t="shared" si="170"/>
        <v>-</v>
      </c>
      <c r="BE727" s="2">
        <v>78</v>
      </c>
      <c r="BF727" s="8" t="str">
        <f t="shared" si="175"/>
        <v>+</v>
      </c>
      <c r="BG727" s="2">
        <v>57.5</v>
      </c>
      <c r="BH727" s="8" t="str">
        <f t="shared" si="171"/>
        <v>-</v>
      </c>
      <c r="BI727" s="2">
        <v>61</v>
      </c>
      <c r="BJ727" s="8" t="str">
        <f t="shared" si="172"/>
        <v>-</v>
      </c>
      <c r="BK727" s="2">
        <v>58</v>
      </c>
      <c r="BL727" s="8" t="str">
        <f t="shared" si="173"/>
        <v>+</v>
      </c>
    </row>
    <row r="728" spans="1:64">
      <c r="A728" s="1">
        <v>40360</v>
      </c>
      <c r="B728">
        <v>56.4</v>
      </c>
      <c r="C728">
        <v>60</v>
      </c>
      <c r="D728">
        <v>55.9</v>
      </c>
      <c r="E728">
        <v>62.2</v>
      </c>
      <c r="F728">
        <v>57.8</v>
      </c>
      <c r="G728">
        <v>46</v>
      </c>
      <c r="H728">
        <v>38</v>
      </c>
      <c r="I728">
        <v>57</v>
      </c>
      <c r="J728">
        <v>57</v>
      </c>
      <c r="K728">
        <v>56</v>
      </c>
      <c r="L728">
        <v>56.5</v>
      </c>
      <c r="W728" s="1">
        <v>40360</v>
      </c>
      <c r="X728">
        <v>1101.599976</v>
      </c>
      <c r="Y728" s="4">
        <f t="shared" si="174"/>
        <v>6.8777849911552322E-2</v>
      </c>
      <c r="Z728" s="4">
        <f t="shared" si="176"/>
        <v>0.11556689584734672</v>
      </c>
      <c r="AA728">
        <v>56.4</v>
      </c>
      <c r="AB728">
        <f t="shared" si="177"/>
        <v>45.8</v>
      </c>
      <c r="AP728" s="3">
        <v>40330</v>
      </c>
      <c r="AQ728" s="2">
        <v>58.3</v>
      </c>
      <c r="AR728" s="2" t="str">
        <f t="shared" si="164"/>
        <v>+</v>
      </c>
      <c r="AS728" s="2">
        <v>63.1</v>
      </c>
      <c r="AT728" s="8" t="str">
        <f t="shared" si="165"/>
        <v>+</v>
      </c>
      <c r="AU728" s="2">
        <v>64.599999999999994</v>
      </c>
      <c r="AV728" s="8" t="str">
        <f t="shared" si="166"/>
        <v>+</v>
      </c>
      <c r="AW728" s="2">
        <v>57.1</v>
      </c>
      <c r="AX728" s="8" t="str">
        <f t="shared" si="167"/>
        <v>+</v>
      </c>
      <c r="AY728" s="2">
        <v>60.8</v>
      </c>
      <c r="AZ728" s="8" t="str">
        <f t="shared" si="168"/>
        <v>+</v>
      </c>
      <c r="BA728" s="2">
        <v>46</v>
      </c>
      <c r="BB728" s="8" t="str">
        <f t="shared" si="169"/>
        <v>-</v>
      </c>
      <c r="BC728" s="2">
        <v>32</v>
      </c>
      <c r="BD728" s="8" t="str">
        <f t="shared" si="170"/>
        <v>-</v>
      </c>
      <c r="BE728" s="2">
        <v>77.5</v>
      </c>
      <c r="BF728" s="8" t="str">
        <f t="shared" si="175"/>
        <v>-</v>
      </c>
      <c r="BG728" s="2">
        <v>59.5</v>
      </c>
      <c r="BH728" s="8" t="str">
        <f t="shared" si="171"/>
        <v>+</v>
      </c>
      <c r="BI728" s="2">
        <v>62</v>
      </c>
      <c r="BJ728" s="8" t="str">
        <f t="shared" si="172"/>
        <v>+</v>
      </c>
      <c r="BK728" s="2">
        <v>56.5</v>
      </c>
      <c r="BL728" s="8" t="str">
        <f t="shared" si="173"/>
        <v>-</v>
      </c>
    </row>
    <row r="729" spans="1:64">
      <c r="A729" s="1">
        <v>40391</v>
      </c>
      <c r="B729">
        <v>56.4</v>
      </c>
      <c r="C729">
        <v>57</v>
      </c>
      <c r="D729">
        <v>59.5</v>
      </c>
      <c r="E729">
        <v>57.7</v>
      </c>
      <c r="F729">
        <v>58.9</v>
      </c>
      <c r="G729">
        <v>49</v>
      </c>
      <c r="H729">
        <v>39</v>
      </c>
      <c r="I729">
        <v>57.5</v>
      </c>
      <c r="J729">
        <v>54.5</v>
      </c>
      <c r="K729">
        <v>56.5</v>
      </c>
      <c r="L729">
        <v>52.5</v>
      </c>
      <c r="W729" s="1">
        <v>40391</v>
      </c>
      <c r="X729">
        <v>1049.329956</v>
      </c>
      <c r="Y729" s="4">
        <f t="shared" si="174"/>
        <v>-4.7449184040287175E-2</v>
      </c>
      <c r="Z729" s="4">
        <f t="shared" si="176"/>
        <v>2.8129922145999128E-2</v>
      </c>
      <c r="AA729">
        <v>56.4</v>
      </c>
      <c r="AB729">
        <f t="shared" si="177"/>
        <v>49.9</v>
      </c>
      <c r="AP729" s="3">
        <v>40360</v>
      </c>
      <c r="AQ729" s="2">
        <v>56.4</v>
      </c>
      <c r="AR729" s="2" t="str">
        <f t="shared" si="164"/>
        <v>-</v>
      </c>
      <c r="AS729" s="2">
        <v>60</v>
      </c>
      <c r="AT729" s="8" t="str">
        <f t="shared" si="165"/>
        <v>-</v>
      </c>
      <c r="AU729" s="2">
        <v>62.2</v>
      </c>
      <c r="AV729" s="8" t="str">
        <f t="shared" si="166"/>
        <v>-</v>
      </c>
      <c r="AW729" s="2">
        <v>55.9</v>
      </c>
      <c r="AX729" s="8" t="str">
        <f t="shared" si="167"/>
        <v>-</v>
      </c>
      <c r="AY729" s="2">
        <v>57.8</v>
      </c>
      <c r="AZ729" s="8" t="str">
        <f t="shared" si="168"/>
        <v>-</v>
      </c>
      <c r="BA729" s="2">
        <v>46</v>
      </c>
      <c r="BB729" s="8" t="str">
        <f t="shared" si="169"/>
        <v>+</v>
      </c>
      <c r="BC729" s="2">
        <v>38</v>
      </c>
      <c r="BD729" s="8" t="str">
        <f t="shared" si="170"/>
        <v>+</v>
      </c>
      <c r="BE729" s="2">
        <v>57</v>
      </c>
      <c r="BF729" s="8" t="str">
        <f t="shared" si="175"/>
        <v>-</v>
      </c>
      <c r="BG729" s="2">
        <v>57</v>
      </c>
      <c r="BH729" s="8" t="str">
        <f t="shared" si="171"/>
        <v>-</v>
      </c>
      <c r="BI729" s="2">
        <v>56</v>
      </c>
      <c r="BJ729" s="8" t="str">
        <f t="shared" si="172"/>
        <v>-</v>
      </c>
      <c r="BK729" s="2">
        <v>56.5</v>
      </c>
      <c r="BL729" s="8" t="str">
        <f t="shared" si="173"/>
        <v>+</v>
      </c>
    </row>
    <row r="730" spans="1:64">
      <c r="A730" s="1">
        <v>40422</v>
      </c>
      <c r="B730">
        <v>58</v>
      </c>
      <c r="C730">
        <v>56.9</v>
      </c>
      <c r="D730">
        <v>62.1</v>
      </c>
      <c r="E730">
        <v>60.7</v>
      </c>
      <c r="F730">
        <v>57.1</v>
      </c>
      <c r="G730">
        <v>53</v>
      </c>
      <c r="H730">
        <v>43.5</v>
      </c>
      <c r="I730">
        <v>61.5</v>
      </c>
      <c r="J730">
        <v>51.5</v>
      </c>
      <c r="K730">
        <v>55.5</v>
      </c>
      <c r="L730">
        <v>56.5</v>
      </c>
      <c r="W730" s="1">
        <v>40422</v>
      </c>
      <c r="X730">
        <v>1141.1999510000001</v>
      </c>
      <c r="Y730" s="4">
        <f t="shared" si="174"/>
        <v>8.7551102944020034E-2</v>
      </c>
      <c r="Z730" s="4">
        <f t="shared" si="176"/>
        <v>7.9577703202613759E-2</v>
      </c>
      <c r="AA730">
        <v>58</v>
      </c>
      <c r="AB730">
        <f t="shared" si="177"/>
        <v>53.5</v>
      </c>
      <c r="AP730" s="3">
        <v>40391</v>
      </c>
      <c r="AQ730" s="2">
        <v>56.4</v>
      </c>
      <c r="AR730" s="2" t="str">
        <f t="shared" si="164"/>
        <v>+</v>
      </c>
      <c r="AS730" s="2">
        <v>57</v>
      </c>
      <c r="AT730" s="8" t="str">
        <f t="shared" si="165"/>
        <v>-</v>
      </c>
      <c r="AU730" s="2">
        <v>57.7</v>
      </c>
      <c r="AV730" s="8" t="str">
        <f t="shared" si="166"/>
        <v>-</v>
      </c>
      <c r="AW730" s="2">
        <v>59.5</v>
      </c>
      <c r="AX730" s="8" t="str">
        <f t="shared" si="167"/>
        <v>+</v>
      </c>
      <c r="AY730" s="2">
        <v>58.9</v>
      </c>
      <c r="AZ730" s="8" t="str">
        <f t="shared" si="168"/>
        <v>+</v>
      </c>
      <c r="BA730" s="2">
        <v>49</v>
      </c>
      <c r="BB730" s="8" t="str">
        <f t="shared" si="169"/>
        <v>+</v>
      </c>
      <c r="BC730" s="2">
        <v>39</v>
      </c>
      <c r="BD730" s="8" t="str">
        <f t="shared" si="170"/>
        <v>+</v>
      </c>
      <c r="BE730" s="2">
        <v>57.5</v>
      </c>
      <c r="BF730" s="8" t="str">
        <f t="shared" si="175"/>
        <v>+</v>
      </c>
      <c r="BG730" s="2">
        <v>54.5</v>
      </c>
      <c r="BH730" s="8" t="str">
        <f t="shared" si="171"/>
        <v>-</v>
      </c>
      <c r="BI730" s="2">
        <v>56.5</v>
      </c>
      <c r="BJ730" s="8" t="str">
        <f t="shared" si="172"/>
        <v>+</v>
      </c>
      <c r="BK730" s="2">
        <v>52.5</v>
      </c>
      <c r="BL730" s="8" t="str">
        <f t="shared" si="173"/>
        <v>-</v>
      </c>
    </row>
    <row r="731" spans="1:64">
      <c r="A731" s="1">
        <v>40452</v>
      </c>
      <c r="B731">
        <v>56.3</v>
      </c>
      <c r="C731">
        <v>53.5</v>
      </c>
      <c r="D731">
        <v>57.9</v>
      </c>
      <c r="E731">
        <v>60.2</v>
      </c>
      <c r="F731">
        <v>54</v>
      </c>
      <c r="G731">
        <v>56</v>
      </c>
      <c r="H731">
        <v>42.5</v>
      </c>
      <c r="I731">
        <v>70.5</v>
      </c>
      <c r="J731">
        <v>46.5</v>
      </c>
      <c r="K731">
        <v>54.5</v>
      </c>
      <c r="L731">
        <v>56.5</v>
      </c>
      <c r="W731" s="1">
        <v>40452</v>
      </c>
      <c r="X731">
        <v>1183.26001</v>
      </c>
      <c r="Y731" s="4">
        <f t="shared" si="174"/>
        <v>3.6855994397076437E-2</v>
      </c>
      <c r="Z731" s="4">
        <f t="shared" si="176"/>
        <v>0.14193350386905548</v>
      </c>
      <c r="AA731">
        <v>56.3</v>
      </c>
      <c r="AB731">
        <f t="shared" si="177"/>
        <v>54.4</v>
      </c>
      <c r="AP731" s="3">
        <v>40422</v>
      </c>
      <c r="AQ731" s="2">
        <v>58</v>
      </c>
      <c r="AR731" s="2" t="str">
        <f t="shared" si="164"/>
        <v>+</v>
      </c>
      <c r="AS731" s="2">
        <v>56.9</v>
      </c>
      <c r="AT731" s="8" t="str">
        <f t="shared" si="165"/>
        <v>-</v>
      </c>
      <c r="AU731" s="2">
        <v>60.7</v>
      </c>
      <c r="AV731" s="8" t="str">
        <f t="shared" si="166"/>
        <v>+</v>
      </c>
      <c r="AW731" s="2">
        <v>62.1</v>
      </c>
      <c r="AX731" s="8" t="str">
        <f t="shared" si="167"/>
        <v>+</v>
      </c>
      <c r="AY731" s="2">
        <v>57.1</v>
      </c>
      <c r="AZ731" s="8" t="str">
        <f t="shared" si="168"/>
        <v>-</v>
      </c>
      <c r="BA731" s="2">
        <v>53</v>
      </c>
      <c r="BB731" s="8" t="str">
        <f t="shared" si="169"/>
        <v>+</v>
      </c>
      <c r="BC731" s="2">
        <v>43.5</v>
      </c>
      <c r="BD731" s="8" t="str">
        <f t="shared" si="170"/>
        <v>+</v>
      </c>
      <c r="BE731" s="2">
        <v>61.5</v>
      </c>
      <c r="BF731" s="8" t="str">
        <f t="shared" si="175"/>
        <v>+</v>
      </c>
      <c r="BG731" s="2">
        <v>51.5</v>
      </c>
      <c r="BH731" s="8" t="str">
        <f t="shared" si="171"/>
        <v>-</v>
      </c>
      <c r="BI731" s="2">
        <v>55.5</v>
      </c>
      <c r="BJ731" s="8" t="str">
        <f t="shared" si="172"/>
        <v>-</v>
      </c>
      <c r="BK731" s="2">
        <v>56.5</v>
      </c>
      <c r="BL731" s="8" t="str">
        <f t="shared" si="173"/>
        <v>+</v>
      </c>
    </row>
    <row r="732" spans="1:64">
      <c r="A732" s="1">
        <v>40483</v>
      </c>
      <c r="B732">
        <v>57.7</v>
      </c>
      <c r="C732">
        <v>59.5</v>
      </c>
      <c r="D732">
        <v>59.5</v>
      </c>
      <c r="E732">
        <v>63.5</v>
      </c>
      <c r="F732">
        <v>52.9</v>
      </c>
      <c r="G732">
        <v>53</v>
      </c>
      <c r="H732">
        <v>44</v>
      </c>
      <c r="I732">
        <v>71</v>
      </c>
      <c r="J732">
        <v>46</v>
      </c>
      <c r="K732">
        <v>60.5</v>
      </c>
      <c r="L732">
        <v>51.5</v>
      </c>
      <c r="W732" s="1">
        <v>40483</v>
      </c>
      <c r="X732">
        <v>1180.5500489999999</v>
      </c>
      <c r="Y732" s="4">
        <f t="shared" si="174"/>
        <v>-2.2902497989431936E-3</v>
      </c>
      <c r="Z732" s="4">
        <f t="shared" si="176"/>
        <v>7.7507957624800505E-2</v>
      </c>
      <c r="AA732">
        <v>57.7</v>
      </c>
      <c r="AB732">
        <f t="shared" si="177"/>
        <v>56</v>
      </c>
      <c r="AP732" s="3">
        <v>40452</v>
      </c>
      <c r="AQ732" s="2">
        <v>56.3</v>
      </c>
      <c r="AR732" s="2" t="str">
        <f t="shared" si="164"/>
        <v>-</v>
      </c>
      <c r="AS732" s="2">
        <v>53.5</v>
      </c>
      <c r="AT732" s="8" t="str">
        <f t="shared" si="165"/>
        <v>-</v>
      </c>
      <c r="AU732" s="2">
        <v>60.2</v>
      </c>
      <c r="AV732" s="8" t="str">
        <f t="shared" si="166"/>
        <v>-</v>
      </c>
      <c r="AW732" s="2">
        <v>57.9</v>
      </c>
      <c r="AX732" s="8" t="str">
        <f t="shared" si="167"/>
        <v>-</v>
      </c>
      <c r="AY732" s="2">
        <v>54</v>
      </c>
      <c r="AZ732" s="8" t="str">
        <f t="shared" si="168"/>
        <v>-</v>
      </c>
      <c r="BA732" s="2">
        <v>56</v>
      </c>
      <c r="BB732" s="8" t="str">
        <f t="shared" si="169"/>
        <v>+</v>
      </c>
      <c r="BC732" s="2">
        <v>42.5</v>
      </c>
      <c r="BD732" s="8" t="str">
        <f t="shared" si="170"/>
        <v>-</v>
      </c>
      <c r="BE732" s="2">
        <v>70.5</v>
      </c>
      <c r="BF732" s="8" t="str">
        <f t="shared" si="175"/>
        <v>+</v>
      </c>
      <c r="BG732" s="2">
        <v>46.5</v>
      </c>
      <c r="BH732" s="8" t="str">
        <f t="shared" si="171"/>
        <v>-</v>
      </c>
      <c r="BI732" s="2">
        <v>54.5</v>
      </c>
      <c r="BJ732" s="8" t="str">
        <f t="shared" si="172"/>
        <v>-</v>
      </c>
      <c r="BK732" s="2">
        <v>56.5</v>
      </c>
      <c r="BL732" s="8" t="str">
        <f t="shared" si="173"/>
        <v>+</v>
      </c>
    </row>
    <row r="733" spans="1:64">
      <c r="A733" s="1">
        <v>40513</v>
      </c>
      <c r="B733">
        <v>57.6</v>
      </c>
      <c r="C733">
        <v>57.9</v>
      </c>
      <c r="D733">
        <v>60.5</v>
      </c>
      <c r="E733">
        <v>56</v>
      </c>
      <c r="F733">
        <v>59.5</v>
      </c>
      <c r="G733">
        <v>54</v>
      </c>
      <c r="H733">
        <v>45.5</v>
      </c>
      <c r="I733">
        <v>69.5</v>
      </c>
      <c r="J733">
        <v>46</v>
      </c>
      <c r="K733">
        <v>57</v>
      </c>
      <c r="L733">
        <v>53</v>
      </c>
      <c r="W733" s="1">
        <v>40513</v>
      </c>
      <c r="X733">
        <v>1257.6400149999999</v>
      </c>
      <c r="Y733" s="4">
        <f t="shared" si="174"/>
        <v>6.5300040489854744E-2</v>
      </c>
      <c r="Z733" s="4">
        <f t="shared" si="176"/>
        <v>0.1278271384340878</v>
      </c>
      <c r="AA733">
        <v>57.6</v>
      </c>
      <c r="AB733">
        <f t="shared" si="177"/>
        <v>54.4</v>
      </c>
      <c r="AP733" s="3">
        <v>40483</v>
      </c>
      <c r="AQ733" s="2">
        <v>57.7</v>
      </c>
      <c r="AR733" s="2" t="str">
        <f t="shared" si="164"/>
        <v>+</v>
      </c>
      <c r="AS733" s="2">
        <v>59.5</v>
      </c>
      <c r="AT733" s="8" t="str">
        <f t="shared" si="165"/>
        <v>+</v>
      </c>
      <c r="AU733" s="2">
        <v>63.5</v>
      </c>
      <c r="AV733" s="8" t="str">
        <f t="shared" si="166"/>
        <v>+</v>
      </c>
      <c r="AW733" s="2">
        <v>59.5</v>
      </c>
      <c r="AX733" s="8" t="str">
        <f t="shared" si="167"/>
        <v>+</v>
      </c>
      <c r="AY733" s="2">
        <v>52.9</v>
      </c>
      <c r="AZ733" s="8" t="str">
        <f t="shared" si="168"/>
        <v>-</v>
      </c>
      <c r="BA733" s="2">
        <v>53</v>
      </c>
      <c r="BB733" s="8" t="str">
        <f t="shared" si="169"/>
        <v>-</v>
      </c>
      <c r="BC733" s="2">
        <v>44</v>
      </c>
      <c r="BD733" s="8" t="str">
        <f t="shared" si="170"/>
        <v>+</v>
      </c>
      <c r="BE733" s="2">
        <v>71</v>
      </c>
      <c r="BF733" s="8" t="str">
        <f t="shared" si="175"/>
        <v>+</v>
      </c>
      <c r="BG733" s="2">
        <v>46</v>
      </c>
      <c r="BH733" s="8" t="str">
        <f t="shared" si="171"/>
        <v>-</v>
      </c>
      <c r="BI733" s="2">
        <v>60.5</v>
      </c>
      <c r="BJ733" s="8" t="str">
        <f t="shared" si="172"/>
        <v>+</v>
      </c>
      <c r="BK733" s="2">
        <v>51.5</v>
      </c>
      <c r="BL733" s="8" t="str">
        <f t="shared" si="173"/>
        <v>-</v>
      </c>
    </row>
    <row r="734" spans="1:64">
      <c r="A734" s="1">
        <v>40544</v>
      </c>
      <c r="B734">
        <v>57.5</v>
      </c>
      <c r="C734">
        <v>59.8</v>
      </c>
      <c r="D734">
        <v>58.2</v>
      </c>
      <c r="E734">
        <v>62.5</v>
      </c>
      <c r="F734">
        <v>57</v>
      </c>
      <c r="G734">
        <v>50</v>
      </c>
      <c r="H734">
        <v>40</v>
      </c>
      <c r="I734">
        <v>72.5</v>
      </c>
      <c r="J734">
        <v>47</v>
      </c>
      <c r="K734">
        <v>54.5</v>
      </c>
      <c r="L734">
        <v>50.5</v>
      </c>
      <c r="W734" s="1">
        <v>40544</v>
      </c>
      <c r="X734">
        <v>1286.119995</v>
      </c>
      <c r="Y734" s="4">
        <f t="shared" si="174"/>
        <v>2.2645573980086878E-2</v>
      </c>
      <c r="Z734" s="4">
        <f t="shared" si="176"/>
        <v>0.19764962331403998</v>
      </c>
      <c r="AA734">
        <v>57.5</v>
      </c>
      <c r="AB734">
        <f t="shared" si="177"/>
        <v>55.3</v>
      </c>
      <c r="AP734" s="3">
        <v>40513</v>
      </c>
      <c r="AQ734" s="2">
        <v>57.6</v>
      </c>
      <c r="AR734" s="2" t="str">
        <f t="shared" si="164"/>
        <v>-</v>
      </c>
      <c r="AS734" s="2">
        <v>57.9</v>
      </c>
      <c r="AT734" s="8" t="str">
        <f t="shared" si="165"/>
        <v>-</v>
      </c>
      <c r="AU734" s="2">
        <v>56</v>
      </c>
      <c r="AV734" s="8" t="str">
        <f t="shared" si="166"/>
        <v>-</v>
      </c>
      <c r="AW734" s="2">
        <v>60.5</v>
      </c>
      <c r="AX734" s="8" t="str">
        <f t="shared" si="167"/>
        <v>+</v>
      </c>
      <c r="AY734" s="2">
        <v>59.5</v>
      </c>
      <c r="AZ734" s="8" t="str">
        <f t="shared" si="168"/>
        <v>+</v>
      </c>
      <c r="BA734" s="2">
        <v>54</v>
      </c>
      <c r="BB734" s="8" t="str">
        <f t="shared" si="169"/>
        <v>+</v>
      </c>
      <c r="BC734" s="2">
        <v>45.5</v>
      </c>
      <c r="BD734" s="8" t="str">
        <f t="shared" si="170"/>
        <v>+</v>
      </c>
      <c r="BE734" s="2">
        <v>69.5</v>
      </c>
      <c r="BF734" s="8" t="str">
        <f t="shared" si="175"/>
        <v>-</v>
      </c>
      <c r="BG734" s="2">
        <v>46</v>
      </c>
      <c r="BH734" s="8" t="str">
        <f t="shared" si="171"/>
        <v>+</v>
      </c>
      <c r="BI734" s="2">
        <v>57</v>
      </c>
      <c r="BJ734" s="8" t="str">
        <f t="shared" si="172"/>
        <v>-</v>
      </c>
      <c r="BK734" s="2">
        <v>53</v>
      </c>
      <c r="BL734" s="8" t="str">
        <f t="shared" si="173"/>
        <v>+</v>
      </c>
    </row>
    <row r="735" spans="1:64">
      <c r="A735" s="1">
        <v>40575</v>
      </c>
      <c r="B735">
        <v>59</v>
      </c>
      <c r="C735">
        <v>62.5</v>
      </c>
      <c r="D735">
        <v>60.6</v>
      </c>
      <c r="E735">
        <v>62.9</v>
      </c>
      <c r="F735">
        <v>57.2</v>
      </c>
      <c r="G735">
        <v>52</v>
      </c>
      <c r="H735">
        <v>45.5</v>
      </c>
      <c r="I735">
        <v>81.5</v>
      </c>
      <c r="J735">
        <v>58</v>
      </c>
      <c r="K735">
        <v>62</v>
      </c>
      <c r="L735">
        <v>55</v>
      </c>
      <c r="W735" s="1">
        <v>40575</v>
      </c>
      <c r="X735">
        <v>1327.219971</v>
      </c>
      <c r="Y735" s="4">
        <f t="shared" si="174"/>
        <v>3.1956564052952129E-2</v>
      </c>
      <c r="Z735" s="4">
        <f t="shared" si="176"/>
        <v>0.20165866872184143</v>
      </c>
      <c r="AA735">
        <v>59</v>
      </c>
      <c r="AB735">
        <f t="shared" si="177"/>
        <v>57.2</v>
      </c>
      <c r="AP735" s="3">
        <v>40544</v>
      </c>
      <c r="AQ735" s="2">
        <v>57.5</v>
      </c>
      <c r="AR735" s="2" t="str">
        <f t="shared" si="164"/>
        <v>-</v>
      </c>
      <c r="AS735" s="2">
        <v>59.8</v>
      </c>
      <c r="AT735" s="8" t="str">
        <f t="shared" si="165"/>
        <v>+</v>
      </c>
      <c r="AU735" s="2">
        <v>62.5</v>
      </c>
      <c r="AV735" s="8" t="str">
        <f t="shared" si="166"/>
        <v>+</v>
      </c>
      <c r="AW735" s="2">
        <v>58.2</v>
      </c>
      <c r="AX735" s="8" t="str">
        <f t="shared" si="167"/>
        <v>-</v>
      </c>
      <c r="AY735" s="2">
        <v>57</v>
      </c>
      <c r="AZ735" s="8" t="str">
        <f t="shared" si="168"/>
        <v>-</v>
      </c>
      <c r="BA735" s="2">
        <v>50</v>
      </c>
      <c r="BB735" s="8" t="str">
        <f t="shared" si="169"/>
        <v>-</v>
      </c>
      <c r="BC735" s="2">
        <v>40</v>
      </c>
      <c r="BD735" s="8" t="str">
        <f t="shared" si="170"/>
        <v>-</v>
      </c>
      <c r="BE735" s="2">
        <v>72.5</v>
      </c>
      <c r="BF735" s="8" t="str">
        <f t="shared" si="175"/>
        <v>+</v>
      </c>
      <c r="BG735" s="2">
        <v>47</v>
      </c>
      <c r="BH735" s="8" t="str">
        <f t="shared" si="171"/>
        <v>+</v>
      </c>
      <c r="BI735" s="2">
        <v>54.5</v>
      </c>
      <c r="BJ735" s="8" t="str">
        <f t="shared" si="172"/>
        <v>-</v>
      </c>
      <c r="BK735" s="2">
        <v>50.5</v>
      </c>
      <c r="BL735" s="8" t="str">
        <f t="shared" si="173"/>
        <v>-</v>
      </c>
    </row>
    <row r="736" spans="1:64">
      <c r="A736" s="1">
        <v>40603</v>
      </c>
      <c r="B736">
        <v>59.3</v>
      </c>
      <c r="C736">
        <v>61.9</v>
      </c>
      <c r="D736">
        <v>61.5</v>
      </c>
      <c r="E736">
        <v>63.5</v>
      </c>
      <c r="F736">
        <v>59.2</v>
      </c>
      <c r="G736">
        <v>50.5</v>
      </c>
      <c r="H736">
        <v>40</v>
      </c>
      <c r="I736">
        <v>82</v>
      </c>
      <c r="J736">
        <v>59</v>
      </c>
      <c r="K736">
        <v>62.5</v>
      </c>
      <c r="L736">
        <v>55</v>
      </c>
      <c r="W736" s="1">
        <v>40603</v>
      </c>
      <c r="X736">
        <v>1325.829956</v>
      </c>
      <c r="Y736" s="4">
        <f t="shared" si="174"/>
        <v>-1.0473132038185315E-3</v>
      </c>
      <c r="Z736" s="4">
        <f t="shared" si="176"/>
        <v>0.13374027926256812</v>
      </c>
      <c r="AA736">
        <v>59.3</v>
      </c>
      <c r="AB736">
        <f t="shared" si="177"/>
        <v>55.8</v>
      </c>
      <c r="AP736" s="3">
        <v>40575</v>
      </c>
      <c r="AQ736" s="2">
        <v>59</v>
      </c>
      <c r="AR736" s="2" t="str">
        <f t="shared" si="164"/>
        <v>+</v>
      </c>
      <c r="AS736" s="2">
        <v>62.5</v>
      </c>
      <c r="AT736" s="8" t="str">
        <f t="shared" si="165"/>
        <v>+</v>
      </c>
      <c r="AU736" s="2">
        <v>62.9</v>
      </c>
      <c r="AV736" s="8" t="str">
        <f t="shared" si="166"/>
        <v>+</v>
      </c>
      <c r="AW736" s="2">
        <v>60.6</v>
      </c>
      <c r="AX736" s="8" t="str">
        <f t="shared" si="167"/>
        <v>+</v>
      </c>
      <c r="AY736" s="2">
        <v>57.2</v>
      </c>
      <c r="AZ736" s="8" t="str">
        <f t="shared" si="168"/>
        <v>+</v>
      </c>
      <c r="BA736" s="2">
        <v>52</v>
      </c>
      <c r="BB736" s="8" t="str">
        <f t="shared" si="169"/>
        <v>+</v>
      </c>
      <c r="BC736" s="2">
        <v>45.5</v>
      </c>
      <c r="BD736" s="8" t="str">
        <f t="shared" si="170"/>
        <v>+</v>
      </c>
      <c r="BE736" s="2">
        <v>81.5</v>
      </c>
      <c r="BF736" s="8" t="str">
        <f t="shared" si="175"/>
        <v>+</v>
      </c>
      <c r="BG736" s="2">
        <v>58</v>
      </c>
      <c r="BH736" s="8" t="str">
        <f t="shared" si="171"/>
        <v>+</v>
      </c>
      <c r="BI736" s="2">
        <v>62</v>
      </c>
      <c r="BJ736" s="8" t="str">
        <f t="shared" si="172"/>
        <v>+</v>
      </c>
      <c r="BK736" s="2">
        <v>55</v>
      </c>
      <c r="BL736" s="8" t="str">
        <f t="shared" si="173"/>
        <v>+</v>
      </c>
    </row>
    <row r="737" spans="1:64">
      <c r="A737" s="1">
        <v>40634</v>
      </c>
      <c r="B737">
        <v>59.1</v>
      </c>
      <c r="C737">
        <v>61.9</v>
      </c>
      <c r="D737">
        <v>60.7</v>
      </c>
      <c r="E737">
        <v>63.8</v>
      </c>
      <c r="F737">
        <v>59.9</v>
      </c>
      <c r="G737">
        <v>49</v>
      </c>
      <c r="H737">
        <v>39.5</v>
      </c>
      <c r="I737">
        <v>85</v>
      </c>
      <c r="J737">
        <v>52.5</v>
      </c>
      <c r="K737">
        <v>56</v>
      </c>
      <c r="L737">
        <v>56.5</v>
      </c>
      <c r="W737" s="1">
        <v>40634</v>
      </c>
      <c r="X737">
        <v>1363.6099850000001</v>
      </c>
      <c r="Y737" s="4">
        <f t="shared" si="174"/>
        <v>2.8495380443795019E-2</v>
      </c>
      <c r="Z737" s="4">
        <f t="shared" si="176"/>
        <v>0.14908700064560498</v>
      </c>
      <c r="AA737">
        <v>59.1</v>
      </c>
      <c r="AB737">
        <f t="shared" si="177"/>
        <v>58.8</v>
      </c>
      <c r="AP737" s="3">
        <v>40603</v>
      </c>
      <c r="AQ737" s="2">
        <v>59.3</v>
      </c>
      <c r="AR737" s="2" t="str">
        <f t="shared" si="164"/>
        <v>+</v>
      </c>
      <c r="AS737" s="2">
        <v>61.9</v>
      </c>
      <c r="AT737" s="8" t="str">
        <f t="shared" si="165"/>
        <v>-</v>
      </c>
      <c r="AU737" s="2">
        <v>63.5</v>
      </c>
      <c r="AV737" s="8" t="str">
        <f t="shared" si="166"/>
        <v>+</v>
      </c>
      <c r="AW737" s="2">
        <v>61.5</v>
      </c>
      <c r="AX737" s="8" t="str">
        <f t="shared" si="167"/>
        <v>+</v>
      </c>
      <c r="AY737" s="2">
        <v>59.2</v>
      </c>
      <c r="AZ737" s="8" t="str">
        <f t="shared" si="168"/>
        <v>+</v>
      </c>
      <c r="BA737" s="2">
        <v>50.5</v>
      </c>
      <c r="BB737" s="8" t="str">
        <f t="shared" si="169"/>
        <v>-</v>
      </c>
      <c r="BC737" s="2">
        <v>40</v>
      </c>
      <c r="BD737" s="8" t="str">
        <f t="shared" si="170"/>
        <v>-</v>
      </c>
      <c r="BE737" s="2">
        <v>82</v>
      </c>
      <c r="BF737" s="8" t="str">
        <f t="shared" si="175"/>
        <v>+</v>
      </c>
      <c r="BG737" s="2">
        <v>59</v>
      </c>
      <c r="BH737" s="8" t="str">
        <f t="shared" si="171"/>
        <v>+</v>
      </c>
      <c r="BI737" s="2">
        <v>62.5</v>
      </c>
      <c r="BJ737" s="8" t="str">
        <f t="shared" si="172"/>
        <v>+</v>
      </c>
      <c r="BK737" s="2">
        <v>55</v>
      </c>
      <c r="BL737" s="8" t="str">
        <f t="shared" si="173"/>
        <v>+</v>
      </c>
    </row>
    <row r="738" spans="1:64">
      <c r="A738" s="1">
        <v>40664</v>
      </c>
      <c r="B738">
        <v>58.9</v>
      </c>
      <c r="C738">
        <v>60.4</v>
      </c>
      <c r="D738">
        <v>59.7</v>
      </c>
      <c r="E738">
        <v>60.7</v>
      </c>
      <c r="F738">
        <v>59.2</v>
      </c>
      <c r="G738">
        <v>54.5</v>
      </c>
      <c r="H738">
        <v>40.5</v>
      </c>
      <c r="I738">
        <v>85.5</v>
      </c>
      <c r="J738">
        <v>61</v>
      </c>
      <c r="K738">
        <v>62</v>
      </c>
      <c r="L738">
        <v>55.5</v>
      </c>
      <c r="W738" s="1">
        <v>40664</v>
      </c>
      <c r="X738">
        <v>1345.1999510000001</v>
      </c>
      <c r="Y738" s="4">
        <f t="shared" si="174"/>
        <v>-1.3500952766930637E-2</v>
      </c>
      <c r="Z738" s="4">
        <f t="shared" si="176"/>
        <v>0.23479673310958329</v>
      </c>
      <c r="AA738">
        <v>58.9</v>
      </c>
      <c r="AB738">
        <f t="shared" si="177"/>
        <v>58.1</v>
      </c>
      <c r="AP738" s="3">
        <v>40634</v>
      </c>
      <c r="AQ738" s="2">
        <v>59.1</v>
      </c>
      <c r="AR738" s="2" t="str">
        <f t="shared" si="164"/>
        <v>-</v>
      </c>
      <c r="AS738" s="2">
        <v>61.9</v>
      </c>
      <c r="AT738" s="8" t="str">
        <f t="shared" si="165"/>
        <v>+</v>
      </c>
      <c r="AU738" s="2">
        <v>63.8</v>
      </c>
      <c r="AV738" s="8" t="str">
        <f t="shared" si="166"/>
        <v>+</v>
      </c>
      <c r="AW738" s="2">
        <v>60.7</v>
      </c>
      <c r="AX738" s="8" t="str">
        <f t="shared" si="167"/>
        <v>-</v>
      </c>
      <c r="AY738" s="2">
        <v>59.9</v>
      </c>
      <c r="AZ738" s="8" t="str">
        <f t="shared" si="168"/>
        <v>+</v>
      </c>
      <c r="BA738" s="2">
        <v>49</v>
      </c>
      <c r="BB738" s="8" t="str">
        <f t="shared" si="169"/>
        <v>-</v>
      </c>
      <c r="BC738" s="2">
        <v>39.5</v>
      </c>
      <c r="BD738" s="8" t="str">
        <f t="shared" si="170"/>
        <v>-</v>
      </c>
      <c r="BE738" s="2">
        <v>85</v>
      </c>
      <c r="BF738" s="8" t="str">
        <f t="shared" si="175"/>
        <v>+</v>
      </c>
      <c r="BG738" s="2">
        <v>52.5</v>
      </c>
      <c r="BH738" s="8" t="str">
        <f t="shared" si="171"/>
        <v>-</v>
      </c>
      <c r="BI738" s="2">
        <v>56</v>
      </c>
      <c r="BJ738" s="8" t="str">
        <f t="shared" si="172"/>
        <v>-</v>
      </c>
      <c r="BK738" s="2">
        <v>56.5</v>
      </c>
      <c r="BL738" s="8" t="str">
        <f t="shared" si="173"/>
        <v>+</v>
      </c>
    </row>
    <row r="739" spans="1:64">
      <c r="A739" s="1">
        <v>40695</v>
      </c>
      <c r="B739">
        <v>53.7</v>
      </c>
      <c r="C739">
        <v>52.4</v>
      </c>
      <c r="D739">
        <v>57.2</v>
      </c>
      <c r="E739">
        <v>54.4</v>
      </c>
      <c r="F739">
        <v>55.9</v>
      </c>
      <c r="G739">
        <v>48.5</v>
      </c>
      <c r="H739">
        <v>39.5</v>
      </c>
      <c r="I739">
        <v>76.5</v>
      </c>
      <c r="J739">
        <v>50.5</v>
      </c>
      <c r="K739">
        <v>55</v>
      </c>
      <c r="L739">
        <v>54.5</v>
      </c>
      <c r="W739" s="1">
        <v>40695</v>
      </c>
      <c r="X739">
        <v>1320.6400149999999</v>
      </c>
      <c r="Y739" s="4">
        <f t="shared" si="174"/>
        <v>-1.8257461265697078E-2</v>
      </c>
      <c r="Z739" s="4">
        <f t="shared" si="176"/>
        <v>0.28129159993632769</v>
      </c>
      <c r="AA739">
        <v>53.7</v>
      </c>
      <c r="AB739">
        <f t="shared" si="177"/>
        <v>58.3</v>
      </c>
      <c r="AP739" s="3">
        <v>40664</v>
      </c>
      <c r="AQ739" s="2">
        <v>58.9</v>
      </c>
      <c r="AR739" s="2" t="str">
        <f t="shared" si="164"/>
        <v>-</v>
      </c>
      <c r="AS739" s="2">
        <v>60.4</v>
      </c>
      <c r="AT739" s="8" t="str">
        <f t="shared" si="165"/>
        <v>-</v>
      </c>
      <c r="AU739" s="2">
        <v>60.7</v>
      </c>
      <c r="AV739" s="8" t="str">
        <f t="shared" si="166"/>
        <v>-</v>
      </c>
      <c r="AW739" s="2">
        <v>59.7</v>
      </c>
      <c r="AX739" s="8" t="str">
        <f t="shared" si="167"/>
        <v>-</v>
      </c>
      <c r="AY739" s="2">
        <v>59.2</v>
      </c>
      <c r="AZ739" s="8" t="str">
        <f t="shared" si="168"/>
        <v>-</v>
      </c>
      <c r="BA739" s="2">
        <v>54.5</v>
      </c>
      <c r="BB739" s="8" t="str">
        <f t="shared" si="169"/>
        <v>+</v>
      </c>
      <c r="BC739" s="2">
        <v>40.5</v>
      </c>
      <c r="BD739" s="8" t="str">
        <f t="shared" si="170"/>
        <v>+</v>
      </c>
      <c r="BE739" s="2">
        <v>85.5</v>
      </c>
      <c r="BF739" s="8" t="str">
        <f t="shared" si="175"/>
        <v>+</v>
      </c>
      <c r="BG739" s="2">
        <v>61</v>
      </c>
      <c r="BH739" s="8" t="str">
        <f t="shared" si="171"/>
        <v>+</v>
      </c>
      <c r="BI739" s="2">
        <v>62</v>
      </c>
      <c r="BJ739" s="8" t="str">
        <f t="shared" si="172"/>
        <v>+</v>
      </c>
      <c r="BK739" s="2">
        <v>55.5</v>
      </c>
      <c r="BL739" s="8" t="str">
        <f t="shared" si="173"/>
        <v>-</v>
      </c>
    </row>
    <row r="740" spans="1:64">
      <c r="A740" s="1">
        <v>40725</v>
      </c>
      <c r="B740">
        <v>56.6</v>
      </c>
      <c r="C740">
        <v>55.7</v>
      </c>
      <c r="D740">
        <v>60.3</v>
      </c>
      <c r="E740">
        <v>57.3</v>
      </c>
      <c r="F740">
        <v>56.4</v>
      </c>
      <c r="G740">
        <v>53.5</v>
      </c>
      <c r="H740">
        <v>47</v>
      </c>
      <c r="I740">
        <v>68</v>
      </c>
      <c r="J740">
        <v>49</v>
      </c>
      <c r="K740">
        <v>53.5</v>
      </c>
      <c r="L740">
        <v>51</v>
      </c>
      <c r="W740" s="1">
        <v>40725</v>
      </c>
      <c r="X740">
        <v>1292.280029</v>
      </c>
      <c r="Y740" s="4">
        <f t="shared" si="174"/>
        <v>-2.1474425791952044E-2</v>
      </c>
      <c r="Z740" s="4">
        <f t="shared" si="176"/>
        <v>0.17309373380015403</v>
      </c>
      <c r="AA740">
        <v>56.6</v>
      </c>
      <c r="AB740">
        <f t="shared" si="177"/>
        <v>56.4</v>
      </c>
      <c r="AP740" s="3">
        <v>40695</v>
      </c>
      <c r="AQ740" s="2">
        <v>53.7</v>
      </c>
      <c r="AR740" s="2" t="str">
        <f t="shared" si="164"/>
        <v>-</v>
      </c>
      <c r="AS740" s="2">
        <v>52.4</v>
      </c>
      <c r="AT740" s="8" t="str">
        <f t="shared" si="165"/>
        <v>-</v>
      </c>
      <c r="AU740" s="2">
        <v>54.4</v>
      </c>
      <c r="AV740" s="8" t="str">
        <f t="shared" si="166"/>
        <v>-</v>
      </c>
      <c r="AW740" s="2">
        <v>57.2</v>
      </c>
      <c r="AX740" s="8" t="str">
        <f t="shared" si="167"/>
        <v>-</v>
      </c>
      <c r="AY740" s="2">
        <v>55.9</v>
      </c>
      <c r="AZ740" s="8" t="str">
        <f t="shared" si="168"/>
        <v>-</v>
      </c>
      <c r="BA740" s="2">
        <v>48.5</v>
      </c>
      <c r="BB740" s="8" t="str">
        <f t="shared" si="169"/>
        <v>-</v>
      </c>
      <c r="BC740" s="2">
        <v>39.5</v>
      </c>
      <c r="BD740" s="8" t="str">
        <f t="shared" si="170"/>
        <v>-</v>
      </c>
      <c r="BE740" s="2">
        <v>76.5</v>
      </c>
      <c r="BF740" s="8" t="str">
        <f t="shared" si="175"/>
        <v>-</v>
      </c>
      <c r="BG740" s="2">
        <v>50.5</v>
      </c>
      <c r="BH740" s="8" t="str">
        <f t="shared" si="171"/>
        <v>-</v>
      </c>
      <c r="BI740" s="2">
        <v>55</v>
      </c>
      <c r="BJ740" s="8" t="str">
        <f t="shared" si="172"/>
        <v>-</v>
      </c>
      <c r="BK740" s="2">
        <v>54.5</v>
      </c>
      <c r="BL740" s="8" t="str">
        <f t="shared" si="173"/>
        <v>-</v>
      </c>
    </row>
    <row r="741" spans="1:64">
      <c r="A741" s="1">
        <v>40756</v>
      </c>
      <c r="B741">
        <v>52.9</v>
      </c>
      <c r="C741">
        <v>54.9</v>
      </c>
      <c r="D741">
        <v>56.1</v>
      </c>
      <c r="E741">
        <v>54.3</v>
      </c>
      <c r="F741">
        <v>51.4</v>
      </c>
      <c r="G741">
        <v>48</v>
      </c>
      <c r="H741">
        <v>44</v>
      </c>
      <c r="I741">
        <v>59</v>
      </c>
      <c r="J741">
        <v>45</v>
      </c>
      <c r="K741">
        <v>54</v>
      </c>
      <c r="L741">
        <v>53.5</v>
      </c>
      <c r="W741" s="1">
        <v>40756</v>
      </c>
      <c r="X741">
        <v>1218.8900149999999</v>
      </c>
      <c r="Y741" s="4">
        <f t="shared" si="174"/>
        <v>-5.6791107463597633E-2</v>
      </c>
      <c r="Z741" s="4">
        <f t="shared" si="176"/>
        <v>0.16158888634644097</v>
      </c>
      <c r="AA741">
        <v>52.9</v>
      </c>
      <c r="AB741">
        <f t="shared" si="177"/>
        <v>56.4</v>
      </c>
      <c r="AP741" s="3">
        <v>40725</v>
      </c>
      <c r="AQ741" s="2">
        <v>56.6</v>
      </c>
      <c r="AR741" s="2" t="str">
        <f t="shared" si="164"/>
        <v>+</v>
      </c>
      <c r="AS741" s="2">
        <v>55.7</v>
      </c>
      <c r="AT741" s="8" t="str">
        <f t="shared" si="165"/>
        <v>+</v>
      </c>
      <c r="AU741" s="2">
        <v>57.3</v>
      </c>
      <c r="AV741" s="8" t="str">
        <f t="shared" si="166"/>
        <v>+</v>
      </c>
      <c r="AW741" s="2">
        <v>60.3</v>
      </c>
      <c r="AX741" s="8" t="str">
        <f t="shared" si="167"/>
        <v>+</v>
      </c>
      <c r="AY741" s="2">
        <v>56.4</v>
      </c>
      <c r="AZ741" s="8" t="str">
        <f t="shared" si="168"/>
        <v>+</v>
      </c>
      <c r="BA741" s="2">
        <v>53.5</v>
      </c>
      <c r="BB741" s="8" t="str">
        <f t="shared" si="169"/>
        <v>+</v>
      </c>
      <c r="BC741" s="2">
        <v>47</v>
      </c>
      <c r="BD741" s="8" t="str">
        <f t="shared" si="170"/>
        <v>+</v>
      </c>
      <c r="BE741" s="2">
        <v>68</v>
      </c>
      <c r="BF741" s="8" t="str">
        <f t="shared" si="175"/>
        <v>-</v>
      </c>
      <c r="BG741" s="2">
        <v>49</v>
      </c>
      <c r="BH741" s="8" t="str">
        <f t="shared" si="171"/>
        <v>-</v>
      </c>
      <c r="BI741" s="2">
        <v>53.5</v>
      </c>
      <c r="BJ741" s="8" t="str">
        <f t="shared" si="172"/>
        <v>-</v>
      </c>
      <c r="BK741" s="2">
        <v>51</v>
      </c>
      <c r="BL741" s="8" t="str">
        <f t="shared" si="173"/>
        <v>-</v>
      </c>
    </row>
    <row r="742" spans="1:64">
      <c r="A742" s="1">
        <v>40787</v>
      </c>
      <c r="B742">
        <v>53</v>
      </c>
      <c r="C742">
        <v>52.1</v>
      </c>
      <c r="D742">
        <v>54.9</v>
      </c>
      <c r="E742">
        <v>51.7</v>
      </c>
      <c r="F742">
        <v>52</v>
      </c>
      <c r="G742">
        <v>54.5</v>
      </c>
      <c r="H742">
        <v>46.5</v>
      </c>
      <c r="I742">
        <v>55.5</v>
      </c>
      <c r="J742">
        <v>46</v>
      </c>
      <c r="K742">
        <v>50.5</v>
      </c>
      <c r="L742">
        <v>55.5</v>
      </c>
      <c r="W742" s="1">
        <v>40787</v>
      </c>
      <c r="X742">
        <v>1131.420044</v>
      </c>
      <c r="Y742" s="4">
        <f t="shared" si="174"/>
        <v>-7.1761988303760113E-2</v>
      </c>
      <c r="Z742" s="4">
        <f t="shared" si="176"/>
        <v>-8.5698452680709001E-3</v>
      </c>
      <c r="AA742">
        <v>53</v>
      </c>
      <c r="AB742">
        <f t="shared" si="177"/>
        <v>58</v>
      </c>
      <c r="AP742" s="3">
        <v>40756</v>
      </c>
      <c r="AQ742" s="2">
        <v>52.9</v>
      </c>
      <c r="AR742" s="2" t="str">
        <f t="shared" ref="AR742:AR805" si="178">IF(OR(AQ742&gt;AQ741,AQ742=AQ741),"+","-")</f>
        <v>-</v>
      </c>
      <c r="AS742" s="2">
        <v>54.9</v>
      </c>
      <c r="AT742" s="8" t="str">
        <f t="shared" si="165"/>
        <v>-</v>
      </c>
      <c r="AU742" s="2">
        <v>54.3</v>
      </c>
      <c r="AV742" s="8" t="str">
        <f t="shared" si="166"/>
        <v>-</v>
      </c>
      <c r="AW742" s="2">
        <v>56.1</v>
      </c>
      <c r="AX742" s="8" t="str">
        <f t="shared" si="167"/>
        <v>-</v>
      </c>
      <c r="AY742" s="2">
        <v>51.4</v>
      </c>
      <c r="AZ742" s="8" t="str">
        <f t="shared" si="168"/>
        <v>-</v>
      </c>
      <c r="BA742" s="2">
        <v>48</v>
      </c>
      <c r="BB742" s="8" t="str">
        <f t="shared" si="169"/>
        <v>-</v>
      </c>
      <c r="BC742" s="2">
        <v>44</v>
      </c>
      <c r="BD742" s="8" t="str">
        <f t="shared" si="170"/>
        <v>-</v>
      </c>
      <c r="BE742" s="2">
        <v>59</v>
      </c>
      <c r="BF742" s="8" t="str">
        <f t="shared" si="175"/>
        <v>-</v>
      </c>
      <c r="BG742" s="2">
        <v>45</v>
      </c>
      <c r="BH742" s="8" t="str">
        <f t="shared" si="171"/>
        <v>-</v>
      </c>
      <c r="BI742" s="2">
        <v>54</v>
      </c>
      <c r="BJ742" s="8" t="str">
        <f t="shared" si="172"/>
        <v>+</v>
      </c>
      <c r="BK742" s="2">
        <v>53.5</v>
      </c>
      <c r="BL742" s="8" t="str">
        <f t="shared" si="173"/>
        <v>+</v>
      </c>
    </row>
    <row r="743" spans="1:64">
      <c r="A743" s="1">
        <v>40817</v>
      </c>
      <c r="B743">
        <v>52.8</v>
      </c>
      <c r="C743">
        <v>51.6</v>
      </c>
      <c r="D743">
        <v>54.8</v>
      </c>
      <c r="E743">
        <v>53.7</v>
      </c>
      <c r="F743">
        <v>51.9</v>
      </c>
      <c r="G743">
        <v>52</v>
      </c>
      <c r="H743">
        <v>49</v>
      </c>
      <c r="I743">
        <v>56</v>
      </c>
      <c r="J743">
        <v>41.5</v>
      </c>
      <c r="K743">
        <v>53.5</v>
      </c>
      <c r="L743">
        <v>54.5</v>
      </c>
      <c r="W743" s="1">
        <v>40817</v>
      </c>
      <c r="X743">
        <v>1253.3000489999999</v>
      </c>
      <c r="Y743" s="4">
        <f t="shared" si="174"/>
        <v>0.10772303853581013</v>
      </c>
      <c r="Z743" s="4">
        <f t="shared" si="176"/>
        <v>5.9192433115355582E-2</v>
      </c>
      <c r="AA743">
        <v>52.8</v>
      </c>
      <c r="AB743">
        <f t="shared" si="177"/>
        <v>56.3</v>
      </c>
      <c r="AP743" s="3">
        <v>40787</v>
      </c>
      <c r="AQ743" s="2">
        <v>53</v>
      </c>
      <c r="AR743" s="2" t="str">
        <f t="shared" si="178"/>
        <v>+</v>
      </c>
      <c r="AS743" s="2">
        <v>52.1</v>
      </c>
      <c r="AT743" s="8" t="str">
        <f t="shared" ref="AT743:AT806" si="179">IF(OR(AS743&gt;AS742,AS743=AS742),"+","-")</f>
        <v>-</v>
      </c>
      <c r="AU743" s="2">
        <v>51.7</v>
      </c>
      <c r="AV743" s="8" t="str">
        <f t="shared" ref="AV743:AV806" si="180">IF(OR(AU743&gt;AU742,AU743=AU742),"+","-")</f>
        <v>-</v>
      </c>
      <c r="AW743" s="2">
        <v>54.9</v>
      </c>
      <c r="AX743" s="8" t="str">
        <f t="shared" ref="AX743:AX806" si="181">IF(OR(AW743&gt;AW742,AW743=AW742),"+","-")</f>
        <v>-</v>
      </c>
      <c r="AY743" s="2">
        <v>52</v>
      </c>
      <c r="AZ743" s="8" t="str">
        <f t="shared" ref="AZ743:AZ806" si="182">IF(OR(AY743&gt;AY742,AY743=AY742),"+","-")</f>
        <v>+</v>
      </c>
      <c r="BA743" s="2">
        <v>54.5</v>
      </c>
      <c r="BB743" s="8" t="str">
        <f t="shared" ref="BB743:BB806" si="183">IF(OR(BA743&gt;BA742,BA743=BA742),"+","-")</f>
        <v>+</v>
      </c>
      <c r="BC743" s="2">
        <v>46.5</v>
      </c>
      <c r="BD743" s="8" t="str">
        <f t="shared" ref="BD743:BD806" si="184">IF(OR(BC743&gt;BC742,BC743=BC742),"+","-")</f>
        <v>+</v>
      </c>
      <c r="BE743" s="2">
        <v>55.5</v>
      </c>
      <c r="BF743" s="8" t="str">
        <f t="shared" si="175"/>
        <v>-</v>
      </c>
      <c r="BG743" s="2">
        <v>46</v>
      </c>
      <c r="BH743" s="8" t="str">
        <f t="shared" ref="BH743:BH806" si="185">IF(OR(BG743&gt;BG742,BG743=BG742),"+","-")</f>
        <v>+</v>
      </c>
      <c r="BI743" s="2">
        <v>50.5</v>
      </c>
      <c r="BJ743" s="8" t="str">
        <f t="shared" ref="BJ743:BJ806" si="186">IF(OR(BI743&gt;BI742,BI743=BI742),"+","-")</f>
        <v>-</v>
      </c>
      <c r="BK743" s="2">
        <v>55.5</v>
      </c>
      <c r="BL743" s="8" t="str">
        <f t="shared" ref="BL743:BL806" si="187">IF(OR(BK743&gt;BK742,BK743=BK742),"+","-")</f>
        <v>+</v>
      </c>
    </row>
    <row r="744" spans="1:64">
      <c r="A744" s="1">
        <v>40848</v>
      </c>
      <c r="B744">
        <v>51.8</v>
      </c>
      <c r="C744">
        <v>52.4</v>
      </c>
      <c r="D744">
        <v>55.1</v>
      </c>
      <c r="E744">
        <v>52.8</v>
      </c>
      <c r="F744">
        <v>52</v>
      </c>
      <c r="G744">
        <v>46.5</v>
      </c>
      <c r="H744">
        <v>43.5</v>
      </c>
      <c r="I744">
        <v>41</v>
      </c>
      <c r="J744">
        <v>47.5</v>
      </c>
      <c r="K744">
        <v>50</v>
      </c>
      <c r="L744">
        <v>49.5</v>
      </c>
      <c r="W744" s="1">
        <v>40848</v>
      </c>
      <c r="X744">
        <v>1246.959961</v>
      </c>
      <c r="Y744" s="4">
        <f t="shared" si="174"/>
        <v>-5.0587151935872331E-3</v>
      </c>
      <c r="Z744" s="4">
        <f t="shared" si="176"/>
        <v>5.6253364316280738E-2</v>
      </c>
      <c r="AA744">
        <v>51.8</v>
      </c>
      <c r="AB744">
        <f t="shared" si="177"/>
        <v>57.7</v>
      </c>
      <c r="AP744" s="3">
        <v>40817</v>
      </c>
      <c r="AQ744" s="2">
        <v>52.8</v>
      </c>
      <c r="AR744" s="2" t="str">
        <f t="shared" si="178"/>
        <v>-</v>
      </c>
      <c r="AS744" s="2">
        <v>51.6</v>
      </c>
      <c r="AT744" s="8" t="str">
        <f t="shared" si="179"/>
        <v>-</v>
      </c>
      <c r="AU744" s="2">
        <v>53.7</v>
      </c>
      <c r="AV744" s="8" t="str">
        <f t="shared" si="180"/>
        <v>+</v>
      </c>
      <c r="AW744" s="2">
        <v>54.8</v>
      </c>
      <c r="AX744" s="8" t="str">
        <f t="shared" si="181"/>
        <v>-</v>
      </c>
      <c r="AY744" s="2">
        <v>51.9</v>
      </c>
      <c r="AZ744" s="8" t="str">
        <f t="shared" si="182"/>
        <v>-</v>
      </c>
      <c r="BA744" s="2">
        <v>52</v>
      </c>
      <c r="BB744" s="8" t="str">
        <f t="shared" si="183"/>
        <v>-</v>
      </c>
      <c r="BC744" s="2">
        <v>49</v>
      </c>
      <c r="BD744" s="8" t="str">
        <f t="shared" si="184"/>
        <v>+</v>
      </c>
      <c r="BE744" s="2">
        <v>56</v>
      </c>
      <c r="BF744" s="8" t="str">
        <f t="shared" si="175"/>
        <v>+</v>
      </c>
      <c r="BG744" s="2">
        <v>41.5</v>
      </c>
      <c r="BH744" s="8" t="str">
        <f t="shared" si="185"/>
        <v>-</v>
      </c>
      <c r="BI744" s="2">
        <v>53.5</v>
      </c>
      <c r="BJ744" s="8" t="str">
        <f t="shared" si="186"/>
        <v>+</v>
      </c>
      <c r="BK744" s="2">
        <v>54.5</v>
      </c>
      <c r="BL744" s="8" t="str">
        <f t="shared" si="187"/>
        <v>-</v>
      </c>
    </row>
    <row r="745" spans="1:64">
      <c r="A745" s="1">
        <v>40878</v>
      </c>
      <c r="B745">
        <v>52.1</v>
      </c>
      <c r="C745">
        <v>55.2</v>
      </c>
      <c r="D745">
        <v>53</v>
      </c>
      <c r="E745">
        <v>54.4</v>
      </c>
      <c r="F745">
        <v>51.3</v>
      </c>
      <c r="G745">
        <v>46.5</v>
      </c>
      <c r="H745">
        <v>50</v>
      </c>
      <c r="I745">
        <v>45</v>
      </c>
      <c r="J745">
        <v>45</v>
      </c>
      <c r="K745">
        <v>52</v>
      </c>
      <c r="L745">
        <v>49</v>
      </c>
      <c r="W745" s="1">
        <v>40878</v>
      </c>
      <c r="X745">
        <v>1257.599976</v>
      </c>
      <c r="Y745" s="4">
        <f t="shared" si="174"/>
        <v>8.5327639481440794E-3</v>
      </c>
      <c r="Z745" s="4">
        <f t="shared" si="176"/>
        <v>-3.183661423175919E-5</v>
      </c>
      <c r="AA745">
        <v>52.1</v>
      </c>
      <c r="AB745">
        <f t="shared" si="177"/>
        <v>57.6</v>
      </c>
      <c r="AP745" s="3">
        <v>40848</v>
      </c>
      <c r="AQ745" s="2">
        <v>51.8</v>
      </c>
      <c r="AR745" s="2" t="str">
        <f t="shared" si="178"/>
        <v>-</v>
      </c>
      <c r="AS745" s="2">
        <v>52.4</v>
      </c>
      <c r="AT745" s="8" t="str">
        <f t="shared" si="179"/>
        <v>+</v>
      </c>
      <c r="AU745" s="2">
        <v>52.8</v>
      </c>
      <c r="AV745" s="8" t="str">
        <f t="shared" si="180"/>
        <v>-</v>
      </c>
      <c r="AW745" s="2">
        <v>55.1</v>
      </c>
      <c r="AX745" s="8" t="str">
        <f t="shared" si="181"/>
        <v>+</v>
      </c>
      <c r="AY745" s="2">
        <v>52</v>
      </c>
      <c r="AZ745" s="8" t="str">
        <f t="shared" si="182"/>
        <v>+</v>
      </c>
      <c r="BA745" s="2">
        <v>46.5</v>
      </c>
      <c r="BB745" s="8" t="str">
        <f t="shared" si="183"/>
        <v>-</v>
      </c>
      <c r="BC745" s="2">
        <v>43.5</v>
      </c>
      <c r="BD745" s="8" t="str">
        <f t="shared" si="184"/>
        <v>-</v>
      </c>
      <c r="BE745" s="2">
        <v>41</v>
      </c>
      <c r="BF745" s="8" t="str">
        <f t="shared" si="175"/>
        <v>-</v>
      </c>
      <c r="BG745" s="2">
        <v>47.5</v>
      </c>
      <c r="BH745" s="8" t="str">
        <f t="shared" si="185"/>
        <v>+</v>
      </c>
      <c r="BI745" s="2">
        <v>50</v>
      </c>
      <c r="BJ745" s="8" t="str">
        <f t="shared" si="186"/>
        <v>-</v>
      </c>
      <c r="BK745" s="2">
        <v>49.5</v>
      </c>
      <c r="BL745" s="8" t="str">
        <f t="shared" si="187"/>
        <v>-</v>
      </c>
    </row>
    <row r="746" spans="1:64">
      <c r="A746" s="1">
        <v>40909</v>
      </c>
      <c r="B746">
        <v>53.1</v>
      </c>
      <c r="C746">
        <v>55.4</v>
      </c>
      <c r="D746">
        <v>55</v>
      </c>
      <c r="E746">
        <v>59.9</v>
      </c>
      <c r="F746">
        <v>49.9</v>
      </c>
      <c r="G746">
        <v>45.5</v>
      </c>
      <c r="H746">
        <v>42.5</v>
      </c>
      <c r="I746">
        <v>47.5</v>
      </c>
      <c r="J746">
        <v>48</v>
      </c>
      <c r="K746">
        <v>53</v>
      </c>
      <c r="L746">
        <v>54</v>
      </c>
      <c r="W746" s="1">
        <v>40909</v>
      </c>
      <c r="X746">
        <v>1312.410034</v>
      </c>
      <c r="Y746" s="4">
        <f t="shared" si="174"/>
        <v>4.3583062218506295E-2</v>
      </c>
      <c r="Z746" s="4">
        <f t="shared" si="176"/>
        <v>2.0441357806586298E-2</v>
      </c>
      <c r="AA746">
        <v>53.1</v>
      </c>
      <c r="AB746">
        <f t="shared" si="177"/>
        <v>57.5</v>
      </c>
      <c r="AP746" s="3">
        <v>40878</v>
      </c>
      <c r="AQ746" s="2">
        <v>52.1</v>
      </c>
      <c r="AR746" s="2" t="str">
        <f t="shared" si="178"/>
        <v>+</v>
      </c>
      <c r="AS746" s="2">
        <v>55.2</v>
      </c>
      <c r="AT746" s="8" t="str">
        <f t="shared" si="179"/>
        <v>+</v>
      </c>
      <c r="AU746" s="2">
        <v>54.4</v>
      </c>
      <c r="AV746" s="8" t="str">
        <f t="shared" si="180"/>
        <v>+</v>
      </c>
      <c r="AW746" s="2">
        <v>53</v>
      </c>
      <c r="AX746" s="8" t="str">
        <f t="shared" si="181"/>
        <v>-</v>
      </c>
      <c r="AY746" s="2">
        <v>51.3</v>
      </c>
      <c r="AZ746" s="8" t="str">
        <f t="shared" si="182"/>
        <v>-</v>
      </c>
      <c r="BA746" s="2">
        <v>46.5</v>
      </c>
      <c r="BB746" s="8" t="str">
        <f t="shared" si="183"/>
        <v>+</v>
      </c>
      <c r="BC746" s="2">
        <v>50</v>
      </c>
      <c r="BD746" s="8" t="str">
        <f t="shared" si="184"/>
        <v>+</v>
      </c>
      <c r="BE746" s="2">
        <v>45</v>
      </c>
      <c r="BF746" s="8" t="str">
        <f t="shared" si="175"/>
        <v>+</v>
      </c>
      <c r="BG746" s="2">
        <v>45</v>
      </c>
      <c r="BH746" s="8" t="str">
        <f t="shared" si="185"/>
        <v>-</v>
      </c>
      <c r="BI746" s="2">
        <v>52</v>
      </c>
      <c r="BJ746" s="8" t="str">
        <f t="shared" si="186"/>
        <v>+</v>
      </c>
      <c r="BK746" s="2">
        <v>49</v>
      </c>
      <c r="BL746" s="8" t="str">
        <f t="shared" si="187"/>
        <v>-</v>
      </c>
    </row>
    <row r="747" spans="1:64">
      <c r="A747" s="1">
        <v>40940</v>
      </c>
      <c r="B747">
        <v>52.8</v>
      </c>
      <c r="C747">
        <v>55.2</v>
      </c>
      <c r="D747">
        <v>54</v>
      </c>
      <c r="E747">
        <v>54.3</v>
      </c>
      <c r="F747">
        <v>50.8</v>
      </c>
      <c r="G747">
        <v>49.5</v>
      </c>
      <c r="H747">
        <v>47.5</v>
      </c>
      <c r="I747">
        <v>55.5</v>
      </c>
      <c r="J747">
        <v>52.5</v>
      </c>
      <c r="K747">
        <v>55</v>
      </c>
      <c r="L747">
        <v>52.5</v>
      </c>
      <c r="W747" s="1">
        <v>40940</v>
      </c>
      <c r="X747">
        <v>1365.6800539999999</v>
      </c>
      <c r="Y747" s="4">
        <f t="shared" si="174"/>
        <v>4.058946413084185E-2</v>
      </c>
      <c r="Z747" s="4">
        <f t="shared" si="176"/>
        <v>2.8977926674070474E-2</v>
      </c>
      <c r="AA747">
        <v>52.8</v>
      </c>
      <c r="AB747">
        <f t="shared" si="177"/>
        <v>59</v>
      </c>
      <c r="AP747" s="3">
        <v>40909</v>
      </c>
      <c r="AQ747" s="2">
        <v>53.1</v>
      </c>
      <c r="AR747" s="2" t="str">
        <f t="shared" si="178"/>
        <v>+</v>
      </c>
      <c r="AS747" s="2">
        <v>55.4</v>
      </c>
      <c r="AT747" s="8" t="str">
        <f t="shared" si="179"/>
        <v>+</v>
      </c>
      <c r="AU747" s="2">
        <v>59.9</v>
      </c>
      <c r="AV747" s="8" t="str">
        <f t="shared" si="180"/>
        <v>+</v>
      </c>
      <c r="AW747" s="2">
        <v>55</v>
      </c>
      <c r="AX747" s="8" t="str">
        <f t="shared" si="181"/>
        <v>+</v>
      </c>
      <c r="AY747" s="2">
        <v>49.9</v>
      </c>
      <c r="AZ747" s="8" t="str">
        <f t="shared" si="182"/>
        <v>-</v>
      </c>
      <c r="BA747" s="2">
        <v>45.5</v>
      </c>
      <c r="BB747" s="8" t="str">
        <f t="shared" si="183"/>
        <v>-</v>
      </c>
      <c r="BC747" s="2">
        <v>42.5</v>
      </c>
      <c r="BD747" s="8" t="str">
        <f t="shared" si="184"/>
        <v>-</v>
      </c>
      <c r="BE747" s="2">
        <v>47.5</v>
      </c>
      <c r="BF747" s="8" t="str">
        <f t="shared" si="175"/>
        <v>+</v>
      </c>
      <c r="BG747" s="2">
        <v>48</v>
      </c>
      <c r="BH747" s="8" t="str">
        <f t="shared" si="185"/>
        <v>+</v>
      </c>
      <c r="BI747" s="2">
        <v>53</v>
      </c>
      <c r="BJ747" s="8" t="str">
        <f t="shared" si="186"/>
        <v>+</v>
      </c>
      <c r="BK747" s="2">
        <v>54</v>
      </c>
      <c r="BL747" s="8" t="str">
        <f t="shared" si="187"/>
        <v>+</v>
      </c>
    </row>
    <row r="748" spans="1:64">
      <c r="A748" s="1">
        <v>40969</v>
      </c>
      <c r="B748">
        <v>52.4</v>
      </c>
      <c r="C748">
        <v>55.2</v>
      </c>
      <c r="D748">
        <v>53.6</v>
      </c>
      <c r="E748">
        <v>55.5</v>
      </c>
      <c r="F748">
        <v>48.4</v>
      </c>
      <c r="G748">
        <v>49.5</v>
      </c>
      <c r="H748">
        <v>46</v>
      </c>
      <c r="I748">
        <v>61.5</v>
      </c>
      <c r="J748">
        <v>52</v>
      </c>
      <c r="K748">
        <v>59.5</v>
      </c>
      <c r="L748">
        <v>54</v>
      </c>
      <c r="W748" s="1">
        <v>40969</v>
      </c>
      <c r="X748">
        <v>1408.469971</v>
      </c>
      <c r="Y748" s="4">
        <f t="shared" si="174"/>
        <v>3.1332314530530633E-2</v>
      </c>
      <c r="Z748" s="4">
        <f t="shared" si="176"/>
        <v>6.2330779770071773E-2</v>
      </c>
      <c r="AA748">
        <v>52.4</v>
      </c>
      <c r="AB748">
        <f t="shared" si="177"/>
        <v>59.3</v>
      </c>
      <c r="AP748" s="3">
        <v>40940</v>
      </c>
      <c r="AQ748" s="2">
        <v>52.8</v>
      </c>
      <c r="AR748" s="2" t="str">
        <f t="shared" si="178"/>
        <v>-</v>
      </c>
      <c r="AS748" s="2">
        <v>55.2</v>
      </c>
      <c r="AT748" s="8" t="str">
        <f t="shared" si="179"/>
        <v>-</v>
      </c>
      <c r="AU748" s="2">
        <v>54.3</v>
      </c>
      <c r="AV748" s="8" t="str">
        <f t="shared" si="180"/>
        <v>-</v>
      </c>
      <c r="AW748" s="2">
        <v>54</v>
      </c>
      <c r="AX748" s="8" t="str">
        <f t="shared" si="181"/>
        <v>-</v>
      </c>
      <c r="AY748" s="2">
        <v>50.8</v>
      </c>
      <c r="AZ748" s="8" t="str">
        <f t="shared" si="182"/>
        <v>+</v>
      </c>
      <c r="BA748" s="2">
        <v>49.5</v>
      </c>
      <c r="BB748" s="8" t="str">
        <f t="shared" si="183"/>
        <v>+</v>
      </c>
      <c r="BC748" s="2">
        <v>47.5</v>
      </c>
      <c r="BD748" s="8" t="str">
        <f t="shared" si="184"/>
        <v>+</v>
      </c>
      <c r="BE748" s="2">
        <v>55.5</v>
      </c>
      <c r="BF748" s="8" t="str">
        <f t="shared" si="175"/>
        <v>+</v>
      </c>
      <c r="BG748" s="2">
        <v>52.5</v>
      </c>
      <c r="BH748" s="8" t="str">
        <f t="shared" si="185"/>
        <v>+</v>
      </c>
      <c r="BI748" s="2">
        <v>55</v>
      </c>
      <c r="BJ748" s="8" t="str">
        <f t="shared" si="186"/>
        <v>+</v>
      </c>
      <c r="BK748" s="2">
        <v>52.5</v>
      </c>
      <c r="BL748" s="8" t="str">
        <f t="shared" si="187"/>
        <v>-</v>
      </c>
    </row>
    <row r="749" spans="1:64">
      <c r="A749" s="1">
        <v>41000</v>
      </c>
      <c r="B749">
        <v>53</v>
      </c>
      <c r="C749">
        <v>55.5</v>
      </c>
      <c r="D749">
        <v>54.6</v>
      </c>
      <c r="E749">
        <v>56.5</v>
      </c>
      <c r="F749">
        <v>48.6</v>
      </c>
      <c r="G749">
        <v>50</v>
      </c>
      <c r="H749">
        <v>44.5</v>
      </c>
      <c r="I749">
        <v>61</v>
      </c>
      <c r="J749">
        <v>52.5</v>
      </c>
      <c r="K749">
        <v>54</v>
      </c>
      <c r="L749">
        <v>53.5</v>
      </c>
      <c r="W749" s="1">
        <v>41000</v>
      </c>
      <c r="X749">
        <v>1397.910034</v>
      </c>
      <c r="Y749" s="4">
        <f t="shared" si="174"/>
        <v>-7.4974527092704279E-3</v>
      </c>
      <c r="Z749" s="4">
        <f t="shared" si="176"/>
        <v>2.5153855851238829E-2</v>
      </c>
      <c r="AA749">
        <v>53</v>
      </c>
      <c r="AB749">
        <f t="shared" si="177"/>
        <v>59.1</v>
      </c>
      <c r="AP749" s="3">
        <v>40969</v>
      </c>
      <c r="AQ749" s="2">
        <v>52.4</v>
      </c>
      <c r="AR749" s="2" t="str">
        <f t="shared" si="178"/>
        <v>-</v>
      </c>
      <c r="AS749" s="2">
        <v>55.2</v>
      </c>
      <c r="AT749" s="8" t="str">
        <f t="shared" si="179"/>
        <v>+</v>
      </c>
      <c r="AU749" s="2">
        <v>55.5</v>
      </c>
      <c r="AV749" s="8" t="str">
        <f t="shared" si="180"/>
        <v>+</v>
      </c>
      <c r="AW749" s="2">
        <v>53.6</v>
      </c>
      <c r="AX749" s="8" t="str">
        <f t="shared" si="181"/>
        <v>-</v>
      </c>
      <c r="AY749" s="2">
        <v>48.4</v>
      </c>
      <c r="AZ749" s="8" t="str">
        <f t="shared" si="182"/>
        <v>-</v>
      </c>
      <c r="BA749" s="2">
        <v>49.5</v>
      </c>
      <c r="BB749" s="8" t="str">
        <f t="shared" si="183"/>
        <v>+</v>
      </c>
      <c r="BC749" s="2">
        <v>46</v>
      </c>
      <c r="BD749" s="8" t="str">
        <f t="shared" si="184"/>
        <v>-</v>
      </c>
      <c r="BE749" s="2">
        <v>61.5</v>
      </c>
      <c r="BF749" s="8" t="str">
        <f t="shared" si="175"/>
        <v>+</v>
      </c>
      <c r="BG749" s="2">
        <v>52</v>
      </c>
      <c r="BH749" s="8" t="str">
        <f t="shared" si="185"/>
        <v>-</v>
      </c>
      <c r="BI749" s="2">
        <v>59.5</v>
      </c>
      <c r="BJ749" s="8" t="str">
        <f t="shared" si="186"/>
        <v>+</v>
      </c>
      <c r="BK749" s="2">
        <v>54</v>
      </c>
      <c r="BL749" s="8" t="str">
        <f t="shared" si="187"/>
        <v>+</v>
      </c>
    </row>
    <row r="750" spans="1:64">
      <c r="A750" s="1">
        <v>41030</v>
      </c>
      <c r="B750">
        <v>53.7</v>
      </c>
      <c r="C750">
        <v>55.8</v>
      </c>
      <c r="D750">
        <v>56.5</v>
      </c>
      <c r="E750">
        <v>59.2</v>
      </c>
      <c r="F750">
        <v>48.7</v>
      </c>
      <c r="G750">
        <v>48.5</v>
      </c>
      <c r="H750">
        <v>45.5</v>
      </c>
      <c r="I750">
        <v>61</v>
      </c>
      <c r="J750">
        <v>49.5</v>
      </c>
      <c r="K750">
        <v>59</v>
      </c>
      <c r="L750">
        <v>53.5</v>
      </c>
      <c r="W750" s="1">
        <v>41030</v>
      </c>
      <c r="X750">
        <v>1310.329956</v>
      </c>
      <c r="Y750" s="4">
        <f t="shared" si="174"/>
        <v>-6.2650725633177598E-2</v>
      </c>
      <c r="Z750" s="4">
        <f t="shared" si="176"/>
        <v>-2.5921793242765303E-2</v>
      </c>
      <c r="AA750">
        <v>53.7</v>
      </c>
      <c r="AB750">
        <f t="shared" si="177"/>
        <v>58.9</v>
      </c>
      <c r="AP750" s="3">
        <v>41000</v>
      </c>
      <c r="AQ750" s="2">
        <v>53</v>
      </c>
      <c r="AR750" s="2" t="str">
        <f t="shared" si="178"/>
        <v>+</v>
      </c>
      <c r="AS750" s="2">
        <v>55.5</v>
      </c>
      <c r="AT750" s="8" t="str">
        <f t="shared" si="179"/>
        <v>+</v>
      </c>
      <c r="AU750" s="2">
        <v>56.5</v>
      </c>
      <c r="AV750" s="8" t="str">
        <f t="shared" si="180"/>
        <v>+</v>
      </c>
      <c r="AW750" s="2">
        <v>54.6</v>
      </c>
      <c r="AX750" s="8" t="str">
        <f t="shared" si="181"/>
        <v>+</v>
      </c>
      <c r="AY750" s="2">
        <v>48.6</v>
      </c>
      <c r="AZ750" s="8" t="str">
        <f t="shared" si="182"/>
        <v>+</v>
      </c>
      <c r="BA750" s="2">
        <v>50</v>
      </c>
      <c r="BB750" s="8" t="str">
        <f t="shared" si="183"/>
        <v>+</v>
      </c>
      <c r="BC750" s="2">
        <v>44.5</v>
      </c>
      <c r="BD750" s="8" t="str">
        <f t="shared" si="184"/>
        <v>-</v>
      </c>
      <c r="BE750" s="2">
        <v>61</v>
      </c>
      <c r="BF750" s="8" t="str">
        <f t="shared" si="175"/>
        <v>-</v>
      </c>
      <c r="BG750" s="2">
        <v>52.5</v>
      </c>
      <c r="BH750" s="8" t="str">
        <f t="shared" si="185"/>
        <v>+</v>
      </c>
      <c r="BI750" s="2">
        <v>54</v>
      </c>
      <c r="BJ750" s="8" t="str">
        <f t="shared" si="186"/>
        <v>-</v>
      </c>
      <c r="BK750" s="2">
        <v>53.5</v>
      </c>
      <c r="BL750" s="8" t="str">
        <f t="shared" si="187"/>
        <v>-</v>
      </c>
    </row>
    <row r="751" spans="1:64">
      <c r="A751" s="1">
        <v>41061</v>
      </c>
      <c r="B751">
        <v>53.2</v>
      </c>
      <c r="C751">
        <v>57.1</v>
      </c>
      <c r="D751">
        <v>56</v>
      </c>
      <c r="E751">
        <v>56.6</v>
      </c>
      <c r="F751">
        <v>50.2</v>
      </c>
      <c r="G751">
        <v>46</v>
      </c>
      <c r="H751">
        <v>43.5</v>
      </c>
      <c r="I751">
        <v>47.5</v>
      </c>
      <c r="J751">
        <v>47</v>
      </c>
      <c r="K751">
        <v>53.5</v>
      </c>
      <c r="L751">
        <v>53.5</v>
      </c>
      <c r="W751" s="1">
        <v>41061</v>
      </c>
      <c r="X751">
        <v>1362.160034</v>
      </c>
      <c r="Y751" s="4">
        <f t="shared" si="174"/>
        <v>3.9554982134591417E-2</v>
      </c>
      <c r="Z751" s="4">
        <f t="shared" si="176"/>
        <v>3.1439316186402277E-2</v>
      </c>
      <c r="AA751">
        <v>53.2</v>
      </c>
      <c r="AB751">
        <f t="shared" si="177"/>
        <v>53.7</v>
      </c>
      <c r="AP751" s="3">
        <v>41030</v>
      </c>
      <c r="AQ751" s="2">
        <v>53.7</v>
      </c>
      <c r="AR751" s="2" t="str">
        <f t="shared" si="178"/>
        <v>+</v>
      </c>
      <c r="AS751" s="2">
        <v>55.8</v>
      </c>
      <c r="AT751" s="8" t="str">
        <f t="shared" si="179"/>
        <v>+</v>
      </c>
      <c r="AU751" s="2">
        <v>59.2</v>
      </c>
      <c r="AV751" s="8" t="str">
        <f t="shared" si="180"/>
        <v>+</v>
      </c>
      <c r="AW751" s="2">
        <v>56.5</v>
      </c>
      <c r="AX751" s="8" t="str">
        <f t="shared" si="181"/>
        <v>+</v>
      </c>
      <c r="AY751" s="2">
        <v>48.7</v>
      </c>
      <c r="AZ751" s="8" t="str">
        <f t="shared" si="182"/>
        <v>+</v>
      </c>
      <c r="BA751" s="2">
        <v>48.5</v>
      </c>
      <c r="BB751" s="8" t="str">
        <f t="shared" si="183"/>
        <v>-</v>
      </c>
      <c r="BC751" s="2">
        <v>45.5</v>
      </c>
      <c r="BD751" s="8" t="str">
        <f t="shared" si="184"/>
        <v>+</v>
      </c>
      <c r="BE751" s="2">
        <v>61</v>
      </c>
      <c r="BF751" s="8" t="str">
        <f t="shared" si="175"/>
        <v>+</v>
      </c>
      <c r="BG751" s="2">
        <v>49.5</v>
      </c>
      <c r="BH751" s="8" t="str">
        <f t="shared" si="185"/>
        <v>-</v>
      </c>
      <c r="BI751" s="2">
        <v>59</v>
      </c>
      <c r="BJ751" s="8" t="str">
        <f t="shared" si="186"/>
        <v>+</v>
      </c>
      <c r="BK751" s="2">
        <v>53.5</v>
      </c>
      <c r="BL751" s="8" t="str">
        <f t="shared" si="187"/>
        <v>+</v>
      </c>
    </row>
    <row r="752" spans="1:64">
      <c r="A752" s="1">
        <v>41091</v>
      </c>
      <c r="B752">
        <v>51</v>
      </c>
      <c r="C752">
        <v>51.3</v>
      </c>
      <c r="D752">
        <v>55.8</v>
      </c>
      <c r="E752">
        <v>53.8</v>
      </c>
      <c r="F752">
        <v>50</v>
      </c>
      <c r="G752">
        <v>44</v>
      </c>
      <c r="H752">
        <v>48.5</v>
      </c>
      <c r="I752">
        <v>37</v>
      </c>
      <c r="J752">
        <v>44.5</v>
      </c>
      <c r="K752">
        <v>47.5</v>
      </c>
      <c r="L752">
        <v>53.5</v>
      </c>
      <c r="W752" s="1">
        <v>41091</v>
      </c>
      <c r="X752">
        <v>1379.3199460000001</v>
      </c>
      <c r="Y752" s="4">
        <f t="shared" si="174"/>
        <v>1.2597574126154459E-2</v>
      </c>
      <c r="Z752" s="4">
        <f t="shared" si="176"/>
        <v>6.7353758509565306E-2</v>
      </c>
      <c r="AA752">
        <v>51</v>
      </c>
      <c r="AB752">
        <f t="shared" si="177"/>
        <v>56.6</v>
      </c>
      <c r="AP752" s="3">
        <v>41061</v>
      </c>
      <c r="AQ752" s="2">
        <v>53.2</v>
      </c>
      <c r="AR752" s="2" t="str">
        <f t="shared" si="178"/>
        <v>-</v>
      </c>
      <c r="AS752" s="2">
        <v>57.1</v>
      </c>
      <c r="AT752" s="8" t="str">
        <f t="shared" si="179"/>
        <v>+</v>
      </c>
      <c r="AU752" s="2">
        <v>56.6</v>
      </c>
      <c r="AV752" s="8" t="str">
        <f t="shared" si="180"/>
        <v>-</v>
      </c>
      <c r="AW752" s="2">
        <v>56</v>
      </c>
      <c r="AX752" s="8" t="str">
        <f t="shared" si="181"/>
        <v>-</v>
      </c>
      <c r="AY752" s="2">
        <v>50.2</v>
      </c>
      <c r="AZ752" s="8" t="str">
        <f t="shared" si="182"/>
        <v>+</v>
      </c>
      <c r="BA752" s="2">
        <v>46</v>
      </c>
      <c r="BB752" s="8" t="str">
        <f t="shared" si="183"/>
        <v>-</v>
      </c>
      <c r="BC752" s="2">
        <v>43.5</v>
      </c>
      <c r="BD752" s="8" t="str">
        <f t="shared" si="184"/>
        <v>-</v>
      </c>
      <c r="BE752" s="2">
        <v>47.5</v>
      </c>
      <c r="BF752" s="8" t="str">
        <f t="shared" si="175"/>
        <v>-</v>
      </c>
      <c r="BG752" s="2">
        <v>47</v>
      </c>
      <c r="BH752" s="8" t="str">
        <f t="shared" si="185"/>
        <v>-</v>
      </c>
      <c r="BI752" s="2">
        <v>53.5</v>
      </c>
      <c r="BJ752" s="8" t="str">
        <f t="shared" si="186"/>
        <v>-</v>
      </c>
      <c r="BK752" s="2">
        <v>53.5</v>
      </c>
      <c r="BL752" s="8" t="str">
        <f t="shared" si="187"/>
        <v>+</v>
      </c>
    </row>
    <row r="753" spans="1:64">
      <c r="A753" s="1">
        <v>41122</v>
      </c>
      <c r="B753">
        <v>50.6</v>
      </c>
      <c r="C753">
        <v>50.3</v>
      </c>
      <c r="D753">
        <v>53.3</v>
      </c>
      <c r="E753">
        <v>50.6</v>
      </c>
      <c r="F753">
        <v>49.6</v>
      </c>
      <c r="G753">
        <v>49</v>
      </c>
      <c r="H753">
        <v>49.5</v>
      </c>
      <c r="I753">
        <v>39.5</v>
      </c>
      <c r="J753">
        <v>43</v>
      </c>
      <c r="K753">
        <v>46.5</v>
      </c>
      <c r="L753">
        <v>50.5</v>
      </c>
      <c r="W753" s="1">
        <v>41122</v>
      </c>
      <c r="X753">
        <v>1406.579956</v>
      </c>
      <c r="Y753" s="4">
        <f t="shared" si="174"/>
        <v>1.9763369680148135E-2</v>
      </c>
      <c r="Z753" s="4">
        <f t="shared" si="176"/>
        <v>0.15398431252224187</v>
      </c>
      <c r="AA753">
        <v>50.6</v>
      </c>
      <c r="AB753">
        <f t="shared" si="177"/>
        <v>52.9</v>
      </c>
      <c r="AP753" s="3">
        <v>41091</v>
      </c>
      <c r="AQ753" s="2">
        <v>51</v>
      </c>
      <c r="AR753" s="2" t="str">
        <f t="shared" si="178"/>
        <v>-</v>
      </c>
      <c r="AS753" s="2">
        <v>51.3</v>
      </c>
      <c r="AT753" s="8" t="str">
        <f t="shared" si="179"/>
        <v>-</v>
      </c>
      <c r="AU753" s="2">
        <v>53.8</v>
      </c>
      <c r="AV753" s="8" t="str">
        <f t="shared" si="180"/>
        <v>-</v>
      </c>
      <c r="AW753" s="2">
        <v>55.8</v>
      </c>
      <c r="AX753" s="8" t="str">
        <f t="shared" si="181"/>
        <v>-</v>
      </c>
      <c r="AY753" s="2">
        <v>50</v>
      </c>
      <c r="AZ753" s="8" t="str">
        <f t="shared" si="182"/>
        <v>-</v>
      </c>
      <c r="BA753" s="2">
        <v>44</v>
      </c>
      <c r="BB753" s="8" t="str">
        <f t="shared" si="183"/>
        <v>-</v>
      </c>
      <c r="BC753" s="2">
        <v>48.5</v>
      </c>
      <c r="BD753" s="8" t="str">
        <f t="shared" si="184"/>
        <v>+</v>
      </c>
      <c r="BE753" s="2">
        <v>37</v>
      </c>
      <c r="BF753" s="8" t="str">
        <f t="shared" si="175"/>
        <v>-</v>
      </c>
      <c r="BG753" s="2">
        <v>44.5</v>
      </c>
      <c r="BH753" s="8" t="str">
        <f t="shared" si="185"/>
        <v>-</v>
      </c>
      <c r="BI753" s="2">
        <v>47.5</v>
      </c>
      <c r="BJ753" s="8" t="str">
        <f t="shared" si="186"/>
        <v>-</v>
      </c>
      <c r="BK753" s="2">
        <v>53.5</v>
      </c>
      <c r="BL753" s="8" t="str">
        <f t="shared" si="187"/>
        <v>+</v>
      </c>
    </row>
    <row r="754" spans="1:64">
      <c r="A754" s="1">
        <v>41153</v>
      </c>
      <c r="B754">
        <v>51.1</v>
      </c>
      <c r="C754">
        <v>49.6</v>
      </c>
      <c r="D754">
        <v>52.9</v>
      </c>
      <c r="E754">
        <v>49.5</v>
      </c>
      <c r="F754">
        <v>50.3</v>
      </c>
      <c r="G754">
        <v>53</v>
      </c>
      <c r="H754">
        <v>49</v>
      </c>
      <c r="I754">
        <v>54</v>
      </c>
      <c r="J754">
        <v>42.5</v>
      </c>
      <c r="K754">
        <v>47</v>
      </c>
      <c r="L754">
        <v>49</v>
      </c>
      <c r="W754" s="1">
        <v>41153</v>
      </c>
      <c r="X754">
        <v>1440.670044</v>
      </c>
      <c r="Y754" s="4">
        <f t="shared" si="174"/>
        <v>2.4236153696477046E-2</v>
      </c>
      <c r="Z754" s="4">
        <f t="shared" si="176"/>
        <v>0.27332908024740632</v>
      </c>
      <c r="AA754">
        <v>51.1</v>
      </c>
      <c r="AB754">
        <f t="shared" si="177"/>
        <v>53</v>
      </c>
      <c r="AP754" s="3">
        <v>41122</v>
      </c>
      <c r="AQ754" s="2">
        <v>50.6</v>
      </c>
      <c r="AR754" s="2" t="str">
        <f t="shared" si="178"/>
        <v>-</v>
      </c>
      <c r="AS754" s="2">
        <v>50.3</v>
      </c>
      <c r="AT754" s="8" t="str">
        <f t="shared" si="179"/>
        <v>-</v>
      </c>
      <c r="AU754" s="2">
        <v>50.6</v>
      </c>
      <c r="AV754" s="8" t="str">
        <f t="shared" si="180"/>
        <v>-</v>
      </c>
      <c r="AW754" s="2">
        <v>53.3</v>
      </c>
      <c r="AX754" s="8" t="str">
        <f t="shared" si="181"/>
        <v>-</v>
      </c>
      <c r="AY754" s="2">
        <v>49.6</v>
      </c>
      <c r="AZ754" s="8" t="str">
        <f t="shared" si="182"/>
        <v>-</v>
      </c>
      <c r="BA754" s="2">
        <v>49</v>
      </c>
      <c r="BB754" s="8" t="str">
        <f t="shared" si="183"/>
        <v>+</v>
      </c>
      <c r="BC754" s="2">
        <v>49.5</v>
      </c>
      <c r="BD754" s="8" t="str">
        <f t="shared" si="184"/>
        <v>+</v>
      </c>
      <c r="BE754" s="2">
        <v>39.5</v>
      </c>
      <c r="BF754" s="8" t="str">
        <f t="shared" si="175"/>
        <v>+</v>
      </c>
      <c r="BG754" s="2">
        <v>43</v>
      </c>
      <c r="BH754" s="8" t="str">
        <f t="shared" si="185"/>
        <v>-</v>
      </c>
      <c r="BI754" s="2">
        <v>46.5</v>
      </c>
      <c r="BJ754" s="8" t="str">
        <f t="shared" si="186"/>
        <v>-</v>
      </c>
      <c r="BK754" s="2">
        <v>50.5</v>
      </c>
      <c r="BL754" s="8" t="str">
        <f t="shared" si="187"/>
        <v>-</v>
      </c>
    </row>
    <row r="755" spans="1:64">
      <c r="A755" s="1">
        <v>41183</v>
      </c>
      <c r="B755">
        <v>52.2</v>
      </c>
      <c r="C755">
        <v>53.5</v>
      </c>
      <c r="D755">
        <v>54.3</v>
      </c>
      <c r="E755">
        <v>51.9</v>
      </c>
      <c r="F755">
        <v>50.6</v>
      </c>
      <c r="G755">
        <v>50.5</v>
      </c>
      <c r="H755">
        <v>49.5</v>
      </c>
      <c r="I755">
        <v>58</v>
      </c>
      <c r="J755">
        <v>44</v>
      </c>
      <c r="K755">
        <v>48.5</v>
      </c>
      <c r="L755">
        <v>49.5</v>
      </c>
      <c r="W755" s="1">
        <v>41183</v>
      </c>
      <c r="X755">
        <v>1412.160034</v>
      </c>
      <c r="Y755" s="4">
        <f t="shared" si="174"/>
        <v>-1.9789409878227443E-2</v>
      </c>
      <c r="Z755" s="4">
        <f t="shared" si="176"/>
        <v>0.12675335417624328</v>
      </c>
      <c r="AA755">
        <v>52.2</v>
      </c>
      <c r="AB755">
        <f t="shared" si="177"/>
        <v>52.8</v>
      </c>
      <c r="AP755" s="3">
        <v>41153</v>
      </c>
      <c r="AQ755" s="2">
        <v>51.1</v>
      </c>
      <c r="AR755" s="2" t="str">
        <f t="shared" si="178"/>
        <v>+</v>
      </c>
      <c r="AS755" s="2">
        <v>49.6</v>
      </c>
      <c r="AT755" s="8" t="str">
        <f t="shared" si="179"/>
        <v>-</v>
      </c>
      <c r="AU755" s="2">
        <v>49.5</v>
      </c>
      <c r="AV755" s="8" t="str">
        <f t="shared" si="180"/>
        <v>-</v>
      </c>
      <c r="AW755" s="2">
        <v>52.9</v>
      </c>
      <c r="AX755" s="8" t="str">
        <f t="shared" si="181"/>
        <v>-</v>
      </c>
      <c r="AY755" s="2">
        <v>50.3</v>
      </c>
      <c r="AZ755" s="8" t="str">
        <f t="shared" si="182"/>
        <v>+</v>
      </c>
      <c r="BA755" s="2">
        <v>53</v>
      </c>
      <c r="BB755" s="8" t="str">
        <f t="shared" si="183"/>
        <v>+</v>
      </c>
      <c r="BC755" s="2">
        <v>49</v>
      </c>
      <c r="BD755" s="8" t="str">
        <f t="shared" si="184"/>
        <v>-</v>
      </c>
      <c r="BE755" s="2">
        <v>54</v>
      </c>
      <c r="BF755" s="8" t="str">
        <f t="shared" si="175"/>
        <v>+</v>
      </c>
      <c r="BG755" s="2">
        <v>42.5</v>
      </c>
      <c r="BH755" s="8" t="str">
        <f t="shared" si="185"/>
        <v>-</v>
      </c>
      <c r="BI755" s="2">
        <v>47</v>
      </c>
      <c r="BJ755" s="8" t="str">
        <f t="shared" si="186"/>
        <v>+</v>
      </c>
      <c r="BK755" s="2">
        <v>49</v>
      </c>
      <c r="BL755" s="8" t="str">
        <f t="shared" si="187"/>
        <v>-</v>
      </c>
    </row>
    <row r="756" spans="1:64">
      <c r="A756" s="1">
        <v>41214</v>
      </c>
      <c r="B756">
        <v>51.2</v>
      </c>
      <c r="C756">
        <v>51.8</v>
      </c>
      <c r="D756">
        <v>53.1</v>
      </c>
      <c r="E756">
        <v>51.9</v>
      </c>
      <c r="F756">
        <v>49.4</v>
      </c>
      <c r="G756">
        <v>50</v>
      </c>
      <c r="H756">
        <v>49</v>
      </c>
      <c r="I756">
        <v>55</v>
      </c>
      <c r="J756">
        <v>41.5</v>
      </c>
      <c r="K756">
        <v>48</v>
      </c>
      <c r="L756">
        <v>47.5</v>
      </c>
      <c r="W756" s="1">
        <v>41214</v>
      </c>
      <c r="X756">
        <v>1416.1800539999999</v>
      </c>
      <c r="Y756" s="4">
        <f t="shared" si="174"/>
        <v>2.8467170173433272E-3</v>
      </c>
      <c r="Z756" s="4">
        <f t="shared" si="176"/>
        <v>0.13570611590791878</v>
      </c>
      <c r="AA756">
        <v>51.2</v>
      </c>
      <c r="AB756">
        <f t="shared" si="177"/>
        <v>51.8</v>
      </c>
      <c r="AP756" s="3">
        <v>41183</v>
      </c>
      <c r="AQ756" s="2">
        <v>52.2</v>
      </c>
      <c r="AR756" s="2" t="str">
        <f t="shared" si="178"/>
        <v>+</v>
      </c>
      <c r="AS756" s="2">
        <v>53.5</v>
      </c>
      <c r="AT756" s="8" t="str">
        <f t="shared" si="179"/>
        <v>+</v>
      </c>
      <c r="AU756" s="2">
        <v>51.9</v>
      </c>
      <c r="AV756" s="8" t="str">
        <f t="shared" si="180"/>
        <v>+</v>
      </c>
      <c r="AW756" s="2">
        <v>54.3</v>
      </c>
      <c r="AX756" s="8" t="str">
        <f t="shared" si="181"/>
        <v>+</v>
      </c>
      <c r="AY756" s="2">
        <v>50.6</v>
      </c>
      <c r="AZ756" s="8" t="str">
        <f t="shared" si="182"/>
        <v>+</v>
      </c>
      <c r="BA756" s="2">
        <v>50.5</v>
      </c>
      <c r="BB756" s="8" t="str">
        <f t="shared" si="183"/>
        <v>-</v>
      </c>
      <c r="BC756" s="2">
        <v>49.5</v>
      </c>
      <c r="BD756" s="8" t="str">
        <f t="shared" si="184"/>
        <v>+</v>
      </c>
      <c r="BE756" s="2">
        <v>58</v>
      </c>
      <c r="BF756" s="8" t="str">
        <f t="shared" si="175"/>
        <v>+</v>
      </c>
      <c r="BG756" s="2">
        <v>44</v>
      </c>
      <c r="BH756" s="8" t="str">
        <f t="shared" si="185"/>
        <v>+</v>
      </c>
      <c r="BI756" s="2">
        <v>48.5</v>
      </c>
      <c r="BJ756" s="8" t="str">
        <f t="shared" si="186"/>
        <v>+</v>
      </c>
      <c r="BK756" s="2">
        <v>49.5</v>
      </c>
      <c r="BL756" s="8" t="str">
        <f t="shared" si="187"/>
        <v>+</v>
      </c>
    </row>
    <row r="757" spans="1:64">
      <c r="A757" s="1">
        <v>41244</v>
      </c>
      <c r="B757">
        <v>49.5</v>
      </c>
      <c r="C757">
        <v>51.4</v>
      </c>
      <c r="D757">
        <v>48.8</v>
      </c>
      <c r="E757">
        <v>52.2</v>
      </c>
      <c r="F757">
        <v>50.2</v>
      </c>
      <c r="G757">
        <v>45</v>
      </c>
      <c r="H757">
        <v>42.5</v>
      </c>
      <c r="I757">
        <v>52.5</v>
      </c>
      <c r="J757">
        <v>41</v>
      </c>
      <c r="K757">
        <v>47</v>
      </c>
      <c r="L757">
        <v>48</v>
      </c>
      <c r="W757" s="1">
        <v>41244</v>
      </c>
      <c r="X757">
        <v>1426.1899410000001</v>
      </c>
      <c r="Y757" s="4">
        <f t="shared" si="174"/>
        <v>7.0682304638645639E-3</v>
      </c>
      <c r="Z757" s="4">
        <f t="shared" si="176"/>
        <v>0.13405690856978844</v>
      </c>
      <c r="AA757">
        <v>49.5</v>
      </c>
      <c r="AB757">
        <f t="shared" si="177"/>
        <v>52.1</v>
      </c>
      <c r="AP757" s="3">
        <v>41214</v>
      </c>
      <c r="AQ757" s="2">
        <v>51.2</v>
      </c>
      <c r="AR757" s="2" t="str">
        <f t="shared" si="178"/>
        <v>-</v>
      </c>
      <c r="AS757" s="2">
        <v>51.8</v>
      </c>
      <c r="AT757" s="8" t="str">
        <f t="shared" si="179"/>
        <v>-</v>
      </c>
      <c r="AU757" s="2">
        <v>51.9</v>
      </c>
      <c r="AV757" s="8" t="str">
        <f t="shared" si="180"/>
        <v>+</v>
      </c>
      <c r="AW757" s="2">
        <v>53.1</v>
      </c>
      <c r="AX757" s="8" t="str">
        <f t="shared" si="181"/>
        <v>-</v>
      </c>
      <c r="AY757" s="2">
        <v>49.4</v>
      </c>
      <c r="AZ757" s="8" t="str">
        <f t="shared" si="182"/>
        <v>-</v>
      </c>
      <c r="BA757" s="2">
        <v>50</v>
      </c>
      <c r="BB757" s="8" t="str">
        <f t="shared" si="183"/>
        <v>-</v>
      </c>
      <c r="BC757" s="2">
        <v>49</v>
      </c>
      <c r="BD757" s="8" t="str">
        <f t="shared" si="184"/>
        <v>-</v>
      </c>
      <c r="BE757" s="2">
        <v>55</v>
      </c>
      <c r="BF757" s="8" t="str">
        <f t="shared" si="175"/>
        <v>-</v>
      </c>
      <c r="BG757" s="2">
        <v>41.5</v>
      </c>
      <c r="BH757" s="8" t="str">
        <f t="shared" si="185"/>
        <v>-</v>
      </c>
      <c r="BI757" s="2">
        <v>48</v>
      </c>
      <c r="BJ757" s="8" t="str">
        <f t="shared" si="186"/>
        <v>-</v>
      </c>
      <c r="BK757" s="2">
        <v>47.5</v>
      </c>
      <c r="BL757" s="8" t="str">
        <f t="shared" si="187"/>
        <v>-</v>
      </c>
    </row>
    <row r="758" spans="1:64">
      <c r="A758" s="1">
        <v>41275</v>
      </c>
      <c r="B758">
        <v>50.4</v>
      </c>
      <c r="C758">
        <v>50.1</v>
      </c>
      <c r="D758">
        <v>52.7</v>
      </c>
      <c r="E758">
        <v>53.1</v>
      </c>
      <c r="F758">
        <v>52.9</v>
      </c>
      <c r="G758">
        <v>43</v>
      </c>
      <c r="H758">
        <v>47</v>
      </c>
      <c r="I758">
        <v>55.5</v>
      </c>
      <c r="J758">
        <v>48.5</v>
      </c>
      <c r="K758">
        <v>51.5</v>
      </c>
      <c r="L758">
        <v>51.5</v>
      </c>
      <c r="W758" s="1">
        <v>41275</v>
      </c>
      <c r="X758">
        <v>1498.1099850000001</v>
      </c>
      <c r="Y758" s="4">
        <f t="shared" si="174"/>
        <v>5.0428096519578497E-2</v>
      </c>
      <c r="Z758" s="4">
        <f t="shared" si="176"/>
        <v>0.1414953758270337</v>
      </c>
      <c r="AA758">
        <v>50.4</v>
      </c>
      <c r="AB758">
        <f t="shared" si="177"/>
        <v>53.1</v>
      </c>
      <c r="AP758" s="3">
        <v>41244</v>
      </c>
      <c r="AQ758" s="2">
        <v>49.5</v>
      </c>
      <c r="AR758" s="2" t="str">
        <f t="shared" si="178"/>
        <v>-</v>
      </c>
      <c r="AS758" s="2">
        <v>51.4</v>
      </c>
      <c r="AT758" s="8" t="str">
        <f t="shared" si="179"/>
        <v>-</v>
      </c>
      <c r="AU758" s="2">
        <v>52.2</v>
      </c>
      <c r="AV758" s="8" t="str">
        <f t="shared" si="180"/>
        <v>+</v>
      </c>
      <c r="AW758" s="2">
        <v>48.8</v>
      </c>
      <c r="AX758" s="8" t="str">
        <f t="shared" si="181"/>
        <v>-</v>
      </c>
      <c r="AY758" s="2">
        <v>50.2</v>
      </c>
      <c r="AZ758" s="8" t="str">
        <f t="shared" si="182"/>
        <v>+</v>
      </c>
      <c r="BA758" s="2">
        <v>45</v>
      </c>
      <c r="BB758" s="8" t="str">
        <f t="shared" si="183"/>
        <v>-</v>
      </c>
      <c r="BC758" s="2">
        <v>42.5</v>
      </c>
      <c r="BD758" s="8" t="str">
        <f t="shared" si="184"/>
        <v>-</v>
      </c>
      <c r="BE758" s="2">
        <v>52.5</v>
      </c>
      <c r="BF758" s="8" t="str">
        <f t="shared" si="175"/>
        <v>-</v>
      </c>
      <c r="BG758" s="2">
        <v>41</v>
      </c>
      <c r="BH758" s="8" t="str">
        <f t="shared" si="185"/>
        <v>-</v>
      </c>
      <c r="BI758" s="2">
        <v>47</v>
      </c>
      <c r="BJ758" s="8" t="str">
        <f t="shared" si="186"/>
        <v>-</v>
      </c>
      <c r="BK758" s="2">
        <v>48</v>
      </c>
      <c r="BL758" s="8" t="str">
        <f t="shared" si="187"/>
        <v>+</v>
      </c>
    </row>
    <row r="759" spans="1:64">
      <c r="A759" s="1">
        <v>41306</v>
      </c>
      <c r="B759">
        <v>52.3</v>
      </c>
      <c r="C759">
        <v>50.8</v>
      </c>
      <c r="D759">
        <v>53.8</v>
      </c>
      <c r="E759">
        <v>53.8</v>
      </c>
      <c r="F759">
        <v>51.9</v>
      </c>
      <c r="G759">
        <v>51</v>
      </c>
      <c r="H759">
        <v>48.5</v>
      </c>
      <c r="I759">
        <v>56.5</v>
      </c>
      <c r="J759">
        <v>47.5</v>
      </c>
      <c r="K759">
        <v>50.5</v>
      </c>
      <c r="L759">
        <v>50</v>
      </c>
      <c r="W759" s="1">
        <v>41306</v>
      </c>
      <c r="X759">
        <v>1514.6800539999999</v>
      </c>
      <c r="Y759" s="4">
        <f t="shared" si="174"/>
        <v>1.1060649195259101E-2</v>
      </c>
      <c r="Z759" s="4">
        <f t="shared" si="176"/>
        <v>0.10910315308742147</v>
      </c>
      <c r="AA759">
        <v>52.3</v>
      </c>
      <c r="AB759">
        <f t="shared" si="177"/>
        <v>52.8</v>
      </c>
      <c r="AP759" s="3">
        <v>41275</v>
      </c>
      <c r="AQ759" s="2">
        <v>50.4</v>
      </c>
      <c r="AR759" s="2" t="str">
        <f t="shared" si="178"/>
        <v>+</v>
      </c>
      <c r="AS759" s="2">
        <v>50.1</v>
      </c>
      <c r="AT759" s="8" t="str">
        <f t="shared" si="179"/>
        <v>-</v>
      </c>
      <c r="AU759" s="2">
        <v>53.1</v>
      </c>
      <c r="AV759" s="8" t="str">
        <f t="shared" si="180"/>
        <v>+</v>
      </c>
      <c r="AW759" s="2">
        <v>52.7</v>
      </c>
      <c r="AX759" s="8" t="str">
        <f t="shared" si="181"/>
        <v>+</v>
      </c>
      <c r="AY759" s="2">
        <v>52.9</v>
      </c>
      <c r="AZ759" s="8" t="str">
        <f t="shared" si="182"/>
        <v>+</v>
      </c>
      <c r="BA759" s="2">
        <v>43</v>
      </c>
      <c r="BB759" s="8" t="str">
        <f t="shared" si="183"/>
        <v>-</v>
      </c>
      <c r="BC759" s="2">
        <v>47</v>
      </c>
      <c r="BD759" s="8" t="str">
        <f t="shared" si="184"/>
        <v>+</v>
      </c>
      <c r="BE759" s="2">
        <v>55.5</v>
      </c>
      <c r="BF759" s="8" t="str">
        <f t="shared" si="175"/>
        <v>+</v>
      </c>
      <c r="BG759" s="2">
        <v>48.5</v>
      </c>
      <c r="BH759" s="8" t="str">
        <f t="shared" si="185"/>
        <v>+</v>
      </c>
      <c r="BI759" s="2">
        <v>51.5</v>
      </c>
      <c r="BJ759" s="8" t="str">
        <f t="shared" si="186"/>
        <v>+</v>
      </c>
      <c r="BK759" s="2">
        <v>51.5</v>
      </c>
      <c r="BL759" s="8" t="str">
        <f t="shared" si="187"/>
        <v>+</v>
      </c>
    </row>
    <row r="760" spans="1:64">
      <c r="A760" s="1">
        <v>41334</v>
      </c>
      <c r="B760">
        <v>53.1</v>
      </c>
      <c r="C760">
        <v>55.7</v>
      </c>
      <c r="D760">
        <v>52.2</v>
      </c>
      <c r="E760">
        <v>54.5</v>
      </c>
      <c r="F760">
        <v>51.5</v>
      </c>
      <c r="G760">
        <v>51.5</v>
      </c>
      <c r="H760">
        <v>46.5</v>
      </c>
      <c r="I760">
        <v>61.5</v>
      </c>
      <c r="J760">
        <v>55</v>
      </c>
      <c r="K760">
        <v>53.5</v>
      </c>
      <c r="L760">
        <v>54</v>
      </c>
      <c r="W760" s="1">
        <v>41334</v>
      </c>
      <c r="X760">
        <v>1569.1899410000001</v>
      </c>
      <c r="Y760" s="4">
        <f t="shared" si="174"/>
        <v>3.5987723516956123E-2</v>
      </c>
      <c r="Z760" s="4">
        <f t="shared" si="176"/>
        <v>0.11410961774775395</v>
      </c>
      <c r="AA760">
        <v>53.1</v>
      </c>
      <c r="AB760">
        <f t="shared" si="177"/>
        <v>52.4</v>
      </c>
      <c r="AP760" s="3">
        <v>41306</v>
      </c>
      <c r="AQ760" s="2">
        <v>52.3</v>
      </c>
      <c r="AR760" s="2" t="str">
        <f t="shared" si="178"/>
        <v>+</v>
      </c>
      <c r="AS760" s="2">
        <v>50.8</v>
      </c>
      <c r="AT760" s="8" t="str">
        <f t="shared" si="179"/>
        <v>+</v>
      </c>
      <c r="AU760" s="2">
        <v>53.8</v>
      </c>
      <c r="AV760" s="8" t="str">
        <f t="shared" si="180"/>
        <v>+</v>
      </c>
      <c r="AW760" s="2">
        <v>53.8</v>
      </c>
      <c r="AX760" s="8" t="str">
        <f t="shared" si="181"/>
        <v>+</v>
      </c>
      <c r="AY760" s="2">
        <v>51.9</v>
      </c>
      <c r="AZ760" s="8" t="str">
        <f t="shared" si="182"/>
        <v>-</v>
      </c>
      <c r="BA760" s="2">
        <v>51</v>
      </c>
      <c r="BB760" s="8" t="str">
        <f t="shared" si="183"/>
        <v>+</v>
      </c>
      <c r="BC760" s="2">
        <v>48.5</v>
      </c>
      <c r="BD760" s="8" t="str">
        <f t="shared" si="184"/>
        <v>+</v>
      </c>
      <c r="BE760" s="2">
        <v>56.5</v>
      </c>
      <c r="BF760" s="8" t="str">
        <f t="shared" si="175"/>
        <v>+</v>
      </c>
      <c r="BG760" s="2">
        <v>47.5</v>
      </c>
      <c r="BH760" s="8" t="str">
        <f t="shared" si="185"/>
        <v>-</v>
      </c>
      <c r="BI760" s="2">
        <v>50.5</v>
      </c>
      <c r="BJ760" s="8" t="str">
        <f t="shared" si="186"/>
        <v>-</v>
      </c>
      <c r="BK760" s="2">
        <v>50</v>
      </c>
      <c r="BL760" s="8" t="str">
        <f t="shared" si="187"/>
        <v>-</v>
      </c>
    </row>
    <row r="761" spans="1:64">
      <c r="A761" s="1">
        <v>41365</v>
      </c>
      <c r="B761">
        <v>51.5</v>
      </c>
      <c r="C761">
        <v>51.7</v>
      </c>
      <c r="D761">
        <v>52.1</v>
      </c>
      <c r="E761">
        <v>53.9</v>
      </c>
      <c r="F761">
        <v>50.4</v>
      </c>
      <c r="G761">
        <v>49.5</v>
      </c>
      <c r="H761">
        <v>47.5</v>
      </c>
      <c r="I761">
        <v>54.5</v>
      </c>
      <c r="J761">
        <v>51</v>
      </c>
      <c r="K761">
        <v>56</v>
      </c>
      <c r="L761">
        <v>54</v>
      </c>
      <c r="W761" s="1">
        <v>41365</v>
      </c>
      <c r="X761">
        <v>1597.5699460000001</v>
      </c>
      <c r="Y761" s="4">
        <f t="shared" si="174"/>
        <v>1.8085767859252408E-2</v>
      </c>
      <c r="Z761" s="4">
        <f t="shared" si="176"/>
        <v>0.14282744035300349</v>
      </c>
      <c r="AA761">
        <v>51.5</v>
      </c>
      <c r="AB761">
        <f t="shared" si="177"/>
        <v>53</v>
      </c>
      <c r="AP761" s="3">
        <v>41334</v>
      </c>
      <c r="AQ761" s="2">
        <v>53.1</v>
      </c>
      <c r="AR761" s="2" t="str">
        <f t="shared" si="178"/>
        <v>+</v>
      </c>
      <c r="AS761" s="2">
        <v>55.7</v>
      </c>
      <c r="AT761" s="8" t="str">
        <f t="shared" si="179"/>
        <v>+</v>
      </c>
      <c r="AU761" s="2">
        <v>54.5</v>
      </c>
      <c r="AV761" s="8" t="str">
        <f t="shared" si="180"/>
        <v>+</v>
      </c>
      <c r="AW761" s="2">
        <v>52.2</v>
      </c>
      <c r="AX761" s="8" t="str">
        <f t="shared" si="181"/>
        <v>-</v>
      </c>
      <c r="AY761" s="2">
        <v>51.5</v>
      </c>
      <c r="AZ761" s="8" t="str">
        <f t="shared" si="182"/>
        <v>-</v>
      </c>
      <c r="BA761" s="2">
        <v>51.5</v>
      </c>
      <c r="BB761" s="8" t="str">
        <f t="shared" si="183"/>
        <v>+</v>
      </c>
      <c r="BC761" s="2">
        <v>46.5</v>
      </c>
      <c r="BD761" s="8" t="str">
        <f t="shared" si="184"/>
        <v>-</v>
      </c>
      <c r="BE761" s="2">
        <v>61.5</v>
      </c>
      <c r="BF761" s="8" t="str">
        <f t="shared" si="175"/>
        <v>+</v>
      </c>
      <c r="BG761" s="2">
        <v>55</v>
      </c>
      <c r="BH761" s="8" t="str">
        <f t="shared" si="185"/>
        <v>+</v>
      </c>
      <c r="BI761" s="2">
        <v>53.5</v>
      </c>
      <c r="BJ761" s="8" t="str">
        <f t="shared" si="186"/>
        <v>+</v>
      </c>
      <c r="BK761" s="2">
        <v>54</v>
      </c>
      <c r="BL761" s="8" t="str">
        <f t="shared" si="187"/>
        <v>+</v>
      </c>
    </row>
    <row r="762" spans="1:64">
      <c r="A762" s="1">
        <v>41395</v>
      </c>
      <c r="B762">
        <v>50</v>
      </c>
      <c r="C762">
        <v>49.7</v>
      </c>
      <c r="D762">
        <v>50.5</v>
      </c>
      <c r="E762">
        <v>52.1</v>
      </c>
      <c r="F762">
        <v>51.1</v>
      </c>
      <c r="G762">
        <v>46.5</v>
      </c>
      <c r="H762">
        <v>44.5</v>
      </c>
      <c r="I762">
        <v>50</v>
      </c>
      <c r="J762">
        <v>53</v>
      </c>
      <c r="K762">
        <v>54</v>
      </c>
      <c r="L762">
        <v>55</v>
      </c>
      <c r="W762" s="1">
        <v>41395</v>
      </c>
      <c r="X762">
        <v>1630.73999</v>
      </c>
      <c r="Y762" s="4">
        <f t="shared" si="174"/>
        <v>2.0762811721046208E-2</v>
      </c>
      <c r="Z762" s="4">
        <f t="shared" si="176"/>
        <v>0.24452622221818454</v>
      </c>
      <c r="AA762">
        <v>50</v>
      </c>
      <c r="AB762">
        <f t="shared" si="177"/>
        <v>53.7</v>
      </c>
      <c r="AP762" s="3">
        <v>41365</v>
      </c>
      <c r="AQ762" s="2">
        <v>51.5</v>
      </c>
      <c r="AR762" s="2" t="str">
        <f t="shared" si="178"/>
        <v>-</v>
      </c>
      <c r="AS762" s="2">
        <v>51.7</v>
      </c>
      <c r="AT762" s="8" t="str">
        <f t="shared" si="179"/>
        <v>-</v>
      </c>
      <c r="AU762" s="2">
        <v>53.9</v>
      </c>
      <c r="AV762" s="8" t="str">
        <f t="shared" si="180"/>
        <v>-</v>
      </c>
      <c r="AW762" s="2">
        <v>52.1</v>
      </c>
      <c r="AX762" s="8" t="str">
        <f t="shared" si="181"/>
        <v>-</v>
      </c>
      <c r="AY762" s="2">
        <v>50.4</v>
      </c>
      <c r="AZ762" s="8" t="str">
        <f t="shared" si="182"/>
        <v>-</v>
      </c>
      <c r="BA762" s="2">
        <v>49.5</v>
      </c>
      <c r="BB762" s="8" t="str">
        <f t="shared" si="183"/>
        <v>-</v>
      </c>
      <c r="BC762" s="2">
        <v>47.5</v>
      </c>
      <c r="BD762" s="8" t="str">
        <f t="shared" si="184"/>
        <v>+</v>
      </c>
      <c r="BE762" s="2">
        <v>54.5</v>
      </c>
      <c r="BF762" s="8" t="str">
        <f t="shared" si="175"/>
        <v>-</v>
      </c>
      <c r="BG762" s="2">
        <v>51</v>
      </c>
      <c r="BH762" s="8" t="str">
        <f t="shared" si="185"/>
        <v>-</v>
      </c>
      <c r="BI762" s="2">
        <v>56</v>
      </c>
      <c r="BJ762" s="8" t="str">
        <f t="shared" si="186"/>
        <v>+</v>
      </c>
      <c r="BK762" s="2">
        <v>54</v>
      </c>
      <c r="BL762" s="8" t="str">
        <f t="shared" si="187"/>
        <v>+</v>
      </c>
    </row>
    <row r="763" spans="1:64">
      <c r="A763" s="1">
        <v>41426</v>
      </c>
      <c r="B763">
        <v>50</v>
      </c>
      <c r="C763">
        <v>49.6</v>
      </c>
      <c r="D763">
        <v>49</v>
      </c>
      <c r="E763">
        <v>52.5</v>
      </c>
      <c r="F763">
        <v>49.7</v>
      </c>
      <c r="G763">
        <v>49</v>
      </c>
      <c r="H763">
        <v>46</v>
      </c>
      <c r="I763">
        <v>49.5</v>
      </c>
      <c r="J763">
        <v>48</v>
      </c>
      <c r="K763">
        <v>51</v>
      </c>
      <c r="L763">
        <v>54.5</v>
      </c>
      <c r="W763" s="1">
        <v>41426</v>
      </c>
      <c r="X763">
        <v>1606.280029</v>
      </c>
      <c r="Y763" s="4">
        <f t="shared" si="174"/>
        <v>-1.4999301636062792E-2</v>
      </c>
      <c r="Z763" s="4">
        <f t="shared" si="176"/>
        <v>0.17921535568999084</v>
      </c>
      <c r="AA763">
        <v>50</v>
      </c>
      <c r="AB763">
        <f t="shared" si="177"/>
        <v>53.2</v>
      </c>
      <c r="AP763" s="3">
        <v>41395</v>
      </c>
      <c r="AQ763" s="2">
        <v>50</v>
      </c>
      <c r="AR763" s="2" t="str">
        <f t="shared" si="178"/>
        <v>-</v>
      </c>
      <c r="AS763" s="2">
        <v>49.7</v>
      </c>
      <c r="AT763" s="8" t="str">
        <f t="shared" si="179"/>
        <v>-</v>
      </c>
      <c r="AU763" s="2">
        <v>52.1</v>
      </c>
      <c r="AV763" s="8" t="str">
        <f t="shared" si="180"/>
        <v>-</v>
      </c>
      <c r="AW763" s="2">
        <v>50.5</v>
      </c>
      <c r="AX763" s="8" t="str">
        <f t="shared" si="181"/>
        <v>-</v>
      </c>
      <c r="AY763" s="2">
        <v>51.1</v>
      </c>
      <c r="AZ763" s="8" t="str">
        <f t="shared" si="182"/>
        <v>+</v>
      </c>
      <c r="BA763" s="2">
        <v>46.5</v>
      </c>
      <c r="BB763" s="8" t="str">
        <f t="shared" si="183"/>
        <v>-</v>
      </c>
      <c r="BC763" s="2">
        <v>44.5</v>
      </c>
      <c r="BD763" s="8" t="str">
        <f t="shared" si="184"/>
        <v>-</v>
      </c>
      <c r="BE763" s="2">
        <v>50</v>
      </c>
      <c r="BF763" s="8" t="str">
        <f t="shared" si="175"/>
        <v>-</v>
      </c>
      <c r="BG763" s="2">
        <v>53</v>
      </c>
      <c r="BH763" s="8" t="str">
        <f t="shared" si="185"/>
        <v>+</v>
      </c>
      <c r="BI763" s="2">
        <v>54</v>
      </c>
      <c r="BJ763" s="8" t="str">
        <f t="shared" si="186"/>
        <v>-</v>
      </c>
      <c r="BK763" s="2">
        <v>55</v>
      </c>
      <c r="BL763" s="8" t="str">
        <f t="shared" si="187"/>
        <v>+</v>
      </c>
    </row>
    <row r="764" spans="1:64">
      <c r="A764" s="1">
        <v>41456</v>
      </c>
      <c r="B764">
        <v>52.5</v>
      </c>
      <c r="C764">
        <v>55.7</v>
      </c>
      <c r="D764">
        <v>50</v>
      </c>
      <c r="E764">
        <v>55.7</v>
      </c>
      <c r="F764">
        <v>50.4</v>
      </c>
      <c r="G764">
        <v>50.5</v>
      </c>
      <c r="H764">
        <v>45</v>
      </c>
      <c r="I764">
        <v>52.5</v>
      </c>
      <c r="J764">
        <v>46.5</v>
      </c>
      <c r="K764">
        <v>54.5</v>
      </c>
      <c r="L764">
        <v>56</v>
      </c>
      <c r="W764" s="1">
        <v>41456</v>
      </c>
      <c r="X764">
        <v>1685.7299800000001</v>
      </c>
      <c r="Y764" s="4">
        <f t="shared" si="174"/>
        <v>4.9462079815225081E-2</v>
      </c>
      <c r="Z764" s="4">
        <f t="shared" si="176"/>
        <v>0.22214572832690696</v>
      </c>
      <c r="AA764">
        <v>52.5</v>
      </c>
      <c r="AB764">
        <f t="shared" si="177"/>
        <v>51</v>
      </c>
      <c r="AP764" s="3">
        <v>41426</v>
      </c>
      <c r="AQ764" s="2">
        <v>50</v>
      </c>
      <c r="AR764" s="2" t="str">
        <f t="shared" si="178"/>
        <v>+</v>
      </c>
      <c r="AS764" s="2">
        <v>49.6</v>
      </c>
      <c r="AT764" s="8" t="str">
        <f t="shared" si="179"/>
        <v>-</v>
      </c>
      <c r="AU764" s="2">
        <v>52.5</v>
      </c>
      <c r="AV764" s="8" t="str">
        <f t="shared" si="180"/>
        <v>+</v>
      </c>
      <c r="AW764" s="2">
        <v>49</v>
      </c>
      <c r="AX764" s="8" t="str">
        <f t="shared" si="181"/>
        <v>-</v>
      </c>
      <c r="AY764" s="2">
        <v>49.7</v>
      </c>
      <c r="AZ764" s="8" t="str">
        <f t="shared" si="182"/>
        <v>-</v>
      </c>
      <c r="BA764" s="2">
        <v>49</v>
      </c>
      <c r="BB764" s="8" t="str">
        <f t="shared" si="183"/>
        <v>+</v>
      </c>
      <c r="BC764" s="2">
        <v>46</v>
      </c>
      <c r="BD764" s="8" t="str">
        <f t="shared" si="184"/>
        <v>+</v>
      </c>
      <c r="BE764" s="2">
        <v>49.5</v>
      </c>
      <c r="BF764" s="8" t="str">
        <f t="shared" si="175"/>
        <v>-</v>
      </c>
      <c r="BG764" s="2">
        <v>48</v>
      </c>
      <c r="BH764" s="8" t="str">
        <f t="shared" si="185"/>
        <v>-</v>
      </c>
      <c r="BI764" s="2">
        <v>51</v>
      </c>
      <c r="BJ764" s="8" t="str">
        <f t="shared" si="186"/>
        <v>-</v>
      </c>
      <c r="BK764" s="2">
        <v>54.5</v>
      </c>
      <c r="BL764" s="8" t="str">
        <f t="shared" si="187"/>
        <v>-</v>
      </c>
    </row>
    <row r="765" spans="1:64">
      <c r="A765" s="1">
        <v>41487</v>
      </c>
      <c r="B765">
        <v>54.9</v>
      </c>
      <c r="C765">
        <v>59.1</v>
      </c>
      <c r="D765">
        <v>55.5</v>
      </c>
      <c r="E765">
        <v>60.8</v>
      </c>
      <c r="F765">
        <v>52</v>
      </c>
      <c r="G765">
        <v>47</v>
      </c>
      <c r="H765">
        <v>47.5</v>
      </c>
      <c r="I765">
        <v>49</v>
      </c>
      <c r="J765">
        <v>45</v>
      </c>
      <c r="K765">
        <v>53.5</v>
      </c>
      <c r="L765">
        <v>57.5</v>
      </c>
      <c r="W765" s="1">
        <v>41487</v>
      </c>
      <c r="X765">
        <v>1632.969971</v>
      </c>
      <c r="Y765" s="4">
        <f t="shared" si="174"/>
        <v>-3.1298019033866906E-2</v>
      </c>
      <c r="Z765" s="4">
        <f t="shared" si="176"/>
        <v>0.16095069038506898</v>
      </c>
      <c r="AA765">
        <v>54.9</v>
      </c>
      <c r="AB765">
        <f t="shared" si="177"/>
        <v>50.6</v>
      </c>
      <c r="AP765" s="3">
        <v>41456</v>
      </c>
      <c r="AQ765" s="2">
        <v>52.5</v>
      </c>
      <c r="AR765" s="2" t="str">
        <f t="shared" si="178"/>
        <v>+</v>
      </c>
      <c r="AS765" s="2">
        <v>55.7</v>
      </c>
      <c r="AT765" s="8" t="str">
        <f t="shared" si="179"/>
        <v>+</v>
      </c>
      <c r="AU765" s="2">
        <v>55.7</v>
      </c>
      <c r="AV765" s="8" t="str">
        <f t="shared" si="180"/>
        <v>+</v>
      </c>
      <c r="AW765" s="2">
        <v>50</v>
      </c>
      <c r="AX765" s="8" t="str">
        <f t="shared" si="181"/>
        <v>+</v>
      </c>
      <c r="AY765" s="2">
        <v>50.4</v>
      </c>
      <c r="AZ765" s="8" t="str">
        <f t="shared" si="182"/>
        <v>+</v>
      </c>
      <c r="BA765" s="2">
        <v>50.5</v>
      </c>
      <c r="BB765" s="8" t="str">
        <f t="shared" si="183"/>
        <v>+</v>
      </c>
      <c r="BC765" s="2">
        <v>45</v>
      </c>
      <c r="BD765" s="8" t="str">
        <f t="shared" si="184"/>
        <v>-</v>
      </c>
      <c r="BE765" s="2">
        <v>52.5</v>
      </c>
      <c r="BF765" s="8" t="str">
        <f t="shared" si="175"/>
        <v>+</v>
      </c>
      <c r="BG765" s="2">
        <v>46.5</v>
      </c>
      <c r="BH765" s="8" t="str">
        <f t="shared" si="185"/>
        <v>-</v>
      </c>
      <c r="BI765" s="2">
        <v>54.5</v>
      </c>
      <c r="BJ765" s="8" t="str">
        <f t="shared" si="186"/>
        <v>+</v>
      </c>
      <c r="BK765" s="2">
        <v>56</v>
      </c>
      <c r="BL765" s="8" t="str">
        <f t="shared" si="187"/>
        <v>+</v>
      </c>
    </row>
    <row r="766" spans="1:64">
      <c r="A766" s="1">
        <v>41518</v>
      </c>
      <c r="B766">
        <v>56.3</v>
      </c>
      <c r="C766">
        <v>63.6</v>
      </c>
      <c r="D766">
        <v>55</v>
      </c>
      <c r="E766">
        <v>63</v>
      </c>
      <c r="F766">
        <v>52.4</v>
      </c>
      <c r="G766">
        <v>47.5</v>
      </c>
      <c r="H766">
        <v>42.5</v>
      </c>
      <c r="I766">
        <v>54</v>
      </c>
      <c r="J766">
        <v>46.5</v>
      </c>
      <c r="K766">
        <v>55.5</v>
      </c>
      <c r="L766">
        <v>58</v>
      </c>
      <c r="W766" s="1">
        <v>41518</v>
      </c>
      <c r="X766">
        <v>1681.5500489999999</v>
      </c>
      <c r="Y766" s="4">
        <f t="shared" si="174"/>
        <v>2.9749523177239098E-2</v>
      </c>
      <c r="Z766" s="4">
        <f t="shared" si="176"/>
        <v>0.16719998170517938</v>
      </c>
      <c r="AA766">
        <v>56.3</v>
      </c>
      <c r="AB766">
        <f t="shared" si="177"/>
        <v>51.1</v>
      </c>
      <c r="AP766" s="3">
        <v>41487</v>
      </c>
      <c r="AQ766" s="2">
        <v>54.9</v>
      </c>
      <c r="AR766" s="2" t="str">
        <f t="shared" si="178"/>
        <v>+</v>
      </c>
      <c r="AS766" s="2">
        <v>59.1</v>
      </c>
      <c r="AT766" s="8" t="str">
        <f t="shared" si="179"/>
        <v>+</v>
      </c>
      <c r="AU766" s="2">
        <v>60.8</v>
      </c>
      <c r="AV766" s="8" t="str">
        <f t="shared" si="180"/>
        <v>+</v>
      </c>
      <c r="AW766" s="2">
        <v>55.5</v>
      </c>
      <c r="AX766" s="8" t="str">
        <f t="shared" si="181"/>
        <v>+</v>
      </c>
      <c r="AY766" s="2">
        <v>52</v>
      </c>
      <c r="AZ766" s="8" t="str">
        <f t="shared" si="182"/>
        <v>+</v>
      </c>
      <c r="BA766" s="2">
        <v>47</v>
      </c>
      <c r="BB766" s="8" t="str">
        <f t="shared" si="183"/>
        <v>-</v>
      </c>
      <c r="BC766" s="2">
        <v>47.5</v>
      </c>
      <c r="BD766" s="8" t="str">
        <f t="shared" si="184"/>
        <v>+</v>
      </c>
      <c r="BE766" s="2">
        <v>49</v>
      </c>
      <c r="BF766" s="8" t="str">
        <f t="shared" si="175"/>
        <v>-</v>
      </c>
      <c r="BG766" s="2">
        <v>45</v>
      </c>
      <c r="BH766" s="8" t="str">
        <f t="shared" si="185"/>
        <v>-</v>
      </c>
      <c r="BI766" s="2">
        <v>53.5</v>
      </c>
      <c r="BJ766" s="8" t="str">
        <f t="shared" si="186"/>
        <v>-</v>
      </c>
      <c r="BK766" s="2">
        <v>57.5</v>
      </c>
      <c r="BL766" s="8" t="str">
        <f t="shared" si="187"/>
        <v>+</v>
      </c>
    </row>
    <row r="767" spans="1:64">
      <c r="A767" s="1">
        <v>41548</v>
      </c>
      <c r="B767">
        <v>56</v>
      </c>
      <c r="C767">
        <v>61.3</v>
      </c>
      <c r="D767">
        <v>54.8</v>
      </c>
      <c r="E767">
        <v>61.2</v>
      </c>
      <c r="F767">
        <v>52.7</v>
      </c>
      <c r="G767">
        <v>50</v>
      </c>
      <c r="H767">
        <v>43</v>
      </c>
      <c r="I767">
        <v>56.5</v>
      </c>
      <c r="J767">
        <v>49.5</v>
      </c>
      <c r="K767">
        <v>52</v>
      </c>
      <c r="L767">
        <v>55</v>
      </c>
      <c r="W767" s="1">
        <v>41548</v>
      </c>
      <c r="X767">
        <v>1756.540039</v>
      </c>
      <c r="Y767" s="4">
        <f t="shared" si="174"/>
        <v>4.45957526180061E-2</v>
      </c>
      <c r="Z767" s="4">
        <f t="shared" si="176"/>
        <v>0.24386754808839178</v>
      </c>
      <c r="AA767">
        <v>56</v>
      </c>
      <c r="AB767">
        <f t="shared" si="177"/>
        <v>52.2</v>
      </c>
      <c r="AP767" s="3">
        <v>41518</v>
      </c>
      <c r="AQ767" s="2">
        <v>56.3</v>
      </c>
      <c r="AR767" s="2" t="str">
        <f t="shared" si="178"/>
        <v>+</v>
      </c>
      <c r="AS767" s="2">
        <v>63.6</v>
      </c>
      <c r="AT767" s="8" t="str">
        <f t="shared" si="179"/>
        <v>+</v>
      </c>
      <c r="AU767" s="2">
        <v>63</v>
      </c>
      <c r="AV767" s="8" t="str">
        <f t="shared" si="180"/>
        <v>+</v>
      </c>
      <c r="AW767" s="2">
        <v>55</v>
      </c>
      <c r="AX767" s="8" t="str">
        <f t="shared" si="181"/>
        <v>-</v>
      </c>
      <c r="AY767" s="2">
        <v>52.4</v>
      </c>
      <c r="AZ767" s="8" t="str">
        <f t="shared" si="182"/>
        <v>+</v>
      </c>
      <c r="BA767" s="2">
        <v>47.5</v>
      </c>
      <c r="BB767" s="8" t="str">
        <f t="shared" si="183"/>
        <v>+</v>
      </c>
      <c r="BC767" s="2">
        <v>42.5</v>
      </c>
      <c r="BD767" s="8" t="str">
        <f t="shared" si="184"/>
        <v>-</v>
      </c>
      <c r="BE767" s="2">
        <v>54</v>
      </c>
      <c r="BF767" s="8" t="str">
        <f t="shared" si="175"/>
        <v>+</v>
      </c>
      <c r="BG767" s="2">
        <v>46.5</v>
      </c>
      <c r="BH767" s="8" t="str">
        <f t="shared" si="185"/>
        <v>+</v>
      </c>
      <c r="BI767" s="2">
        <v>55.5</v>
      </c>
      <c r="BJ767" s="8" t="str">
        <f t="shared" si="186"/>
        <v>+</v>
      </c>
      <c r="BK767" s="2">
        <v>58</v>
      </c>
      <c r="BL767" s="8" t="str">
        <f t="shared" si="187"/>
        <v>+</v>
      </c>
    </row>
    <row r="768" spans="1:64">
      <c r="A768" s="1">
        <v>41579</v>
      </c>
      <c r="B768">
        <v>56.6</v>
      </c>
      <c r="C768">
        <v>61.3</v>
      </c>
      <c r="D768">
        <v>54.3</v>
      </c>
      <c r="E768">
        <v>60.8</v>
      </c>
      <c r="F768">
        <v>54.1</v>
      </c>
      <c r="G768">
        <v>52.5</v>
      </c>
      <c r="H768">
        <v>47</v>
      </c>
      <c r="I768">
        <v>55.5</v>
      </c>
      <c r="J768">
        <v>51.5</v>
      </c>
      <c r="K768">
        <v>57</v>
      </c>
      <c r="L768">
        <v>55.5</v>
      </c>
      <c r="W768" s="1">
        <v>41579</v>
      </c>
      <c r="X768">
        <v>1805.8100589999999</v>
      </c>
      <c r="Y768" s="4">
        <f t="shared" si="174"/>
        <v>2.8049471635186524E-2</v>
      </c>
      <c r="Z768" s="4">
        <f t="shared" si="176"/>
        <v>0.27512744858924554</v>
      </c>
      <c r="AA768">
        <v>56.6</v>
      </c>
      <c r="AB768">
        <f t="shared" si="177"/>
        <v>51.2</v>
      </c>
      <c r="AP768" s="3">
        <v>41548</v>
      </c>
      <c r="AQ768" s="2">
        <v>56</v>
      </c>
      <c r="AR768" s="2" t="str">
        <f t="shared" si="178"/>
        <v>-</v>
      </c>
      <c r="AS768" s="2">
        <v>61.3</v>
      </c>
      <c r="AT768" s="8" t="str">
        <f t="shared" si="179"/>
        <v>-</v>
      </c>
      <c r="AU768" s="2">
        <v>61.2</v>
      </c>
      <c r="AV768" s="8" t="str">
        <f t="shared" si="180"/>
        <v>-</v>
      </c>
      <c r="AW768" s="2">
        <v>54.8</v>
      </c>
      <c r="AX768" s="8" t="str">
        <f t="shared" si="181"/>
        <v>-</v>
      </c>
      <c r="AY768" s="2">
        <v>52.7</v>
      </c>
      <c r="AZ768" s="8" t="str">
        <f t="shared" si="182"/>
        <v>+</v>
      </c>
      <c r="BA768" s="2">
        <v>50</v>
      </c>
      <c r="BB768" s="8" t="str">
        <f t="shared" si="183"/>
        <v>+</v>
      </c>
      <c r="BC768" s="2">
        <v>43</v>
      </c>
      <c r="BD768" s="8" t="str">
        <f t="shared" si="184"/>
        <v>+</v>
      </c>
      <c r="BE768" s="2">
        <v>56.5</v>
      </c>
      <c r="BF768" s="8" t="str">
        <f t="shared" si="175"/>
        <v>+</v>
      </c>
      <c r="BG768" s="2">
        <v>49.5</v>
      </c>
      <c r="BH768" s="8" t="str">
        <f t="shared" si="185"/>
        <v>+</v>
      </c>
      <c r="BI768" s="2">
        <v>52</v>
      </c>
      <c r="BJ768" s="8" t="str">
        <f t="shared" si="186"/>
        <v>-</v>
      </c>
      <c r="BK768" s="2">
        <v>55</v>
      </c>
      <c r="BL768" s="8" t="str">
        <f t="shared" si="187"/>
        <v>-</v>
      </c>
    </row>
    <row r="769" spans="1:64">
      <c r="A769" s="1">
        <v>41609</v>
      </c>
      <c r="B769">
        <v>57</v>
      </c>
      <c r="C769">
        <v>63.4</v>
      </c>
      <c r="D769">
        <v>55.4</v>
      </c>
      <c r="E769">
        <v>62.4</v>
      </c>
      <c r="F769">
        <v>53.3</v>
      </c>
      <c r="G769">
        <v>50.5</v>
      </c>
      <c r="H769">
        <v>45</v>
      </c>
      <c r="I769">
        <v>52.5</v>
      </c>
      <c r="J769">
        <v>54</v>
      </c>
      <c r="K769">
        <v>59.5</v>
      </c>
      <c r="L769">
        <v>55</v>
      </c>
      <c r="W769" s="1">
        <v>41609</v>
      </c>
      <c r="X769">
        <v>1848.3599850000001</v>
      </c>
      <c r="Y769" s="4">
        <f t="shared" si="174"/>
        <v>2.3562791550492821E-2</v>
      </c>
      <c r="Z769" s="4">
        <f t="shared" si="176"/>
        <v>0.29601249585590783</v>
      </c>
      <c r="AA769">
        <v>57</v>
      </c>
      <c r="AB769">
        <f t="shared" si="177"/>
        <v>49.5</v>
      </c>
      <c r="AP769" s="3">
        <v>41579</v>
      </c>
      <c r="AQ769" s="2">
        <v>56.6</v>
      </c>
      <c r="AR769" s="2" t="str">
        <f t="shared" si="178"/>
        <v>+</v>
      </c>
      <c r="AS769" s="2">
        <v>61.3</v>
      </c>
      <c r="AT769" s="8" t="str">
        <f t="shared" si="179"/>
        <v>+</v>
      </c>
      <c r="AU769" s="2">
        <v>60.8</v>
      </c>
      <c r="AV769" s="8" t="str">
        <f t="shared" si="180"/>
        <v>-</v>
      </c>
      <c r="AW769" s="2">
        <v>54.3</v>
      </c>
      <c r="AX769" s="8" t="str">
        <f t="shared" si="181"/>
        <v>-</v>
      </c>
      <c r="AY769" s="2">
        <v>54.1</v>
      </c>
      <c r="AZ769" s="8" t="str">
        <f t="shared" si="182"/>
        <v>+</v>
      </c>
      <c r="BA769" s="2">
        <v>52.5</v>
      </c>
      <c r="BB769" s="8" t="str">
        <f t="shared" si="183"/>
        <v>+</v>
      </c>
      <c r="BC769" s="2">
        <v>47</v>
      </c>
      <c r="BD769" s="8" t="str">
        <f t="shared" si="184"/>
        <v>+</v>
      </c>
      <c r="BE769" s="2">
        <v>55.5</v>
      </c>
      <c r="BF769" s="8" t="str">
        <f t="shared" si="175"/>
        <v>-</v>
      </c>
      <c r="BG769" s="2">
        <v>51.5</v>
      </c>
      <c r="BH769" s="8" t="str">
        <f t="shared" si="185"/>
        <v>+</v>
      </c>
      <c r="BI769" s="2">
        <v>57</v>
      </c>
      <c r="BJ769" s="8" t="str">
        <f t="shared" si="186"/>
        <v>+</v>
      </c>
      <c r="BK769" s="2">
        <v>55.5</v>
      </c>
      <c r="BL769" s="8" t="str">
        <f t="shared" si="187"/>
        <v>+</v>
      </c>
    </row>
    <row r="770" spans="1:64">
      <c r="A770" s="1">
        <v>41640</v>
      </c>
      <c r="B770">
        <v>56.5</v>
      </c>
      <c r="C770">
        <v>64.400000000000006</v>
      </c>
      <c r="D770">
        <v>55.8</v>
      </c>
      <c r="E770">
        <v>61.7</v>
      </c>
      <c r="F770">
        <v>53.7</v>
      </c>
      <c r="G770">
        <v>47</v>
      </c>
      <c r="H770">
        <v>47.5</v>
      </c>
      <c r="I770">
        <v>53.5</v>
      </c>
      <c r="J770">
        <v>51.5</v>
      </c>
      <c r="K770">
        <v>55</v>
      </c>
      <c r="L770">
        <v>55</v>
      </c>
      <c r="W770" s="1">
        <v>41640</v>
      </c>
      <c r="X770">
        <v>1782.589966</v>
      </c>
      <c r="Y770" s="4">
        <f t="shared" si="174"/>
        <v>-3.5582905675162646E-2</v>
      </c>
      <c r="Z770" s="4">
        <f t="shared" si="176"/>
        <v>0.18989258722549662</v>
      </c>
      <c r="AA770">
        <v>56.5</v>
      </c>
      <c r="AB770">
        <f t="shared" si="177"/>
        <v>50.4</v>
      </c>
      <c r="AP770" s="3">
        <v>41609</v>
      </c>
      <c r="AQ770" s="2">
        <v>57</v>
      </c>
      <c r="AR770" s="2" t="str">
        <f t="shared" si="178"/>
        <v>+</v>
      </c>
      <c r="AS770" s="2">
        <v>63.4</v>
      </c>
      <c r="AT770" s="8" t="str">
        <f t="shared" si="179"/>
        <v>+</v>
      </c>
      <c r="AU770" s="2">
        <v>62.4</v>
      </c>
      <c r="AV770" s="8" t="str">
        <f t="shared" si="180"/>
        <v>+</v>
      </c>
      <c r="AW770" s="2">
        <v>55.4</v>
      </c>
      <c r="AX770" s="8" t="str">
        <f t="shared" si="181"/>
        <v>+</v>
      </c>
      <c r="AY770" s="2">
        <v>53.3</v>
      </c>
      <c r="AZ770" s="8" t="str">
        <f t="shared" si="182"/>
        <v>-</v>
      </c>
      <c r="BA770" s="2">
        <v>50.5</v>
      </c>
      <c r="BB770" s="8" t="str">
        <f t="shared" si="183"/>
        <v>-</v>
      </c>
      <c r="BC770" s="2">
        <v>45</v>
      </c>
      <c r="BD770" s="8" t="str">
        <f t="shared" si="184"/>
        <v>-</v>
      </c>
      <c r="BE770" s="2">
        <v>52.5</v>
      </c>
      <c r="BF770" s="8" t="str">
        <f t="shared" si="175"/>
        <v>-</v>
      </c>
      <c r="BG770" s="2">
        <v>54</v>
      </c>
      <c r="BH770" s="8" t="str">
        <f t="shared" si="185"/>
        <v>+</v>
      </c>
      <c r="BI770" s="2">
        <v>59.5</v>
      </c>
      <c r="BJ770" s="8" t="str">
        <f t="shared" si="186"/>
        <v>+</v>
      </c>
      <c r="BK770" s="2">
        <v>55</v>
      </c>
      <c r="BL770" s="8" t="str">
        <f t="shared" si="187"/>
        <v>-</v>
      </c>
    </row>
    <row r="771" spans="1:64">
      <c r="A771" s="1">
        <v>41671</v>
      </c>
      <c r="B771">
        <v>51.3</v>
      </c>
      <c r="C771">
        <v>51.2</v>
      </c>
      <c r="D771">
        <v>52.3</v>
      </c>
      <c r="E771">
        <v>54.8</v>
      </c>
      <c r="F771">
        <v>54.3</v>
      </c>
      <c r="G771">
        <v>44</v>
      </c>
      <c r="H771">
        <v>44</v>
      </c>
      <c r="I771">
        <v>60.5</v>
      </c>
      <c r="J771">
        <v>48</v>
      </c>
      <c r="K771">
        <v>54.5</v>
      </c>
      <c r="L771">
        <v>53.5</v>
      </c>
      <c r="W771" s="1">
        <v>41671</v>
      </c>
      <c r="X771">
        <v>1859.4499510000001</v>
      </c>
      <c r="Y771" s="4">
        <f t="shared" si="174"/>
        <v>4.3117029976595334E-2</v>
      </c>
      <c r="Z771" s="4">
        <f t="shared" si="176"/>
        <v>0.22761895892767869</v>
      </c>
      <c r="AA771">
        <v>51.3</v>
      </c>
      <c r="AB771">
        <f t="shared" si="177"/>
        <v>52.3</v>
      </c>
      <c r="AP771" s="3">
        <v>41640</v>
      </c>
      <c r="AQ771" s="2">
        <v>56.5</v>
      </c>
      <c r="AR771" s="2" t="str">
        <f t="shared" si="178"/>
        <v>-</v>
      </c>
      <c r="AS771" s="2">
        <v>64.400000000000006</v>
      </c>
      <c r="AT771" s="8" t="str">
        <f t="shared" si="179"/>
        <v>+</v>
      </c>
      <c r="AU771" s="2">
        <v>61.7</v>
      </c>
      <c r="AV771" s="8" t="str">
        <f t="shared" si="180"/>
        <v>-</v>
      </c>
      <c r="AW771" s="2">
        <v>55.8</v>
      </c>
      <c r="AX771" s="8" t="str">
        <f t="shared" si="181"/>
        <v>+</v>
      </c>
      <c r="AY771" s="2">
        <v>53.7</v>
      </c>
      <c r="AZ771" s="8" t="str">
        <f t="shared" si="182"/>
        <v>+</v>
      </c>
      <c r="BA771" s="2">
        <v>47</v>
      </c>
      <c r="BB771" s="8" t="str">
        <f t="shared" si="183"/>
        <v>-</v>
      </c>
      <c r="BC771" s="2">
        <v>47.5</v>
      </c>
      <c r="BD771" s="8" t="str">
        <f t="shared" si="184"/>
        <v>+</v>
      </c>
      <c r="BE771" s="2">
        <v>53.5</v>
      </c>
      <c r="BF771" s="8" t="str">
        <f t="shared" si="175"/>
        <v>+</v>
      </c>
      <c r="BG771" s="2">
        <v>51.5</v>
      </c>
      <c r="BH771" s="8" t="str">
        <f t="shared" si="185"/>
        <v>-</v>
      </c>
      <c r="BI771" s="2">
        <v>55</v>
      </c>
      <c r="BJ771" s="8" t="str">
        <f t="shared" si="186"/>
        <v>-</v>
      </c>
      <c r="BK771" s="2">
        <v>55</v>
      </c>
      <c r="BL771" s="8" t="str">
        <f t="shared" si="187"/>
        <v>+</v>
      </c>
    </row>
    <row r="772" spans="1:64">
      <c r="A772" s="1">
        <v>41699</v>
      </c>
      <c r="B772">
        <v>54.3</v>
      </c>
      <c r="C772">
        <v>54.5</v>
      </c>
      <c r="D772">
        <v>52.3</v>
      </c>
      <c r="E772">
        <v>48.2</v>
      </c>
      <c r="F772">
        <v>58.5</v>
      </c>
      <c r="G772">
        <v>52.5</v>
      </c>
      <c r="H772">
        <v>46.5</v>
      </c>
      <c r="I772">
        <v>60</v>
      </c>
      <c r="J772">
        <v>52</v>
      </c>
      <c r="K772">
        <v>53.5</v>
      </c>
      <c r="L772">
        <v>53.5</v>
      </c>
      <c r="W772" s="1">
        <v>41699</v>
      </c>
      <c r="X772">
        <v>1872.339966</v>
      </c>
      <c r="Y772" s="4">
        <f t="shared" ref="Y772:Y833" si="188">(X772-X771)/X771</f>
        <v>6.9321656079357136E-3</v>
      </c>
      <c r="Z772" s="4">
        <f t="shared" si="176"/>
        <v>0.19318886584680184</v>
      </c>
      <c r="AA772">
        <v>54.3</v>
      </c>
      <c r="AB772">
        <f t="shared" si="177"/>
        <v>53.1</v>
      </c>
      <c r="AP772" s="3">
        <v>41671</v>
      </c>
      <c r="AQ772" s="2">
        <v>51.3</v>
      </c>
      <c r="AR772" s="2" t="str">
        <f t="shared" si="178"/>
        <v>-</v>
      </c>
      <c r="AS772" s="2">
        <v>51.2</v>
      </c>
      <c r="AT772" s="8" t="str">
        <f t="shared" si="179"/>
        <v>-</v>
      </c>
      <c r="AU772" s="2">
        <v>54.8</v>
      </c>
      <c r="AV772" s="8" t="str">
        <f t="shared" si="180"/>
        <v>-</v>
      </c>
      <c r="AW772" s="2">
        <v>52.3</v>
      </c>
      <c r="AX772" s="8" t="str">
        <f t="shared" si="181"/>
        <v>-</v>
      </c>
      <c r="AY772" s="2">
        <v>54.3</v>
      </c>
      <c r="AZ772" s="8" t="str">
        <f t="shared" si="182"/>
        <v>+</v>
      </c>
      <c r="BA772" s="2">
        <v>44</v>
      </c>
      <c r="BB772" s="8" t="str">
        <f t="shared" si="183"/>
        <v>-</v>
      </c>
      <c r="BC772" s="2">
        <v>44</v>
      </c>
      <c r="BD772" s="8" t="str">
        <f t="shared" si="184"/>
        <v>-</v>
      </c>
      <c r="BE772" s="2">
        <v>60.5</v>
      </c>
      <c r="BF772" s="8" t="str">
        <f t="shared" si="175"/>
        <v>+</v>
      </c>
      <c r="BG772" s="2">
        <v>48</v>
      </c>
      <c r="BH772" s="8" t="str">
        <f t="shared" si="185"/>
        <v>-</v>
      </c>
      <c r="BI772" s="2">
        <v>54.5</v>
      </c>
      <c r="BJ772" s="8" t="str">
        <f t="shared" si="186"/>
        <v>-</v>
      </c>
      <c r="BK772" s="2">
        <v>53.5</v>
      </c>
      <c r="BL772" s="8" t="str">
        <f t="shared" si="187"/>
        <v>-</v>
      </c>
    </row>
    <row r="773" spans="1:64">
      <c r="A773" s="1">
        <v>41730</v>
      </c>
      <c r="B773">
        <v>54.4</v>
      </c>
      <c r="C773">
        <v>55.1</v>
      </c>
      <c r="D773">
        <v>51.1</v>
      </c>
      <c r="E773">
        <v>55.9</v>
      </c>
      <c r="F773">
        <v>54</v>
      </c>
      <c r="G773">
        <v>52.5</v>
      </c>
      <c r="H773">
        <v>42</v>
      </c>
      <c r="I773">
        <v>59</v>
      </c>
      <c r="J773">
        <v>57.5</v>
      </c>
      <c r="K773">
        <v>55.5</v>
      </c>
      <c r="L773">
        <v>54.5</v>
      </c>
      <c r="W773" s="1">
        <v>41730</v>
      </c>
      <c r="X773">
        <v>1883.9499510000001</v>
      </c>
      <c r="Y773" s="4">
        <f t="shared" si="188"/>
        <v>6.2007889650527552E-3</v>
      </c>
      <c r="Z773" s="4">
        <f t="shared" si="176"/>
        <v>0.17925975993541879</v>
      </c>
      <c r="AA773">
        <v>54.4</v>
      </c>
      <c r="AB773">
        <f t="shared" si="177"/>
        <v>51.5</v>
      </c>
      <c r="AP773" s="3">
        <v>41699</v>
      </c>
      <c r="AQ773" s="2">
        <v>54.3</v>
      </c>
      <c r="AR773" s="2" t="str">
        <f t="shared" si="178"/>
        <v>+</v>
      </c>
      <c r="AS773" s="2">
        <v>54.5</v>
      </c>
      <c r="AT773" s="8" t="str">
        <f t="shared" si="179"/>
        <v>+</v>
      </c>
      <c r="AU773" s="2">
        <v>48.2</v>
      </c>
      <c r="AV773" s="8" t="str">
        <f t="shared" si="180"/>
        <v>-</v>
      </c>
      <c r="AW773" s="2">
        <v>52.3</v>
      </c>
      <c r="AX773" s="8" t="str">
        <f t="shared" si="181"/>
        <v>+</v>
      </c>
      <c r="AY773" s="2">
        <v>58.5</v>
      </c>
      <c r="AZ773" s="8" t="str">
        <f t="shared" si="182"/>
        <v>+</v>
      </c>
      <c r="BA773" s="2">
        <v>52.5</v>
      </c>
      <c r="BB773" s="8" t="str">
        <f t="shared" si="183"/>
        <v>+</v>
      </c>
      <c r="BC773" s="2">
        <v>46.5</v>
      </c>
      <c r="BD773" s="8" t="str">
        <f t="shared" si="184"/>
        <v>+</v>
      </c>
      <c r="BE773" s="2">
        <v>60</v>
      </c>
      <c r="BF773" s="8" t="str">
        <f t="shared" si="175"/>
        <v>-</v>
      </c>
      <c r="BG773" s="2">
        <v>52</v>
      </c>
      <c r="BH773" s="8" t="str">
        <f t="shared" si="185"/>
        <v>+</v>
      </c>
      <c r="BI773" s="2">
        <v>53.5</v>
      </c>
      <c r="BJ773" s="8" t="str">
        <f t="shared" si="186"/>
        <v>-</v>
      </c>
      <c r="BK773" s="2">
        <v>53.5</v>
      </c>
      <c r="BL773" s="8" t="str">
        <f t="shared" si="187"/>
        <v>+</v>
      </c>
    </row>
    <row r="774" spans="1:64">
      <c r="A774" s="1">
        <v>41760</v>
      </c>
      <c r="B774">
        <v>55.3</v>
      </c>
      <c r="C774">
        <v>55.1</v>
      </c>
      <c r="D774">
        <v>54.7</v>
      </c>
      <c r="E774">
        <v>55.7</v>
      </c>
      <c r="F774">
        <v>55.9</v>
      </c>
      <c r="G774">
        <v>53</v>
      </c>
      <c r="H774">
        <v>42</v>
      </c>
      <c r="I774">
        <v>56.5</v>
      </c>
      <c r="J774">
        <v>55.5</v>
      </c>
      <c r="K774">
        <v>57</v>
      </c>
      <c r="L774">
        <v>58</v>
      </c>
      <c r="W774" s="1">
        <v>41760</v>
      </c>
      <c r="X774">
        <v>1923.5699460000001</v>
      </c>
      <c r="Y774" s="4">
        <f t="shared" si="188"/>
        <v>2.103028001299596E-2</v>
      </c>
      <c r="Z774" s="4">
        <f t="shared" si="176"/>
        <v>0.179568758843033</v>
      </c>
      <c r="AA774">
        <v>55.3</v>
      </c>
      <c r="AB774">
        <f t="shared" si="177"/>
        <v>50</v>
      </c>
      <c r="AP774" s="3">
        <v>41730</v>
      </c>
      <c r="AQ774" s="2">
        <v>54.4</v>
      </c>
      <c r="AR774" s="2" t="str">
        <f t="shared" si="178"/>
        <v>+</v>
      </c>
      <c r="AS774" s="2">
        <v>55.1</v>
      </c>
      <c r="AT774" s="8" t="str">
        <f t="shared" si="179"/>
        <v>+</v>
      </c>
      <c r="AU774" s="2">
        <v>55.9</v>
      </c>
      <c r="AV774" s="8" t="str">
        <f t="shared" si="180"/>
        <v>+</v>
      </c>
      <c r="AW774" s="2">
        <v>51.1</v>
      </c>
      <c r="AX774" s="8" t="str">
        <f t="shared" si="181"/>
        <v>-</v>
      </c>
      <c r="AY774" s="2">
        <v>54</v>
      </c>
      <c r="AZ774" s="8" t="str">
        <f t="shared" si="182"/>
        <v>-</v>
      </c>
      <c r="BA774" s="2">
        <v>52.5</v>
      </c>
      <c r="BB774" s="8" t="str">
        <f t="shared" si="183"/>
        <v>+</v>
      </c>
      <c r="BC774" s="2">
        <v>42</v>
      </c>
      <c r="BD774" s="8" t="str">
        <f t="shared" si="184"/>
        <v>-</v>
      </c>
      <c r="BE774" s="2">
        <v>59</v>
      </c>
      <c r="BF774" s="8" t="str">
        <f t="shared" ref="BF774:BF834" si="189">IF(OR(BE774&gt;BE773,BE774=BE773),"+","-")</f>
        <v>-</v>
      </c>
      <c r="BG774" s="2">
        <v>57.5</v>
      </c>
      <c r="BH774" s="8" t="str">
        <f t="shared" si="185"/>
        <v>+</v>
      </c>
      <c r="BI774" s="2">
        <v>55.5</v>
      </c>
      <c r="BJ774" s="8" t="str">
        <f t="shared" si="186"/>
        <v>+</v>
      </c>
      <c r="BK774" s="2">
        <v>54.5</v>
      </c>
      <c r="BL774" s="8" t="str">
        <f t="shared" si="187"/>
        <v>+</v>
      </c>
    </row>
    <row r="775" spans="1:64">
      <c r="A775" s="1">
        <v>41791</v>
      </c>
      <c r="B775">
        <v>55.6</v>
      </c>
      <c r="C775">
        <v>56.9</v>
      </c>
      <c r="D775">
        <v>52.8</v>
      </c>
      <c r="E775">
        <v>61</v>
      </c>
      <c r="F775">
        <v>53.2</v>
      </c>
      <c r="G775">
        <v>53</v>
      </c>
      <c r="H775">
        <v>46.5</v>
      </c>
      <c r="I775">
        <v>60</v>
      </c>
      <c r="J775">
        <v>52.5</v>
      </c>
      <c r="K775">
        <v>56.5</v>
      </c>
      <c r="L775">
        <v>54.5</v>
      </c>
      <c r="W775" s="1">
        <v>41791</v>
      </c>
      <c r="X775">
        <v>1960.2299800000001</v>
      </c>
      <c r="Y775" s="4">
        <f t="shared" si="188"/>
        <v>1.9058331658920603E-2</v>
      </c>
      <c r="Z775" s="4">
        <f t="shared" si="176"/>
        <v>0.22035382661163624</v>
      </c>
      <c r="AA775">
        <v>55.6</v>
      </c>
      <c r="AB775">
        <f t="shared" si="177"/>
        <v>50</v>
      </c>
      <c r="AP775" s="3">
        <v>41760</v>
      </c>
      <c r="AQ775" s="2">
        <v>55.3</v>
      </c>
      <c r="AR775" s="2" t="str">
        <f t="shared" si="178"/>
        <v>+</v>
      </c>
      <c r="AS775" s="2">
        <v>55.1</v>
      </c>
      <c r="AT775" s="8" t="str">
        <f t="shared" si="179"/>
        <v>+</v>
      </c>
      <c r="AU775" s="2">
        <v>55.7</v>
      </c>
      <c r="AV775" s="8" t="str">
        <f t="shared" si="180"/>
        <v>-</v>
      </c>
      <c r="AW775" s="2">
        <v>54.7</v>
      </c>
      <c r="AX775" s="8" t="str">
        <f t="shared" si="181"/>
        <v>+</v>
      </c>
      <c r="AY775" s="2">
        <v>55.9</v>
      </c>
      <c r="AZ775" s="8" t="str">
        <f t="shared" si="182"/>
        <v>+</v>
      </c>
      <c r="BA775" s="2">
        <v>53</v>
      </c>
      <c r="BB775" s="8" t="str">
        <f t="shared" si="183"/>
        <v>+</v>
      </c>
      <c r="BC775" s="2">
        <v>42</v>
      </c>
      <c r="BD775" s="8" t="str">
        <f t="shared" si="184"/>
        <v>+</v>
      </c>
      <c r="BE775" s="2">
        <v>56.5</v>
      </c>
      <c r="BF775" s="8" t="str">
        <f t="shared" si="189"/>
        <v>-</v>
      </c>
      <c r="BG775" s="2">
        <v>55.5</v>
      </c>
      <c r="BH775" s="8" t="str">
        <f t="shared" si="185"/>
        <v>-</v>
      </c>
      <c r="BI775" s="2">
        <v>57</v>
      </c>
      <c r="BJ775" s="8" t="str">
        <f t="shared" si="186"/>
        <v>+</v>
      </c>
      <c r="BK775" s="2">
        <v>58</v>
      </c>
      <c r="BL775" s="8" t="str">
        <f t="shared" si="187"/>
        <v>+</v>
      </c>
    </row>
    <row r="776" spans="1:64">
      <c r="A776" s="1">
        <v>41821</v>
      </c>
      <c r="B776">
        <v>55.7</v>
      </c>
      <c r="C776">
        <v>58.9</v>
      </c>
      <c r="D776">
        <v>52.8</v>
      </c>
      <c r="E776">
        <v>60</v>
      </c>
      <c r="F776">
        <v>51.9</v>
      </c>
      <c r="G776">
        <v>53</v>
      </c>
      <c r="H776">
        <v>46.5</v>
      </c>
      <c r="I776">
        <v>58</v>
      </c>
      <c r="J776">
        <v>48</v>
      </c>
      <c r="K776">
        <v>54.5</v>
      </c>
      <c r="L776">
        <v>57</v>
      </c>
      <c r="W776" s="1">
        <v>41821</v>
      </c>
      <c r="X776">
        <v>1930.670044</v>
      </c>
      <c r="Y776" s="4">
        <f t="shared" si="188"/>
        <v>-1.5079830581919834E-2</v>
      </c>
      <c r="Z776" s="4">
        <f t="shared" si="176"/>
        <v>0.1453020750096643</v>
      </c>
      <c r="AA776">
        <v>55.7</v>
      </c>
      <c r="AB776">
        <f t="shared" si="177"/>
        <v>52.5</v>
      </c>
      <c r="AP776" s="3">
        <v>41791</v>
      </c>
      <c r="AQ776" s="2">
        <v>55.6</v>
      </c>
      <c r="AR776" s="2" t="str">
        <f t="shared" si="178"/>
        <v>+</v>
      </c>
      <c r="AS776" s="2">
        <v>56.9</v>
      </c>
      <c r="AT776" s="8" t="str">
        <f t="shared" si="179"/>
        <v>+</v>
      </c>
      <c r="AU776" s="2">
        <v>61</v>
      </c>
      <c r="AV776" s="8" t="str">
        <f t="shared" si="180"/>
        <v>+</v>
      </c>
      <c r="AW776" s="2">
        <v>52.8</v>
      </c>
      <c r="AX776" s="8" t="str">
        <f t="shared" si="181"/>
        <v>-</v>
      </c>
      <c r="AY776" s="2">
        <v>53.2</v>
      </c>
      <c r="AZ776" s="8" t="str">
        <f t="shared" si="182"/>
        <v>-</v>
      </c>
      <c r="BA776" s="2">
        <v>53</v>
      </c>
      <c r="BB776" s="8" t="str">
        <f t="shared" si="183"/>
        <v>+</v>
      </c>
      <c r="BC776" s="2">
        <v>46.5</v>
      </c>
      <c r="BD776" s="8" t="str">
        <f t="shared" si="184"/>
        <v>+</v>
      </c>
      <c r="BE776" s="2">
        <v>60</v>
      </c>
      <c r="BF776" s="8" t="str">
        <f t="shared" si="189"/>
        <v>+</v>
      </c>
      <c r="BG776" s="2">
        <v>52.5</v>
      </c>
      <c r="BH776" s="8" t="str">
        <f t="shared" si="185"/>
        <v>-</v>
      </c>
      <c r="BI776" s="2">
        <v>56.5</v>
      </c>
      <c r="BJ776" s="8" t="str">
        <f t="shared" si="186"/>
        <v>-</v>
      </c>
      <c r="BK776" s="2">
        <v>54.5</v>
      </c>
      <c r="BL776" s="8" t="str">
        <f t="shared" si="187"/>
        <v>-</v>
      </c>
    </row>
    <row r="777" spans="1:64">
      <c r="A777" s="1">
        <v>41852</v>
      </c>
      <c r="B777">
        <v>56.4</v>
      </c>
      <c r="C777">
        <v>63.4</v>
      </c>
      <c r="D777">
        <v>58.2</v>
      </c>
      <c r="E777">
        <v>61.2</v>
      </c>
      <c r="F777">
        <v>54.1</v>
      </c>
      <c r="G777">
        <v>48.5</v>
      </c>
      <c r="H777">
        <v>43.5</v>
      </c>
      <c r="I777">
        <v>59.5</v>
      </c>
      <c r="J777">
        <v>49.5</v>
      </c>
      <c r="K777">
        <v>53</v>
      </c>
      <c r="L777">
        <v>52</v>
      </c>
      <c r="W777" s="1">
        <v>41852</v>
      </c>
      <c r="X777">
        <v>2003.369995</v>
      </c>
      <c r="Y777" s="4">
        <f t="shared" si="188"/>
        <v>3.7655295489735195E-2</v>
      </c>
      <c r="Z777" s="4">
        <f t="shared" si="176"/>
        <v>0.22682598613443825</v>
      </c>
      <c r="AA777">
        <v>56.4</v>
      </c>
      <c r="AB777">
        <f t="shared" si="177"/>
        <v>54.9</v>
      </c>
      <c r="AP777" s="3">
        <v>41821</v>
      </c>
      <c r="AQ777" s="2">
        <v>55.7</v>
      </c>
      <c r="AR777" s="2" t="str">
        <f t="shared" si="178"/>
        <v>+</v>
      </c>
      <c r="AS777" s="2">
        <v>58.9</v>
      </c>
      <c r="AT777" s="8" t="str">
        <f t="shared" si="179"/>
        <v>+</v>
      </c>
      <c r="AU777" s="2">
        <v>60</v>
      </c>
      <c r="AV777" s="8" t="str">
        <f t="shared" si="180"/>
        <v>-</v>
      </c>
      <c r="AW777" s="2">
        <v>52.8</v>
      </c>
      <c r="AX777" s="8" t="str">
        <f t="shared" si="181"/>
        <v>+</v>
      </c>
      <c r="AY777" s="2">
        <v>51.9</v>
      </c>
      <c r="AZ777" s="8" t="str">
        <f t="shared" si="182"/>
        <v>-</v>
      </c>
      <c r="BA777" s="2">
        <v>53</v>
      </c>
      <c r="BB777" s="8" t="str">
        <f t="shared" si="183"/>
        <v>+</v>
      </c>
      <c r="BC777" s="2">
        <v>46.5</v>
      </c>
      <c r="BD777" s="8" t="str">
        <f t="shared" si="184"/>
        <v>+</v>
      </c>
      <c r="BE777" s="2">
        <v>58</v>
      </c>
      <c r="BF777" s="8" t="str">
        <f t="shared" si="189"/>
        <v>-</v>
      </c>
      <c r="BG777" s="2">
        <v>48</v>
      </c>
      <c r="BH777" s="8" t="str">
        <f t="shared" si="185"/>
        <v>-</v>
      </c>
      <c r="BI777" s="2">
        <v>54.5</v>
      </c>
      <c r="BJ777" s="8" t="str">
        <f t="shared" si="186"/>
        <v>-</v>
      </c>
      <c r="BK777" s="2">
        <v>57</v>
      </c>
      <c r="BL777" s="8" t="str">
        <f t="shared" si="187"/>
        <v>+</v>
      </c>
    </row>
    <row r="778" spans="1:64">
      <c r="A778" s="1">
        <v>41883</v>
      </c>
      <c r="B778">
        <v>58.1</v>
      </c>
      <c r="C778">
        <v>66.7</v>
      </c>
      <c r="D778">
        <v>58.1</v>
      </c>
      <c r="E778">
        <v>64.5</v>
      </c>
      <c r="F778">
        <v>53.9</v>
      </c>
      <c r="G778">
        <v>52</v>
      </c>
      <c r="H778">
        <v>49</v>
      </c>
      <c r="I778">
        <v>58</v>
      </c>
      <c r="J778">
        <v>52.5</v>
      </c>
      <c r="K778">
        <v>55</v>
      </c>
      <c r="L778">
        <v>56</v>
      </c>
      <c r="W778" s="1">
        <v>41883</v>
      </c>
      <c r="X778">
        <v>1972.290039</v>
      </c>
      <c r="Y778" s="4">
        <f t="shared" si="188"/>
        <v>-1.5513837223063749E-2</v>
      </c>
      <c r="Z778" s="4">
        <f t="shared" si="176"/>
        <v>0.17289999198828487</v>
      </c>
      <c r="AA778">
        <v>58.1</v>
      </c>
      <c r="AB778">
        <f t="shared" si="177"/>
        <v>56.3</v>
      </c>
      <c r="AP778" s="3">
        <v>41852</v>
      </c>
      <c r="AQ778" s="2">
        <v>56.4</v>
      </c>
      <c r="AR778" s="2" t="str">
        <f t="shared" si="178"/>
        <v>+</v>
      </c>
      <c r="AS778" s="2">
        <v>63.4</v>
      </c>
      <c r="AT778" s="8" t="str">
        <f t="shared" si="179"/>
        <v>+</v>
      </c>
      <c r="AU778" s="2">
        <v>61.2</v>
      </c>
      <c r="AV778" s="8" t="str">
        <f t="shared" si="180"/>
        <v>+</v>
      </c>
      <c r="AW778" s="2">
        <v>58.2</v>
      </c>
      <c r="AX778" s="8" t="str">
        <f t="shared" si="181"/>
        <v>+</v>
      </c>
      <c r="AY778" s="2">
        <v>54.1</v>
      </c>
      <c r="AZ778" s="8" t="str">
        <f t="shared" si="182"/>
        <v>+</v>
      </c>
      <c r="BA778" s="2">
        <v>48.5</v>
      </c>
      <c r="BB778" s="8" t="str">
        <f t="shared" si="183"/>
        <v>-</v>
      </c>
      <c r="BC778" s="2">
        <v>43.5</v>
      </c>
      <c r="BD778" s="8" t="str">
        <f t="shared" si="184"/>
        <v>-</v>
      </c>
      <c r="BE778" s="2">
        <v>59.5</v>
      </c>
      <c r="BF778" s="8" t="str">
        <f t="shared" si="189"/>
        <v>+</v>
      </c>
      <c r="BG778" s="2">
        <v>49.5</v>
      </c>
      <c r="BH778" s="8" t="str">
        <f t="shared" si="185"/>
        <v>+</v>
      </c>
      <c r="BI778" s="2">
        <v>53</v>
      </c>
      <c r="BJ778" s="8" t="str">
        <f t="shared" si="186"/>
        <v>-</v>
      </c>
      <c r="BK778" s="2">
        <v>52</v>
      </c>
      <c r="BL778" s="8" t="str">
        <f t="shared" si="187"/>
        <v>-</v>
      </c>
    </row>
    <row r="779" spans="1:64">
      <c r="A779" s="1">
        <v>41913</v>
      </c>
      <c r="B779">
        <v>56.1</v>
      </c>
      <c r="C779">
        <v>60</v>
      </c>
      <c r="D779">
        <v>54.6</v>
      </c>
      <c r="E779">
        <v>64.599999999999994</v>
      </c>
      <c r="F779">
        <v>52.2</v>
      </c>
      <c r="G779">
        <v>51.5</v>
      </c>
      <c r="H779">
        <v>44.5</v>
      </c>
      <c r="I779">
        <v>59.5</v>
      </c>
      <c r="J779">
        <v>47</v>
      </c>
      <c r="K779">
        <v>53.5</v>
      </c>
      <c r="L779">
        <v>53</v>
      </c>
      <c r="W779" s="1">
        <v>41913</v>
      </c>
      <c r="X779">
        <v>2018.0500489999999</v>
      </c>
      <c r="Y779" s="4">
        <f t="shared" si="188"/>
        <v>2.3201460786772227E-2</v>
      </c>
      <c r="Z779" s="4">
        <f t="shared" si="176"/>
        <v>0.14887791009243256</v>
      </c>
      <c r="AA779">
        <v>56.1</v>
      </c>
      <c r="AB779">
        <f t="shared" si="177"/>
        <v>56</v>
      </c>
      <c r="AP779" s="3">
        <v>41883</v>
      </c>
      <c r="AQ779" s="2">
        <v>58.1</v>
      </c>
      <c r="AR779" s="2" t="str">
        <f t="shared" si="178"/>
        <v>+</v>
      </c>
      <c r="AS779" s="2">
        <v>66.7</v>
      </c>
      <c r="AT779" s="8" t="str">
        <f t="shared" si="179"/>
        <v>+</v>
      </c>
      <c r="AU779" s="2">
        <v>64.5</v>
      </c>
      <c r="AV779" s="8" t="str">
        <f t="shared" si="180"/>
        <v>+</v>
      </c>
      <c r="AW779" s="2">
        <v>58.1</v>
      </c>
      <c r="AX779" s="8" t="str">
        <f t="shared" si="181"/>
        <v>-</v>
      </c>
      <c r="AY779" s="2">
        <v>53.9</v>
      </c>
      <c r="AZ779" s="8" t="str">
        <f t="shared" si="182"/>
        <v>-</v>
      </c>
      <c r="BA779" s="2">
        <v>52</v>
      </c>
      <c r="BB779" s="8" t="str">
        <f t="shared" si="183"/>
        <v>+</v>
      </c>
      <c r="BC779" s="2">
        <v>49</v>
      </c>
      <c r="BD779" s="8" t="str">
        <f t="shared" si="184"/>
        <v>+</v>
      </c>
      <c r="BE779" s="2">
        <v>58</v>
      </c>
      <c r="BF779" s="8" t="str">
        <f t="shared" si="189"/>
        <v>-</v>
      </c>
      <c r="BG779" s="2">
        <v>52.5</v>
      </c>
      <c r="BH779" s="8" t="str">
        <f t="shared" si="185"/>
        <v>+</v>
      </c>
      <c r="BI779" s="2">
        <v>55</v>
      </c>
      <c r="BJ779" s="8" t="str">
        <f t="shared" si="186"/>
        <v>+</v>
      </c>
      <c r="BK779" s="2">
        <v>56</v>
      </c>
      <c r="BL779" s="8" t="str">
        <f t="shared" si="187"/>
        <v>+</v>
      </c>
    </row>
    <row r="780" spans="1:64">
      <c r="A780" s="1">
        <v>41944</v>
      </c>
      <c r="B780">
        <v>57.9</v>
      </c>
      <c r="C780">
        <v>65.8</v>
      </c>
      <c r="D780">
        <v>55.5</v>
      </c>
      <c r="E780">
        <v>64.8</v>
      </c>
      <c r="F780">
        <v>56.2</v>
      </c>
      <c r="G780">
        <v>52.5</v>
      </c>
      <c r="H780">
        <v>48</v>
      </c>
      <c r="I780">
        <v>53.5</v>
      </c>
      <c r="J780">
        <v>53</v>
      </c>
      <c r="K780">
        <v>51.5</v>
      </c>
      <c r="L780">
        <v>54.5</v>
      </c>
      <c r="W780" s="1">
        <v>41944</v>
      </c>
      <c r="X780">
        <v>2067.5600589999999</v>
      </c>
      <c r="Y780" s="4">
        <f t="shared" si="188"/>
        <v>2.4533588760364766E-2</v>
      </c>
      <c r="Z780" s="4">
        <f t="shared" si="176"/>
        <v>0.14494879940194197</v>
      </c>
      <c r="AA780">
        <v>57.9</v>
      </c>
      <c r="AB780">
        <f t="shared" si="177"/>
        <v>56.6</v>
      </c>
      <c r="AP780" s="3">
        <v>41913</v>
      </c>
      <c r="AQ780" s="2">
        <v>56.1</v>
      </c>
      <c r="AR780" s="2" t="str">
        <f t="shared" si="178"/>
        <v>-</v>
      </c>
      <c r="AS780" s="2">
        <v>60</v>
      </c>
      <c r="AT780" s="8" t="str">
        <f t="shared" si="179"/>
        <v>-</v>
      </c>
      <c r="AU780" s="2">
        <v>64.599999999999994</v>
      </c>
      <c r="AV780" s="8" t="str">
        <f t="shared" si="180"/>
        <v>+</v>
      </c>
      <c r="AW780" s="2">
        <v>54.6</v>
      </c>
      <c r="AX780" s="8" t="str">
        <f t="shared" si="181"/>
        <v>-</v>
      </c>
      <c r="AY780" s="2">
        <v>52.2</v>
      </c>
      <c r="AZ780" s="8" t="str">
        <f t="shared" si="182"/>
        <v>-</v>
      </c>
      <c r="BA780" s="2">
        <v>51.5</v>
      </c>
      <c r="BB780" s="8" t="str">
        <f t="shared" si="183"/>
        <v>-</v>
      </c>
      <c r="BC780" s="2">
        <v>44.5</v>
      </c>
      <c r="BD780" s="8" t="str">
        <f t="shared" si="184"/>
        <v>-</v>
      </c>
      <c r="BE780" s="2">
        <v>59.5</v>
      </c>
      <c r="BF780" s="8" t="str">
        <f t="shared" si="189"/>
        <v>+</v>
      </c>
      <c r="BG780" s="2">
        <v>47</v>
      </c>
      <c r="BH780" s="8" t="str">
        <f t="shared" si="185"/>
        <v>-</v>
      </c>
      <c r="BI780" s="2">
        <v>53.5</v>
      </c>
      <c r="BJ780" s="8" t="str">
        <f t="shared" si="186"/>
        <v>-</v>
      </c>
      <c r="BK780" s="2">
        <v>53</v>
      </c>
      <c r="BL780" s="8" t="str">
        <f t="shared" si="187"/>
        <v>-</v>
      </c>
    </row>
    <row r="781" spans="1:64">
      <c r="A781" s="1">
        <v>41974</v>
      </c>
      <c r="B781">
        <v>57.6</v>
      </c>
      <c r="C781">
        <v>66</v>
      </c>
      <c r="D781">
        <v>54.9</v>
      </c>
      <c r="E781">
        <v>64.400000000000006</v>
      </c>
      <c r="F781">
        <v>56.8</v>
      </c>
      <c r="G781">
        <v>51.5</v>
      </c>
      <c r="H781">
        <v>50</v>
      </c>
      <c r="I781">
        <v>44.5</v>
      </c>
      <c r="J781">
        <v>55</v>
      </c>
      <c r="K781">
        <v>55</v>
      </c>
      <c r="L781">
        <v>56</v>
      </c>
      <c r="W781" s="1">
        <v>41974</v>
      </c>
      <c r="X781">
        <v>2058.8999020000001</v>
      </c>
      <c r="Y781" s="4">
        <f t="shared" si="188"/>
        <v>-4.1885878779204062E-3</v>
      </c>
      <c r="Z781" s="4">
        <f t="shared" si="176"/>
        <v>0.11390633789337311</v>
      </c>
      <c r="AA781">
        <v>57.6</v>
      </c>
      <c r="AB781">
        <f t="shared" si="177"/>
        <v>57</v>
      </c>
      <c r="AP781" s="3">
        <v>41944</v>
      </c>
      <c r="AQ781" s="2">
        <v>57.9</v>
      </c>
      <c r="AR781" s="2" t="str">
        <f t="shared" si="178"/>
        <v>+</v>
      </c>
      <c r="AS781" s="2">
        <v>65.8</v>
      </c>
      <c r="AT781" s="8" t="str">
        <f t="shared" si="179"/>
        <v>+</v>
      </c>
      <c r="AU781" s="2">
        <v>64.8</v>
      </c>
      <c r="AV781" s="8" t="str">
        <f t="shared" si="180"/>
        <v>+</v>
      </c>
      <c r="AW781" s="2">
        <v>55.5</v>
      </c>
      <c r="AX781" s="8" t="str">
        <f t="shared" si="181"/>
        <v>+</v>
      </c>
      <c r="AY781" s="2">
        <v>56.2</v>
      </c>
      <c r="AZ781" s="8" t="str">
        <f t="shared" si="182"/>
        <v>+</v>
      </c>
      <c r="BA781" s="2">
        <v>52.5</v>
      </c>
      <c r="BB781" s="8" t="str">
        <f t="shared" si="183"/>
        <v>+</v>
      </c>
      <c r="BC781" s="2">
        <v>48</v>
      </c>
      <c r="BD781" s="8" t="str">
        <f t="shared" si="184"/>
        <v>+</v>
      </c>
      <c r="BE781" s="2">
        <v>53.5</v>
      </c>
      <c r="BF781" s="8" t="str">
        <f t="shared" si="189"/>
        <v>-</v>
      </c>
      <c r="BG781" s="2">
        <v>53</v>
      </c>
      <c r="BH781" s="8" t="str">
        <f t="shared" si="185"/>
        <v>+</v>
      </c>
      <c r="BI781" s="2">
        <v>51.5</v>
      </c>
      <c r="BJ781" s="8" t="str">
        <f t="shared" si="186"/>
        <v>-</v>
      </c>
      <c r="BK781" s="2">
        <v>54.5</v>
      </c>
      <c r="BL781" s="8" t="str">
        <f t="shared" si="187"/>
        <v>+</v>
      </c>
    </row>
    <row r="782" spans="1:64">
      <c r="A782" s="1">
        <v>42005</v>
      </c>
      <c r="B782">
        <v>55.1</v>
      </c>
      <c r="C782">
        <v>57.3</v>
      </c>
      <c r="D782">
        <v>56.8</v>
      </c>
      <c r="E782">
        <v>58.8</v>
      </c>
      <c r="F782">
        <v>59.3</v>
      </c>
      <c r="G782">
        <v>45.5</v>
      </c>
      <c r="H782">
        <v>44.5</v>
      </c>
      <c r="I782">
        <v>38.5</v>
      </c>
      <c r="J782">
        <v>52.5</v>
      </c>
      <c r="K782">
        <v>52</v>
      </c>
      <c r="L782">
        <v>55</v>
      </c>
      <c r="W782" s="1">
        <v>42005</v>
      </c>
      <c r="X782">
        <v>1994.98999</v>
      </c>
      <c r="Y782" s="4">
        <f t="shared" si="188"/>
        <v>-3.1040805790470173E-2</v>
      </c>
      <c r="Z782" s="4">
        <f t="shared" si="176"/>
        <v>0.11915248489623778</v>
      </c>
      <c r="AA782">
        <v>55.1</v>
      </c>
      <c r="AB782">
        <f t="shared" si="177"/>
        <v>56.5</v>
      </c>
      <c r="AP782" s="3">
        <v>41974</v>
      </c>
      <c r="AQ782" s="2">
        <v>57.6</v>
      </c>
      <c r="AR782" s="2" t="str">
        <f t="shared" si="178"/>
        <v>-</v>
      </c>
      <c r="AS782" s="2">
        <v>66</v>
      </c>
      <c r="AT782" s="8" t="str">
        <f t="shared" si="179"/>
        <v>+</v>
      </c>
      <c r="AU782" s="2">
        <v>64.400000000000006</v>
      </c>
      <c r="AV782" s="8" t="str">
        <f t="shared" si="180"/>
        <v>-</v>
      </c>
      <c r="AW782" s="2">
        <v>54.9</v>
      </c>
      <c r="AX782" s="8" t="str">
        <f t="shared" si="181"/>
        <v>-</v>
      </c>
      <c r="AY782" s="2">
        <v>56.8</v>
      </c>
      <c r="AZ782" s="8" t="str">
        <f t="shared" si="182"/>
        <v>+</v>
      </c>
      <c r="BA782" s="2">
        <v>51.5</v>
      </c>
      <c r="BB782" s="8" t="str">
        <f t="shared" si="183"/>
        <v>-</v>
      </c>
      <c r="BC782" s="2">
        <v>50</v>
      </c>
      <c r="BD782" s="8" t="str">
        <f t="shared" si="184"/>
        <v>+</v>
      </c>
      <c r="BE782" s="2">
        <v>44.5</v>
      </c>
      <c r="BF782" s="8" t="str">
        <f t="shared" si="189"/>
        <v>-</v>
      </c>
      <c r="BG782" s="2">
        <v>55</v>
      </c>
      <c r="BH782" s="8" t="str">
        <f t="shared" si="185"/>
        <v>+</v>
      </c>
      <c r="BI782" s="2">
        <v>55</v>
      </c>
      <c r="BJ782" s="8" t="str">
        <f t="shared" si="186"/>
        <v>+</v>
      </c>
      <c r="BK782" s="2">
        <v>56</v>
      </c>
      <c r="BL782" s="8" t="str">
        <f t="shared" si="187"/>
        <v>+</v>
      </c>
    </row>
    <row r="783" spans="1:64">
      <c r="A783" s="1">
        <v>42036</v>
      </c>
      <c r="B783">
        <v>53.5</v>
      </c>
      <c r="C783">
        <v>52.9</v>
      </c>
      <c r="D783">
        <v>54.1</v>
      </c>
      <c r="E783">
        <v>56.5</v>
      </c>
      <c r="F783">
        <v>52.9</v>
      </c>
      <c r="G783">
        <v>51</v>
      </c>
      <c r="H783">
        <v>42.5</v>
      </c>
      <c r="I783">
        <v>35</v>
      </c>
      <c r="J783">
        <v>46</v>
      </c>
      <c r="K783">
        <v>49.5</v>
      </c>
      <c r="L783">
        <v>55.5</v>
      </c>
      <c r="W783" s="1">
        <v>42036</v>
      </c>
      <c r="X783">
        <v>2104.5</v>
      </c>
      <c r="Y783" s="4">
        <f t="shared" si="188"/>
        <v>5.4892511014553995E-2</v>
      </c>
      <c r="Z783" s="4">
        <f t="shared" ref="Z783:Z833" si="190">(X783-X771)/X771</f>
        <v>0.13178631071420535</v>
      </c>
      <c r="AA783">
        <v>53.5</v>
      </c>
      <c r="AB783">
        <f t="shared" ref="AB783:AB845" si="191">AA771</f>
        <v>51.3</v>
      </c>
      <c r="AP783" s="3">
        <v>42005</v>
      </c>
      <c r="AQ783" s="2">
        <v>55.1</v>
      </c>
      <c r="AR783" s="2" t="str">
        <f t="shared" si="178"/>
        <v>-</v>
      </c>
      <c r="AS783" s="2">
        <v>57.3</v>
      </c>
      <c r="AT783" s="8" t="str">
        <f t="shared" si="179"/>
        <v>-</v>
      </c>
      <c r="AU783" s="2">
        <v>58.8</v>
      </c>
      <c r="AV783" s="8" t="str">
        <f t="shared" si="180"/>
        <v>-</v>
      </c>
      <c r="AW783" s="2">
        <v>56.8</v>
      </c>
      <c r="AX783" s="8" t="str">
        <f t="shared" si="181"/>
        <v>+</v>
      </c>
      <c r="AY783" s="2">
        <v>59.3</v>
      </c>
      <c r="AZ783" s="8" t="str">
        <f t="shared" si="182"/>
        <v>+</v>
      </c>
      <c r="BA783" s="2">
        <v>45.5</v>
      </c>
      <c r="BB783" s="8" t="str">
        <f t="shared" si="183"/>
        <v>-</v>
      </c>
      <c r="BC783" s="2">
        <v>44.5</v>
      </c>
      <c r="BD783" s="8" t="str">
        <f t="shared" si="184"/>
        <v>-</v>
      </c>
      <c r="BE783" s="2">
        <v>38.5</v>
      </c>
      <c r="BF783" s="8" t="str">
        <f t="shared" si="189"/>
        <v>-</v>
      </c>
      <c r="BG783" s="2">
        <v>52.5</v>
      </c>
      <c r="BH783" s="8" t="str">
        <f t="shared" si="185"/>
        <v>-</v>
      </c>
      <c r="BI783" s="2">
        <v>52</v>
      </c>
      <c r="BJ783" s="8" t="str">
        <f t="shared" si="186"/>
        <v>-</v>
      </c>
      <c r="BK783" s="2">
        <v>55</v>
      </c>
      <c r="BL783" s="8" t="str">
        <f t="shared" si="187"/>
        <v>-</v>
      </c>
    </row>
    <row r="784" spans="1:64">
      <c r="A784" s="1">
        <v>42064</v>
      </c>
      <c r="B784">
        <v>52.9</v>
      </c>
      <c r="C784">
        <v>52.5</v>
      </c>
      <c r="D784">
        <v>51.4</v>
      </c>
      <c r="E784">
        <v>53.7</v>
      </c>
      <c r="F784">
        <v>54.3</v>
      </c>
      <c r="G784">
        <v>52.5</v>
      </c>
      <c r="H784">
        <v>46.5</v>
      </c>
      <c r="I784">
        <v>35</v>
      </c>
      <c r="J784">
        <v>51.5</v>
      </c>
      <c r="K784">
        <v>48.5</v>
      </c>
      <c r="L784">
        <v>54</v>
      </c>
      <c r="W784" s="1">
        <v>42064</v>
      </c>
      <c r="X784">
        <v>2067.889893</v>
      </c>
      <c r="Y784" s="4">
        <f t="shared" si="188"/>
        <v>-1.7396106913756221E-2</v>
      </c>
      <c r="Z784" s="4">
        <f t="shared" si="190"/>
        <v>0.10444146391734931</v>
      </c>
      <c r="AA784">
        <v>52.9</v>
      </c>
      <c r="AB784">
        <f t="shared" si="191"/>
        <v>54.3</v>
      </c>
      <c r="AP784" s="3">
        <v>42036</v>
      </c>
      <c r="AQ784" s="2">
        <v>53.5</v>
      </c>
      <c r="AR784" s="2" t="str">
        <f t="shared" si="178"/>
        <v>-</v>
      </c>
      <c r="AS784" s="2">
        <v>52.9</v>
      </c>
      <c r="AT784" s="8" t="str">
        <f t="shared" si="179"/>
        <v>-</v>
      </c>
      <c r="AU784" s="2">
        <v>56.5</v>
      </c>
      <c r="AV784" s="8" t="str">
        <f t="shared" si="180"/>
        <v>-</v>
      </c>
      <c r="AW784" s="2">
        <v>54.1</v>
      </c>
      <c r="AX784" s="8" t="str">
        <f t="shared" si="181"/>
        <v>-</v>
      </c>
      <c r="AY784" s="2">
        <v>52.9</v>
      </c>
      <c r="AZ784" s="8" t="str">
        <f t="shared" si="182"/>
        <v>-</v>
      </c>
      <c r="BA784" s="2">
        <v>51</v>
      </c>
      <c r="BB784" s="8" t="str">
        <f t="shared" si="183"/>
        <v>+</v>
      </c>
      <c r="BC784" s="2">
        <v>42.5</v>
      </c>
      <c r="BD784" s="8" t="str">
        <f t="shared" si="184"/>
        <v>-</v>
      </c>
      <c r="BE784" s="2">
        <v>35</v>
      </c>
      <c r="BF784" s="8" t="str">
        <f t="shared" si="189"/>
        <v>-</v>
      </c>
      <c r="BG784" s="2">
        <v>46</v>
      </c>
      <c r="BH784" s="8" t="str">
        <f t="shared" si="185"/>
        <v>-</v>
      </c>
      <c r="BI784" s="2">
        <v>49.5</v>
      </c>
      <c r="BJ784" s="8" t="str">
        <f t="shared" si="186"/>
        <v>-</v>
      </c>
      <c r="BK784" s="2">
        <v>55.5</v>
      </c>
      <c r="BL784" s="8" t="str">
        <f t="shared" si="187"/>
        <v>+</v>
      </c>
    </row>
    <row r="785" spans="1:64">
      <c r="A785" s="1">
        <v>42095</v>
      </c>
      <c r="B785">
        <v>51.5</v>
      </c>
      <c r="C785">
        <v>51.8</v>
      </c>
      <c r="D785">
        <v>50</v>
      </c>
      <c r="E785">
        <v>53.8</v>
      </c>
      <c r="F785">
        <v>50.5</v>
      </c>
      <c r="G785">
        <v>51.5</v>
      </c>
      <c r="H785">
        <v>45.5</v>
      </c>
      <c r="I785">
        <v>39</v>
      </c>
      <c r="J785">
        <v>49.5</v>
      </c>
      <c r="K785">
        <v>47.5</v>
      </c>
      <c r="L785">
        <v>52.5</v>
      </c>
      <c r="W785" s="1">
        <v>42095</v>
      </c>
      <c r="X785">
        <v>2085.51001</v>
      </c>
      <c r="Y785" s="4">
        <f t="shared" si="188"/>
        <v>8.5208197301247391E-3</v>
      </c>
      <c r="Z785" s="4">
        <f t="shared" si="190"/>
        <v>0.10698801148778496</v>
      </c>
      <c r="AA785">
        <v>51.5</v>
      </c>
      <c r="AB785">
        <f t="shared" si="191"/>
        <v>54.4</v>
      </c>
      <c r="AP785" s="3">
        <v>42064</v>
      </c>
      <c r="AQ785" s="2">
        <v>52.9</v>
      </c>
      <c r="AR785" s="2" t="str">
        <f t="shared" si="178"/>
        <v>-</v>
      </c>
      <c r="AS785" s="2">
        <v>52.5</v>
      </c>
      <c r="AT785" s="8" t="str">
        <f t="shared" si="179"/>
        <v>-</v>
      </c>
      <c r="AU785" s="2">
        <v>53.7</v>
      </c>
      <c r="AV785" s="8" t="str">
        <f t="shared" si="180"/>
        <v>-</v>
      </c>
      <c r="AW785" s="2">
        <v>51.4</v>
      </c>
      <c r="AX785" s="8" t="str">
        <f t="shared" si="181"/>
        <v>-</v>
      </c>
      <c r="AY785" s="2">
        <v>54.3</v>
      </c>
      <c r="AZ785" s="8" t="str">
        <f t="shared" si="182"/>
        <v>+</v>
      </c>
      <c r="BA785" s="2">
        <v>52.5</v>
      </c>
      <c r="BB785" s="8" t="str">
        <f t="shared" si="183"/>
        <v>+</v>
      </c>
      <c r="BC785" s="2">
        <v>46.5</v>
      </c>
      <c r="BD785" s="8" t="str">
        <f t="shared" si="184"/>
        <v>+</v>
      </c>
      <c r="BE785" s="2">
        <v>35</v>
      </c>
      <c r="BF785" s="8" t="str">
        <f t="shared" si="189"/>
        <v>+</v>
      </c>
      <c r="BG785" s="2">
        <v>51.5</v>
      </c>
      <c r="BH785" s="8" t="str">
        <f t="shared" si="185"/>
        <v>+</v>
      </c>
      <c r="BI785" s="2">
        <v>48.5</v>
      </c>
      <c r="BJ785" s="8" t="str">
        <f t="shared" si="186"/>
        <v>-</v>
      </c>
      <c r="BK785" s="2">
        <v>54</v>
      </c>
      <c r="BL785" s="8" t="str">
        <f t="shared" si="187"/>
        <v>-</v>
      </c>
    </row>
    <row r="786" spans="1:64">
      <c r="A786" s="1">
        <v>42125</v>
      </c>
      <c r="B786">
        <v>51.5</v>
      </c>
      <c r="C786">
        <v>53.5</v>
      </c>
      <c r="D786">
        <v>48.3</v>
      </c>
      <c r="E786">
        <v>56</v>
      </c>
      <c r="F786">
        <v>50.1</v>
      </c>
      <c r="G786">
        <v>49.5</v>
      </c>
      <c r="H786">
        <v>44</v>
      </c>
      <c r="I786">
        <v>40.5</v>
      </c>
      <c r="J786">
        <v>49.5</v>
      </c>
      <c r="K786">
        <v>51.5</v>
      </c>
      <c r="L786">
        <v>54</v>
      </c>
      <c r="W786" s="1">
        <v>42125</v>
      </c>
      <c r="X786">
        <v>2107.389893</v>
      </c>
      <c r="Y786" s="4">
        <f t="shared" si="188"/>
        <v>1.0491382393316857E-2</v>
      </c>
      <c r="Z786" s="4">
        <f t="shared" si="190"/>
        <v>9.5561873059125016E-2</v>
      </c>
      <c r="AA786">
        <v>51.5</v>
      </c>
      <c r="AB786">
        <f t="shared" si="191"/>
        <v>55.3</v>
      </c>
      <c r="AP786" s="3">
        <v>42095</v>
      </c>
      <c r="AQ786" s="2">
        <v>51.5</v>
      </c>
      <c r="AR786" s="2" t="str">
        <f t="shared" si="178"/>
        <v>-</v>
      </c>
      <c r="AS786" s="2">
        <v>51.8</v>
      </c>
      <c r="AT786" s="8" t="str">
        <f t="shared" si="179"/>
        <v>-</v>
      </c>
      <c r="AU786" s="2">
        <v>53.8</v>
      </c>
      <c r="AV786" s="8" t="str">
        <f t="shared" si="180"/>
        <v>+</v>
      </c>
      <c r="AW786" s="2">
        <v>50</v>
      </c>
      <c r="AX786" s="8" t="str">
        <f t="shared" si="181"/>
        <v>-</v>
      </c>
      <c r="AY786" s="2">
        <v>50.5</v>
      </c>
      <c r="AZ786" s="8" t="str">
        <f t="shared" si="182"/>
        <v>-</v>
      </c>
      <c r="BA786" s="2">
        <v>51.5</v>
      </c>
      <c r="BB786" s="8" t="str">
        <f t="shared" si="183"/>
        <v>-</v>
      </c>
      <c r="BC786" s="2">
        <v>45.5</v>
      </c>
      <c r="BD786" s="8" t="str">
        <f t="shared" si="184"/>
        <v>-</v>
      </c>
      <c r="BE786" s="2">
        <v>39</v>
      </c>
      <c r="BF786" s="8" t="str">
        <f t="shared" si="189"/>
        <v>+</v>
      </c>
      <c r="BG786" s="2">
        <v>49.5</v>
      </c>
      <c r="BH786" s="8" t="str">
        <f t="shared" si="185"/>
        <v>-</v>
      </c>
      <c r="BI786" s="2">
        <v>47.5</v>
      </c>
      <c r="BJ786" s="8" t="str">
        <f t="shared" si="186"/>
        <v>-</v>
      </c>
      <c r="BK786" s="2">
        <v>52.5</v>
      </c>
      <c r="BL786" s="8" t="str">
        <f t="shared" si="187"/>
        <v>-</v>
      </c>
    </row>
    <row r="787" spans="1:64">
      <c r="A787" s="1">
        <v>42156</v>
      </c>
      <c r="B787">
        <v>52.8</v>
      </c>
      <c r="C787">
        <v>55.8</v>
      </c>
      <c r="D787">
        <v>51.7</v>
      </c>
      <c r="E787">
        <v>54.5</v>
      </c>
      <c r="F787">
        <v>50.7</v>
      </c>
      <c r="G787">
        <v>51.5</v>
      </c>
      <c r="H787">
        <v>45.5</v>
      </c>
      <c r="I787">
        <v>49.5</v>
      </c>
      <c r="J787">
        <v>53.5</v>
      </c>
      <c r="K787">
        <v>50</v>
      </c>
      <c r="L787">
        <v>55</v>
      </c>
      <c r="W787" s="1">
        <v>42156</v>
      </c>
      <c r="X787">
        <v>2063.110107</v>
      </c>
      <c r="Y787" s="4">
        <f t="shared" si="188"/>
        <v>-2.1011672375900521E-2</v>
      </c>
      <c r="Z787" s="4">
        <f t="shared" si="190"/>
        <v>5.248370244801577E-2</v>
      </c>
      <c r="AA787">
        <v>52.8</v>
      </c>
      <c r="AB787">
        <f t="shared" si="191"/>
        <v>55.6</v>
      </c>
      <c r="AP787" s="3">
        <v>42125</v>
      </c>
      <c r="AQ787" s="2">
        <v>51.5</v>
      </c>
      <c r="AR787" s="2" t="str">
        <f t="shared" si="178"/>
        <v>+</v>
      </c>
      <c r="AS787" s="2">
        <v>53.5</v>
      </c>
      <c r="AT787" s="8" t="str">
        <f t="shared" si="179"/>
        <v>+</v>
      </c>
      <c r="AU787" s="2">
        <v>56</v>
      </c>
      <c r="AV787" s="8" t="str">
        <f t="shared" si="180"/>
        <v>+</v>
      </c>
      <c r="AW787" s="2">
        <v>48.3</v>
      </c>
      <c r="AX787" s="8" t="str">
        <f t="shared" si="181"/>
        <v>-</v>
      </c>
      <c r="AY787" s="2">
        <v>50.1</v>
      </c>
      <c r="AZ787" s="8" t="str">
        <f t="shared" si="182"/>
        <v>-</v>
      </c>
      <c r="BA787" s="2">
        <v>49.5</v>
      </c>
      <c r="BB787" s="8" t="str">
        <f t="shared" si="183"/>
        <v>-</v>
      </c>
      <c r="BC787" s="2">
        <v>44</v>
      </c>
      <c r="BD787" s="8" t="str">
        <f t="shared" si="184"/>
        <v>-</v>
      </c>
      <c r="BE787" s="2">
        <v>40.5</v>
      </c>
      <c r="BF787" s="8" t="str">
        <f t="shared" si="189"/>
        <v>+</v>
      </c>
      <c r="BG787" s="2">
        <v>49.5</v>
      </c>
      <c r="BH787" s="8" t="str">
        <f t="shared" si="185"/>
        <v>+</v>
      </c>
      <c r="BI787" s="2">
        <v>51.5</v>
      </c>
      <c r="BJ787" s="8" t="str">
        <f t="shared" si="186"/>
        <v>+</v>
      </c>
      <c r="BK787" s="2">
        <v>54</v>
      </c>
      <c r="BL787" s="8" t="str">
        <f t="shared" si="187"/>
        <v>+</v>
      </c>
    </row>
    <row r="788" spans="1:64">
      <c r="A788" s="1">
        <v>42186</v>
      </c>
      <c r="B788">
        <v>53.5</v>
      </c>
      <c r="C788">
        <v>56</v>
      </c>
      <c r="D788">
        <v>55.5</v>
      </c>
      <c r="E788">
        <v>54</v>
      </c>
      <c r="F788">
        <v>48.8</v>
      </c>
      <c r="G788">
        <v>53</v>
      </c>
      <c r="H788">
        <v>48.5</v>
      </c>
      <c r="I788">
        <v>49.5</v>
      </c>
      <c r="J788">
        <v>47</v>
      </c>
      <c r="K788">
        <v>49.5</v>
      </c>
      <c r="L788">
        <v>53.5</v>
      </c>
      <c r="W788" s="1">
        <v>42186</v>
      </c>
      <c r="X788">
        <v>2103.8400879999999</v>
      </c>
      <c r="Y788" s="4">
        <f t="shared" si="188"/>
        <v>1.9742029696721345E-2</v>
      </c>
      <c r="Z788" s="4">
        <f t="shared" si="190"/>
        <v>8.9694271964370922E-2</v>
      </c>
      <c r="AA788">
        <v>53.5</v>
      </c>
      <c r="AB788">
        <f t="shared" si="191"/>
        <v>55.7</v>
      </c>
      <c r="AP788" s="3">
        <v>42156</v>
      </c>
      <c r="AQ788" s="2">
        <v>52.8</v>
      </c>
      <c r="AR788" s="2" t="str">
        <f t="shared" si="178"/>
        <v>+</v>
      </c>
      <c r="AS788" s="2">
        <v>55.8</v>
      </c>
      <c r="AT788" s="8" t="str">
        <f t="shared" si="179"/>
        <v>+</v>
      </c>
      <c r="AU788" s="2">
        <v>54.5</v>
      </c>
      <c r="AV788" s="8" t="str">
        <f t="shared" si="180"/>
        <v>-</v>
      </c>
      <c r="AW788" s="2">
        <v>51.7</v>
      </c>
      <c r="AX788" s="8" t="str">
        <f t="shared" si="181"/>
        <v>+</v>
      </c>
      <c r="AY788" s="2">
        <v>50.7</v>
      </c>
      <c r="AZ788" s="8" t="str">
        <f t="shared" si="182"/>
        <v>+</v>
      </c>
      <c r="BA788" s="2">
        <v>51.5</v>
      </c>
      <c r="BB788" s="8" t="str">
        <f t="shared" si="183"/>
        <v>+</v>
      </c>
      <c r="BC788" s="2">
        <v>45.5</v>
      </c>
      <c r="BD788" s="8" t="str">
        <f t="shared" si="184"/>
        <v>+</v>
      </c>
      <c r="BE788" s="2">
        <v>49.5</v>
      </c>
      <c r="BF788" s="8" t="str">
        <f t="shared" si="189"/>
        <v>+</v>
      </c>
      <c r="BG788" s="2">
        <v>53.5</v>
      </c>
      <c r="BH788" s="8" t="str">
        <f t="shared" si="185"/>
        <v>+</v>
      </c>
      <c r="BI788" s="2">
        <v>50</v>
      </c>
      <c r="BJ788" s="8" t="str">
        <f t="shared" si="186"/>
        <v>-</v>
      </c>
      <c r="BK788" s="2">
        <v>55</v>
      </c>
      <c r="BL788" s="8" t="str">
        <f t="shared" si="187"/>
        <v>+</v>
      </c>
    </row>
    <row r="789" spans="1:64">
      <c r="A789" s="1">
        <v>42217</v>
      </c>
      <c r="B789">
        <v>52.7</v>
      </c>
      <c r="C789">
        <v>56.5</v>
      </c>
      <c r="D789">
        <v>52.7</v>
      </c>
      <c r="E789">
        <v>56</v>
      </c>
      <c r="F789">
        <v>48.9</v>
      </c>
      <c r="G789">
        <v>49.5</v>
      </c>
      <c r="H789">
        <v>44</v>
      </c>
      <c r="I789">
        <v>44</v>
      </c>
      <c r="J789">
        <v>42.5</v>
      </c>
      <c r="K789">
        <v>48</v>
      </c>
      <c r="L789">
        <v>52</v>
      </c>
      <c r="W789" s="1">
        <v>42217</v>
      </c>
      <c r="X789">
        <v>1972.1800539999999</v>
      </c>
      <c r="Y789" s="4">
        <f t="shared" si="188"/>
        <v>-6.2580818167202831E-2</v>
      </c>
      <c r="Z789" s="4">
        <f t="shared" si="190"/>
        <v>-1.5568737216711729E-2</v>
      </c>
      <c r="AA789">
        <v>52.7</v>
      </c>
      <c r="AB789">
        <f t="shared" si="191"/>
        <v>56.4</v>
      </c>
      <c r="AP789" s="3">
        <v>42186</v>
      </c>
      <c r="AQ789" s="2">
        <v>53.5</v>
      </c>
      <c r="AR789" s="2" t="str">
        <f t="shared" si="178"/>
        <v>+</v>
      </c>
      <c r="AS789" s="2">
        <v>56</v>
      </c>
      <c r="AT789" s="8" t="str">
        <f t="shared" si="179"/>
        <v>+</v>
      </c>
      <c r="AU789" s="2">
        <v>54</v>
      </c>
      <c r="AV789" s="8" t="str">
        <f t="shared" si="180"/>
        <v>-</v>
      </c>
      <c r="AW789" s="2">
        <v>55.5</v>
      </c>
      <c r="AX789" s="8" t="str">
        <f t="shared" si="181"/>
        <v>+</v>
      </c>
      <c r="AY789" s="2">
        <v>48.8</v>
      </c>
      <c r="AZ789" s="8" t="str">
        <f t="shared" si="182"/>
        <v>-</v>
      </c>
      <c r="BA789" s="2">
        <v>53</v>
      </c>
      <c r="BB789" s="8" t="str">
        <f t="shared" si="183"/>
        <v>+</v>
      </c>
      <c r="BC789" s="2">
        <v>48.5</v>
      </c>
      <c r="BD789" s="8" t="str">
        <f t="shared" si="184"/>
        <v>+</v>
      </c>
      <c r="BE789" s="2">
        <v>49.5</v>
      </c>
      <c r="BF789" s="8" t="str">
        <f t="shared" si="189"/>
        <v>+</v>
      </c>
      <c r="BG789" s="2">
        <v>47</v>
      </c>
      <c r="BH789" s="8" t="str">
        <f t="shared" si="185"/>
        <v>-</v>
      </c>
      <c r="BI789" s="2">
        <v>49.5</v>
      </c>
      <c r="BJ789" s="8" t="str">
        <f t="shared" si="186"/>
        <v>-</v>
      </c>
      <c r="BK789" s="2">
        <v>53.5</v>
      </c>
      <c r="BL789" s="8" t="str">
        <f t="shared" si="187"/>
        <v>-</v>
      </c>
    </row>
    <row r="790" spans="1:64">
      <c r="A790" s="1">
        <v>42248</v>
      </c>
      <c r="B790">
        <v>51.1</v>
      </c>
      <c r="C790">
        <v>51.7</v>
      </c>
      <c r="D790">
        <v>51.2</v>
      </c>
      <c r="E790">
        <v>53.6</v>
      </c>
      <c r="F790">
        <v>50.7</v>
      </c>
      <c r="G790">
        <v>48.5</v>
      </c>
      <c r="H790">
        <v>53</v>
      </c>
      <c r="I790">
        <v>39</v>
      </c>
      <c r="J790">
        <v>46.5</v>
      </c>
      <c r="K790">
        <v>46.5</v>
      </c>
      <c r="L790">
        <v>51.5</v>
      </c>
      <c r="W790" s="1">
        <v>42248</v>
      </c>
      <c r="X790">
        <v>1920.030029</v>
      </c>
      <c r="Y790" s="4">
        <f t="shared" si="188"/>
        <v>-2.6442831573227094E-2</v>
      </c>
      <c r="Z790" s="4">
        <f t="shared" si="190"/>
        <v>-2.6497122110142123E-2</v>
      </c>
      <c r="AA790">
        <v>51.1</v>
      </c>
      <c r="AB790">
        <f t="shared" si="191"/>
        <v>58.1</v>
      </c>
      <c r="AP790" s="3">
        <v>42217</v>
      </c>
      <c r="AQ790" s="2">
        <v>52.7</v>
      </c>
      <c r="AR790" s="2" t="str">
        <f t="shared" si="178"/>
        <v>-</v>
      </c>
      <c r="AS790" s="2">
        <v>56.5</v>
      </c>
      <c r="AT790" s="8" t="str">
        <f t="shared" si="179"/>
        <v>+</v>
      </c>
      <c r="AU790" s="2">
        <v>56</v>
      </c>
      <c r="AV790" s="8" t="str">
        <f t="shared" si="180"/>
        <v>+</v>
      </c>
      <c r="AW790" s="2">
        <v>52.7</v>
      </c>
      <c r="AX790" s="8" t="str">
        <f t="shared" si="181"/>
        <v>-</v>
      </c>
      <c r="AY790" s="2">
        <v>48.9</v>
      </c>
      <c r="AZ790" s="8" t="str">
        <f t="shared" si="182"/>
        <v>+</v>
      </c>
      <c r="BA790" s="2">
        <v>49.5</v>
      </c>
      <c r="BB790" s="8" t="str">
        <f t="shared" si="183"/>
        <v>-</v>
      </c>
      <c r="BC790" s="2">
        <v>44</v>
      </c>
      <c r="BD790" s="8" t="str">
        <f t="shared" si="184"/>
        <v>-</v>
      </c>
      <c r="BE790" s="2">
        <v>44</v>
      </c>
      <c r="BF790" s="8" t="str">
        <f t="shared" si="189"/>
        <v>-</v>
      </c>
      <c r="BG790" s="2">
        <v>42.5</v>
      </c>
      <c r="BH790" s="8" t="str">
        <f t="shared" si="185"/>
        <v>-</v>
      </c>
      <c r="BI790" s="2">
        <v>48</v>
      </c>
      <c r="BJ790" s="8" t="str">
        <f t="shared" si="186"/>
        <v>-</v>
      </c>
      <c r="BK790" s="2">
        <v>52</v>
      </c>
      <c r="BL790" s="8" t="str">
        <f t="shared" si="187"/>
        <v>-</v>
      </c>
    </row>
    <row r="791" spans="1:64">
      <c r="A791" s="1">
        <v>42278</v>
      </c>
      <c r="B791">
        <v>50.2</v>
      </c>
      <c r="C791">
        <v>50.1</v>
      </c>
      <c r="D791">
        <v>50.5</v>
      </c>
      <c r="E791">
        <v>51.8</v>
      </c>
      <c r="F791">
        <v>50.2</v>
      </c>
      <c r="G791">
        <v>48.5</v>
      </c>
      <c r="H791">
        <v>54.5</v>
      </c>
      <c r="I791">
        <v>38</v>
      </c>
      <c r="J791">
        <v>41.5</v>
      </c>
      <c r="K791">
        <v>46.5</v>
      </c>
      <c r="L791">
        <v>50.5</v>
      </c>
      <c r="W791" s="1">
        <v>42278</v>
      </c>
      <c r="X791">
        <v>2079.360107</v>
      </c>
      <c r="Y791" s="4">
        <f t="shared" si="188"/>
        <v>8.2983117760394132E-2</v>
      </c>
      <c r="Z791" s="4">
        <f t="shared" si="190"/>
        <v>3.0380841164162835E-2</v>
      </c>
      <c r="AA791">
        <v>50.2</v>
      </c>
      <c r="AB791">
        <f t="shared" si="191"/>
        <v>56.1</v>
      </c>
      <c r="AP791" s="3">
        <v>42248</v>
      </c>
      <c r="AQ791" s="2">
        <v>51.1</v>
      </c>
      <c r="AR791" s="2" t="str">
        <f t="shared" si="178"/>
        <v>-</v>
      </c>
      <c r="AS791" s="2">
        <v>51.7</v>
      </c>
      <c r="AT791" s="8" t="str">
        <f t="shared" si="179"/>
        <v>-</v>
      </c>
      <c r="AU791" s="2">
        <v>53.6</v>
      </c>
      <c r="AV791" s="8" t="str">
        <f t="shared" si="180"/>
        <v>-</v>
      </c>
      <c r="AW791" s="2">
        <v>51.2</v>
      </c>
      <c r="AX791" s="8" t="str">
        <f t="shared" si="181"/>
        <v>-</v>
      </c>
      <c r="AY791" s="2">
        <v>50.7</v>
      </c>
      <c r="AZ791" s="8" t="str">
        <f t="shared" si="182"/>
        <v>+</v>
      </c>
      <c r="BA791" s="2">
        <v>48.5</v>
      </c>
      <c r="BB791" s="8" t="str">
        <f t="shared" si="183"/>
        <v>-</v>
      </c>
      <c r="BC791" s="2">
        <v>53</v>
      </c>
      <c r="BD791" s="8" t="str">
        <f t="shared" si="184"/>
        <v>+</v>
      </c>
      <c r="BE791" s="2">
        <v>39</v>
      </c>
      <c r="BF791" s="8" t="str">
        <f t="shared" si="189"/>
        <v>-</v>
      </c>
      <c r="BG791" s="2">
        <v>46.5</v>
      </c>
      <c r="BH791" s="8" t="str">
        <f t="shared" si="185"/>
        <v>+</v>
      </c>
      <c r="BI791" s="2">
        <v>46.5</v>
      </c>
      <c r="BJ791" s="8" t="str">
        <f t="shared" si="186"/>
        <v>-</v>
      </c>
      <c r="BK791" s="2">
        <v>51.5</v>
      </c>
      <c r="BL791" s="8" t="str">
        <f t="shared" si="187"/>
        <v>-</v>
      </c>
    </row>
    <row r="792" spans="1:64">
      <c r="A792" s="1">
        <v>42309</v>
      </c>
      <c r="B792">
        <v>49.4</v>
      </c>
      <c r="C792">
        <v>50.8</v>
      </c>
      <c r="D792">
        <v>47.7</v>
      </c>
      <c r="E792">
        <v>52.5</v>
      </c>
      <c r="F792">
        <v>49.7</v>
      </c>
      <c r="G792">
        <v>46.5</v>
      </c>
      <c r="H792">
        <v>51</v>
      </c>
      <c r="I792">
        <v>39</v>
      </c>
      <c r="J792">
        <v>42.5</v>
      </c>
      <c r="K792">
        <v>47.5</v>
      </c>
      <c r="L792">
        <v>47</v>
      </c>
      <c r="W792" s="1">
        <v>42309</v>
      </c>
      <c r="X792">
        <v>2080.4099120000001</v>
      </c>
      <c r="Y792" s="4">
        <f t="shared" si="188"/>
        <v>5.0486926072401835E-4</v>
      </c>
      <c r="Z792" s="4">
        <f t="shared" si="190"/>
        <v>6.2149841520033767E-3</v>
      </c>
      <c r="AA792">
        <v>49.4</v>
      </c>
      <c r="AB792">
        <f t="shared" si="191"/>
        <v>57.9</v>
      </c>
      <c r="AP792" s="3">
        <v>42278</v>
      </c>
      <c r="AQ792" s="2">
        <v>50.2</v>
      </c>
      <c r="AR792" s="2" t="str">
        <f t="shared" si="178"/>
        <v>-</v>
      </c>
      <c r="AS792" s="2">
        <v>50.1</v>
      </c>
      <c r="AT792" s="8" t="str">
        <f t="shared" si="179"/>
        <v>-</v>
      </c>
      <c r="AU792" s="2">
        <v>51.8</v>
      </c>
      <c r="AV792" s="8" t="str">
        <f t="shared" si="180"/>
        <v>-</v>
      </c>
      <c r="AW792" s="2">
        <v>50.5</v>
      </c>
      <c r="AX792" s="8" t="str">
        <f t="shared" si="181"/>
        <v>-</v>
      </c>
      <c r="AY792" s="2">
        <v>50.2</v>
      </c>
      <c r="AZ792" s="8" t="str">
        <f t="shared" si="182"/>
        <v>-</v>
      </c>
      <c r="BA792" s="2">
        <v>48.5</v>
      </c>
      <c r="BB792" s="8" t="str">
        <f t="shared" si="183"/>
        <v>+</v>
      </c>
      <c r="BC792" s="2">
        <v>54.5</v>
      </c>
      <c r="BD792" s="8" t="str">
        <f t="shared" si="184"/>
        <v>+</v>
      </c>
      <c r="BE792" s="2">
        <v>38</v>
      </c>
      <c r="BF792" s="8" t="str">
        <f t="shared" si="189"/>
        <v>-</v>
      </c>
      <c r="BG792" s="2">
        <v>41.5</v>
      </c>
      <c r="BH792" s="8" t="str">
        <f t="shared" si="185"/>
        <v>-</v>
      </c>
      <c r="BI792" s="2">
        <v>46.5</v>
      </c>
      <c r="BJ792" s="8" t="str">
        <f t="shared" si="186"/>
        <v>+</v>
      </c>
      <c r="BK792" s="2">
        <v>50.5</v>
      </c>
      <c r="BL792" s="8" t="str">
        <f t="shared" si="187"/>
        <v>-</v>
      </c>
    </row>
    <row r="793" spans="1:64">
      <c r="A793" s="1">
        <v>42339</v>
      </c>
      <c r="B793">
        <v>48.4</v>
      </c>
      <c r="C793">
        <v>49</v>
      </c>
      <c r="D793">
        <v>50.8</v>
      </c>
      <c r="E793">
        <v>49.8</v>
      </c>
      <c r="F793">
        <v>49.6</v>
      </c>
      <c r="G793">
        <v>43</v>
      </c>
      <c r="H793">
        <v>50.5</v>
      </c>
      <c r="I793">
        <v>35.5</v>
      </c>
      <c r="J793">
        <v>43</v>
      </c>
      <c r="K793">
        <v>47.5</v>
      </c>
      <c r="L793">
        <v>49</v>
      </c>
      <c r="W793" s="1">
        <v>42339</v>
      </c>
      <c r="X793">
        <v>2043.9399410000001</v>
      </c>
      <c r="Y793" s="4">
        <f t="shared" si="188"/>
        <v>-1.7530185176314418E-2</v>
      </c>
      <c r="Z793" s="4">
        <f t="shared" si="190"/>
        <v>-7.2659972373926608E-3</v>
      </c>
      <c r="AA793">
        <v>48.4</v>
      </c>
      <c r="AB793">
        <f t="shared" si="191"/>
        <v>57.6</v>
      </c>
      <c r="AP793" s="3">
        <v>42309</v>
      </c>
      <c r="AQ793" s="2">
        <v>49.4</v>
      </c>
      <c r="AR793" s="2" t="str">
        <f t="shared" si="178"/>
        <v>-</v>
      </c>
      <c r="AS793" s="2">
        <v>50.8</v>
      </c>
      <c r="AT793" s="8" t="str">
        <f t="shared" si="179"/>
        <v>+</v>
      </c>
      <c r="AU793" s="2">
        <v>52.5</v>
      </c>
      <c r="AV793" s="8" t="str">
        <f t="shared" si="180"/>
        <v>+</v>
      </c>
      <c r="AW793" s="2">
        <v>47.7</v>
      </c>
      <c r="AX793" s="8" t="str">
        <f t="shared" si="181"/>
        <v>-</v>
      </c>
      <c r="AY793" s="2">
        <v>49.7</v>
      </c>
      <c r="AZ793" s="8" t="str">
        <f t="shared" si="182"/>
        <v>-</v>
      </c>
      <c r="BA793" s="2">
        <v>46.5</v>
      </c>
      <c r="BB793" s="8" t="str">
        <f t="shared" si="183"/>
        <v>-</v>
      </c>
      <c r="BC793" s="2">
        <v>51</v>
      </c>
      <c r="BD793" s="8" t="str">
        <f t="shared" si="184"/>
        <v>-</v>
      </c>
      <c r="BE793" s="2">
        <v>39</v>
      </c>
      <c r="BF793" s="8" t="str">
        <f t="shared" si="189"/>
        <v>+</v>
      </c>
      <c r="BG793" s="2">
        <v>42.5</v>
      </c>
      <c r="BH793" s="8" t="str">
        <f t="shared" si="185"/>
        <v>+</v>
      </c>
      <c r="BI793" s="2">
        <v>47.5</v>
      </c>
      <c r="BJ793" s="8" t="str">
        <f t="shared" si="186"/>
        <v>+</v>
      </c>
      <c r="BK793" s="2">
        <v>47</v>
      </c>
      <c r="BL793" s="8" t="str">
        <f t="shared" si="187"/>
        <v>-</v>
      </c>
    </row>
    <row r="794" spans="1:64">
      <c r="A794" s="1">
        <v>42370</v>
      </c>
      <c r="B794">
        <v>48</v>
      </c>
      <c r="C794">
        <v>48.8</v>
      </c>
      <c r="D794">
        <v>48</v>
      </c>
      <c r="E794">
        <v>49.9</v>
      </c>
      <c r="F794">
        <v>49.8</v>
      </c>
      <c r="G794">
        <v>43.5</v>
      </c>
      <c r="H794">
        <v>51.5</v>
      </c>
      <c r="I794">
        <v>33.5</v>
      </c>
      <c r="J794">
        <v>41</v>
      </c>
      <c r="K794">
        <v>51</v>
      </c>
      <c r="L794">
        <v>45.5</v>
      </c>
      <c r="W794" s="1">
        <v>42370</v>
      </c>
      <c r="X794">
        <v>1940.23999</v>
      </c>
      <c r="Y794" s="4">
        <f t="shared" si="188"/>
        <v>-5.073532197294639E-2</v>
      </c>
      <c r="Z794" s="4">
        <f t="shared" si="190"/>
        <v>-2.7443746722759246E-2</v>
      </c>
      <c r="AA794">
        <v>48</v>
      </c>
      <c r="AB794">
        <f t="shared" si="191"/>
        <v>55.1</v>
      </c>
      <c r="AP794" s="3">
        <v>42339</v>
      </c>
      <c r="AQ794" s="2">
        <v>48.4</v>
      </c>
      <c r="AR794" s="2" t="str">
        <f t="shared" si="178"/>
        <v>-</v>
      </c>
      <c r="AS794" s="2">
        <v>49</v>
      </c>
      <c r="AT794" s="8" t="str">
        <f t="shared" si="179"/>
        <v>-</v>
      </c>
      <c r="AU794" s="2">
        <v>49.8</v>
      </c>
      <c r="AV794" s="8" t="str">
        <f t="shared" si="180"/>
        <v>-</v>
      </c>
      <c r="AW794" s="2">
        <v>50.8</v>
      </c>
      <c r="AX794" s="8" t="str">
        <f t="shared" si="181"/>
        <v>+</v>
      </c>
      <c r="AY794" s="2">
        <v>49.6</v>
      </c>
      <c r="AZ794" s="8" t="str">
        <f t="shared" si="182"/>
        <v>-</v>
      </c>
      <c r="BA794" s="2">
        <v>43</v>
      </c>
      <c r="BB794" s="8" t="str">
        <f t="shared" si="183"/>
        <v>-</v>
      </c>
      <c r="BC794" s="2">
        <v>50.5</v>
      </c>
      <c r="BD794" s="8" t="str">
        <f t="shared" si="184"/>
        <v>-</v>
      </c>
      <c r="BE794" s="2">
        <v>35.5</v>
      </c>
      <c r="BF794" s="8" t="str">
        <f t="shared" si="189"/>
        <v>-</v>
      </c>
      <c r="BG794" s="2">
        <v>43</v>
      </c>
      <c r="BH794" s="8" t="str">
        <f t="shared" si="185"/>
        <v>+</v>
      </c>
      <c r="BI794" s="2">
        <v>47.5</v>
      </c>
      <c r="BJ794" s="8" t="str">
        <f t="shared" si="186"/>
        <v>+</v>
      </c>
      <c r="BK794" s="2">
        <v>49</v>
      </c>
      <c r="BL794" s="8" t="str">
        <f t="shared" si="187"/>
        <v>+</v>
      </c>
    </row>
    <row r="795" spans="1:64">
      <c r="A795" s="1">
        <v>42401</v>
      </c>
      <c r="B795">
        <v>48.2</v>
      </c>
      <c r="C795">
        <v>51.5</v>
      </c>
      <c r="D795">
        <v>45.9</v>
      </c>
      <c r="E795">
        <v>50.2</v>
      </c>
      <c r="F795">
        <v>50</v>
      </c>
      <c r="G795">
        <v>43.5</v>
      </c>
      <c r="H795">
        <v>51.5</v>
      </c>
      <c r="I795">
        <v>33.5</v>
      </c>
      <c r="J795">
        <v>43</v>
      </c>
      <c r="K795">
        <v>47</v>
      </c>
      <c r="L795">
        <v>51</v>
      </c>
      <c r="W795" s="1">
        <v>42401</v>
      </c>
      <c r="X795">
        <v>1932.2299800000001</v>
      </c>
      <c r="Y795" s="4">
        <f t="shared" si="188"/>
        <v>-4.1283604302991229E-3</v>
      </c>
      <c r="Z795" s="4">
        <f t="shared" si="190"/>
        <v>-8.1857933000712729E-2</v>
      </c>
      <c r="AA795">
        <v>48.2</v>
      </c>
      <c r="AB795">
        <f t="shared" si="191"/>
        <v>53.5</v>
      </c>
      <c r="AP795" s="3">
        <v>42370</v>
      </c>
      <c r="AQ795" s="2">
        <v>48</v>
      </c>
      <c r="AR795" s="2" t="str">
        <f t="shared" si="178"/>
        <v>-</v>
      </c>
      <c r="AS795" s="2">
        <v>48.8</v>
      </c>
      <c r="AT795" s="8" t="str">
        <f t="shared" si="179"/>
        <v>-</v>
      </c>
      <c r="AU795" s="2">
        <v>49.9</v>
      </c>
      <c r="AV795" s="8" t="str">
        <f t="shared" si="180"/>
        <v>+</v>
      </c>
      <c r="AW795" s="2">
        <v>48</v>
      </c>
      <c r="AX795" s="8" t="str">
        <f t="shared" si="181"/>
        <v>-</v>
      </c>
      <c r="AY795" s="2">
        <v>49.8</v>
      </c>
      <c r="AZ795" s="8" t="str">
        <f t="shared" si="182"/>
        <v>+</v>
      </c>
      <c r="BA795" s="2">
        <v>43.5</v>
      </c>
      <c r="BB795" s="8" t="str">
        <f t="shared" si="183"/>
        <v>+</v>
      </c>
      <c r="BC795" s="2">
        <v>51.5</v>
      </c>
      <c r="BD795" s="8" t="str">
        <f t="shared" si="184"/>
        <v>+</v>
      </c>
      <c r="BE795" s="2">
        <v>33.5</v>
      </c>
      <c r="BF795" s="8" t="str">
        <f t="shared" si="189"/>
        <v>-</v>
      </c>
      <c r="BG795" s="2">
        <v>41</v>
      </c>
      <c r="BH795" s="8" t="str">
        <f t="shared" si="185"/>
        <v>-</v>
      </c>
      <c r="BI795" s="2">
        <v>51</v>
      </c>
      <c r="BJ795" s="8" t="str">
        <f t="shared" si="186"/>
        <v>+</v>
      </c>
      <c r="BK795" s="2">
        <v>45.5</v>
      </c>
      <c r="BL795" s="8" t="str">
        <f t="shared" si="187"/>
        <v>-</v>
      </c>
    </row>
    <row r="796" spans="1:64">
      <c r="A796" s="1">
        <v>42430</v>
      </c>
      <c r="B796">
        <v>49.7</v>
      </c>
      <c r="C796">
        <v>51.5</v>
      </c>
      <c r="D796">
        <v>48.5</v>
      </c>
      <c r="E796">
        <v>52.8</v>
      </c>
      <c r="F796">
        <v>49.7</v>
      </c>
      <c r="G796">
        <v>45</v>
      </c>
      <c r="H796">
        <v>47</v>
      </c>
      <c r="I796">
        <v>38.5</v>
      </c>
      <c r="J796">
        <v>48.5</v>
      </c>
      <c r="K796">
        <v>46.5</v>
      </c>
      <c r="L796">
        <v>49</v>
      </c>
      <c r="W796" s="1">
        <v>42430</v>
      </c>
      <c r="X796">
        <v>2059.73999</v>
      </c>
      <c r="Y796" s="4">
        <f t="shared" si="188"/>
        <v>6.5991114577365145E-2</v>
      </c>
      <c r="Z796" s="4">
        <f t="shared" si="190"/>
        <v>-3.9411687380397648E-3</v>
      </c>
      <c r="AA796">
        <v>49.7</v>
      </c>
      <c r="AB796">
        <f t="shared" si="191"/>
        <v>52.9</v>
      </c>
      <c r="AP796" s="3">
        <v>42401</v>
      </c>
      <c r="AQ796" s="2">
        <v>48.2</v>
      </c>
      <c r="AR796" s="2" t="str">
        <f t="shared" si="178"/>
        <v>+</v>
      </c>
      <c r="AS796" s="2">
        <v>51.5</v>
      </c>
      <c r="AT796" s="8" t="str">
        <f t="shared" si="179"/>
        <v>+</v>
      </c>
      <c r="AU796" s="2">
        <v>50.2</v>
      </c>
      <c r="AV796" s="8" t="str">
        <f t="shared" si="180"/>
        <v>+</v>
      </c>
      <c r="AW796" s="2">
        <v>45.9</v>
      </c>
      <c r="AX796" s="8" t="str">
        <f t="shared" si="181"/>
        <v>-</v>
      </c>
      <c r="AY796" s="2">
        <v>50</v>
      </c>
      <c r="AZ796" s="8" t="str">
        <f t="shared" si="182"/>
        <v>+</v>
      </c>
      <c r="BA796" s="2">
        <v>43.5</v>
      </c>
      <c r="BB796" s="8" t="str">
        <f t="shared" si="183"/>
        <v>+</v>
      </c>
      <c r="BC796" s="2">
        <v>51.5</v>
      </c>
      <c r="BD796" s="8" t="str">
        <f t="shared" si="184"/>
        <v>+</v>
      </c>
      <c r="BE796" s="2">
        <v>33.5</v>
      </c>
      <c r="BF796" s="8" t="str">
        <f t="shared" si="189"/>
        <v>+</v>
      </c>
      <c r="BG796" s="2">
        <v>43</v>
      </c>
      <c r="BH796" s="8" t="str">
        <f t="shared" si="185"/>
        <v>+</v>
      </c>
      <c r="BI796" s="2">
        <v>47</v>
      </c>
      <c r="BJ796" s="8" t="str">
        <f t="shared" si="186"/>
        <v>-</v>
      </c>
      <c r="BK796" s="2">
        <v>51</v>
      </c>
      <c r="BL796" s="8" t="str">
        <f t="shared" si="187"/>
        <v>+</v>
      </c>
    </row>
    <row r="797" spans="1:64">
      <c r="A797" s="1">
        <v>42461</v>
      </c>
      <c r="B797">
        <v>51.7</v>
      </c>
      <c r="C797">
        <v>58.3</v>
      </c>
      <c r="D797">
        <v>48.1</v>
      </c>
      <c r="E797">
        <v>55.3</v>
      </c>
      <c r="F797">
        <v>50.2</v>
      </c>
      <c r="G797">
        <v>47</v>
      </c>
      <c r="H797">
        <v>49</v>
      </c>
      <c r="I797">
        <v>51.5</v>
      </c>
      <c r="J797">
        <v>51</v>
      </c>
      <c r="K797">
        <v>52</v>
      </c>
      <c r="L797">
        <v>49.5</v>
      </c>
      <c r="W797" s="1">
        <v>42461</v>
      </c>
      <c r="X797">
        <v>2065.3000489999999</v>
      </c>
      <c r="Y797" s="4">
        <f t="shared" si="188"/>
        <v>2.6993984808732631E-3</v>
      </c>
      <c r="Z797" s="4">
        <f t="shared" si="190"/>
        <v>-9.6906564356409024E-3</v>
      </c>
      <c r="AA797">
        <v>51.7</v>
      </c>
      <c r="AB797">
        <f t="shared" si="191"/>
        <v>51.5</v>
      </c>
      <c r="AP797" s="3">
        <v>42430</v>
      </c>
      <c r="AQ797" s="2">
        <v>49.7</v>
      </c>
      <c r="AR797" s="2" t="str">
        <f t="shared" si="178"/>
        <v>+</v>
      </c>
      <c r="AS797" s="2">
        <v>51.5</v>
      </c>
      <c r="AT797" s="8" t="str">
        <f t="shared" si="179"/>
        <v>+</v>
      </c>
      <c r="AU797" s="2">
        <v>52.8</v>
      </c>
      <c r="AV797" s="8" t="str">
        <f t="shared" si="180"/>
        <v>+</v>
      </c>
      <c r="AW797" s="2">
        <v>48.5</v>
      </c>
      <c r="AX797" s="8" t="str">
        <f t="shared" si="181"/>
        <v>+</v>
      </c>
      <c r="AY797" s="2">
        <v>49.7</v>
      </c>
      <c r="AZ797" s="8" t="str">
        <f t="shared" si="182"/>
        <v>-</v>
      </c>
      <c r="BA797" s="2">
        <v>45</v>
      </c>
      <c r="BB797" s="8" t="str">
        <f t="shared" si="183"/>
        <v>+</v>
      </c>
      <c r="BC797" s="2">
        <v>47</v>
      </c>
      <c r="BD797" s="8" t="str">
        <f t="shared" si="184"/>
        <v>-</v>
      </c>
      <c r="BE797" s="2">
        <v>38.5</v>
      </c>
      <c r="BF797" s="8" t="str">
        <f t="shared" si="189"/>
        <v>+</v>
      </c>
      <c r="BG797" s="2">
        <v>48.5</v>
      </c>
      <c r="BH797" s="8" t="str">
        <f t="shared" si="185"/>
        <v>+</v>
      </c>
      <c r="BI797" s="2">
        <v>46.5</v>
      </c>
      <c r="BJ797" s="8" t="str">
        <f t="shared" si="186"/>
        <v>-</v>
      </c>
      <c r="BK797" s="2">
        <v>49</v>
      </c>
      <c r="BL797" s="8" t="str">
        <f t="shared" si="187"/>
        <v>-</v>
      </c>
    </row>
    <row r="798" spans="1:64">
      <c r="A798" s="1">
        <v>42491</v>
      </c>
      <c r="B798">
        <v>50.7</v>
      </c>
      <c r="C798">
        <v>55.8</v>
      </c>
      <c r="D798">
        <v>49.2</v>
      </c>
      <c r="E798">
        <v>54.2</v>
      </c>
      <c r="F798">
        <v>49.1</v>
      </c>
      <c r="G798">
        <v>45.5</v>
      </c>
      <c r="H798">
        <v>46</v>
      </c>
      <c r="I798">
        <v>59</v>
      </c>
      <c r="J798">
        <v>50.5</v>
      </c>
      <c r="K798">
        <v>52.5</v>
      </c>
      <c r="L798">
        <v>50</v>
      </c>
      <c r="W798" s="1">
        <v>42491</v>
      </c>
      <c r="X798">
        <v>2096.9499510000001</v>
      </c>
      <c r="Y798" s="4">
        <f t="shared" si="188"/>
        <v>1.5324602357572555E-2</v>
      </c>
      <c r="Z798" s="4">
        <f t="shared" si="190"/>
        <v>-4.9539679556582054E-3</v>
      </c>
      <c r="AA798">
        <v>50.7</v>
      </c>
      <c r="AB798">
        <f t="shared" si="191"/>
        <v>51.5</v>
      </c>
      <c r="AP798" s="3">
        <v>42461</v>
      </c>
      <c r="AQ798" s="2">
        <v>51.7</v>
      </c>
      <c r="AR798" s="2" t="str">
        <f t="shared" si="178"/>
        <v>+</v>
      </c>
      <c r="AS798" s="2">
        <v>58.3</v>
      </c>
      <c r="AT798" s="8" t="str">
        <f t="shared" si="179"/>
        <v>+</v>
      </c>
      <c r="AU798" s="2">
        <v>55.3</v>
      </c>
      <c r="AV798" s="8" t="str">
        <f t="shared" si="180"/>
        <v>+</v>
      </c>
      <c r="AW798" s="2">
        <v>48.1</v>
      </c>
      <c r="AX798" s="8" t="str">
        <f t="shared" si="181"/>
        <v>-</v>
      </c>
      <c r="AY798" s="2">
        <v>50.2</v>
      </c>
      <c r="AZ798" s="8" t="str">
        <f t="shared" si="182"/>
        <v>+</v>
      </c>
      <c r="BA798" s="2">
        <v>47</v>
      </c>
      <c r="BB798" s="8" t="str">
        <f t="shared" si="183"/>
        <v>+</v>
      </c>
      <c r="BC798" s="2">
        <v>49</v>
      </c>
      <c r="BD798" s="8" t="str">
        <f t="shared" si="184"/>
        <v>+</v>
      </c>
      <c r="BE798" s="2">
        <v>51.5</v>
      </c>
      <c r="BF798" s="8" t="str">
        <f t="shared" si="189"/>
        <v>+</v>
      </c>
      <c r="BG798" s="2">
        <v>51</v>
      </c>
      <c r="BH798" s="8" t="str">
        <f t="shared" si="185"/>
        <v>+</v>
      </c>
      <c r="BI798" s="2">
        <v>52</v>
      </c>
      <c r="BJ798" s="8" t="str">
        <f t="shared" si="186"/>
        <v>+</v>
      </c>
      <c r="BK798" s="2">
        <v>49.5</v>
      </c>
      <c r="BL798" s="8" t="str">
        <f t="shared" si="187"/>
        <v>+</v>
      </c>
    </row>
    <row r="799" spans="1:64">
      <c r="A799" s="1">
        <v>42522</v>
      </c>
      <c r="B799">
        <v>51</v>
      </c>
      <c r="C799">
        <v>55.7</v>
      </c>
      <c r="D799">
        <v>49.2</v>
      </c>
      <c r="E799">
        <v>52.6</v>
      </c>
      <c r="F799">
        <v>54.1</v>
      </c>
      <c r="G799">
        <v>45</v>
      </c>
      <c r="H799">
        <v>50</v>
      </c>
      <c r="I799">
        <v>63.5</v>
      </c>
      <c r="J799">
        <v>47</v>
      </c>
      <c r="K799">
        <v>52.5</v>
      </c>
      <c r="L799">
        <v>50</v>
      </c>
      <c r="W799" s="1">
        <v>42522</v>
      </c>
      <c r="X799">
        <v>2098.860107</v>
      </c>
      <c r="Y799" s="4">
        <f t="shared" si="188"/>
        <v>9.1092112097811118E-4</v>
      </c>
      <c r="Z799" s="4">
        <f t="shared" si="190"/>
        <v>1.732820748572873E-2</v>
      </c>
      <c r="AA799">
        <v>51</v>
      </c>
      <c r="AB799">
        <f t="shared" si="191"/>
        <v>52.8</v>
      </c>
      <c r="AP799" s="3">
        <v>42491</v>
      </c>
      <c r="AQ799" s="2">
        <v>50.7</v>
      </c>
      <c r="AR799" s="2" t="str">
        <f t="shared" si="178"/>
        <v>-</v>
      </c>
      <c r="AS799" s="2">
        <v>55.8</v>
      </c>
      <c r="AT799" s="8" t="str">
        <f t="shared" si="179"/>
        <v>-</v>
      </c>
      <c r="AU799" s="2">
        <v>54.2</v>
      </c>
      <c r="AV799" s="8" t="str">
        <f t="shared" si="180"/>
        <v>-</v>
      </c>
      <c r="AW799" s="2">
        <v>49.2</v>
      </c>
      <c r="AX799" s="8" t="str">
        <f t="shared" si="181"/>
        <v>+</v>
      </c>
      <c r="AY799" s="2">
        <v>49.1</v>
      </c>
      <c r="AZ799" s="8" t="str">
        <f t="shared" si="182"/>
        <v>-</v>
      </c>
      <c r="BA799" s="2">
        <v>45.5</v>
      </c>
      <c r="BB799" s="8" t="str">
        <f t="shared" si="183"/>
        <v>-</v>
      </c>
      <c r="BC799" s="2">
        <v>46</v>
      </c>
      <c r="BD799" s="8" t="str">
        <f t="shared" si="184"/>
        <v>-</v>
      </c>
      <c r="BE799" s="2">
        <v>59</v>
      </c>
      <c r="BF799" s="8" t="str">
        <f t="shared" si="189"/>
        <v>+</v>
      </c>
      <c r="BG799" s="2">
        <v>50.5</v>
      </c>
      <c r="BH799" s="8" t="str">
        <f t="shared" si="185"/>
        <v>-</v>
      </c>
      <c r="BI799" s="2">
        <v>52.5</v>
      </c>
      <c r="BJ799" s="8" t="str">
        <f t="shared" si="186"/>
        <v>+</v>
      </c>
      <c r="BK799" s="2">
        <v>50</v>
      </c>
      <c r="BL799" s="8" t="str">
        <f t="shared" si="187"/>
        <v>+</v>
      </c>
    </row>
    <row r="800" spans="1:64">
      <c r="A800" s="1">
        <v>42552</v>
      </c>
      <c r="B800">
        <v>52.8</v>
      </c>
      <c r="C800">
        <v>57</v>
      </c>
      <c r="D800">
        <v>50.4</v>
      </c>
      <c r="E800">
        <v>54.7</v>
      </c>
      <c r="F800">
        <v>55.4</v>
      </c>
      <c r="G800">
        <v>48.5</v>
      </c>
      <c r="H800">
        <v>51</v>
      </c>
      <c r="I800">
        <v>60.5</v>
      </c>
      <c r="J800">
        <v>52.5</v>
      </c>
      <c r="K800">
        <v>53.5</v>
      </c>
      <c r="L800">
        <v>52</v>
      </c>
      <c r="W800" s="1">
        <v>42552</v>
      </c>
      <c r="X800">
        <v>2173.6000979999999</v>
      </c>
      <c r="Y800" s="4">
        <f t="shared" si="188"/>
        <v>3.5609801125254283E-2</v>
      </c>
      <c r="Z800" s="4">
        <f t="shared" si="190"/>
        <v>3.3158418454853573E-2</v>
      </c>
      <c r="AA800">
        <v>52.8</v>
      </c>
      <c r="AB800">
        <f t="shared" si="191"/>
        <v>53.5</v>
      </c>
      <c r="AP800" s="3">
        <v>42522</v>
      </c>
      <c r="AQ800" s="2">
        <v>51</v>
      </c>
      <c r="AR800" s="2" t="str">
        <f t="shared" si="178"/>
        <v>+</v>
      </c>
      <c r="AS800" s="2">
        <v>55.7</v>
      </c>
      <c r="AT800" s="8" t="str">
        <f t="shared" si="179"/>
        <v>-</v>
      </c>
      <c r="AU800" s="2">
        <v>52.6</v>
      </c>
      <c r="AV800" s="8" t="str">
        <f t="shared" si="180"/>
        <v>-</v>
      </c>
      <c r="AW800" s="2">
        <v>49.2</v>
      </c>
      <c r="AX800" s="8" t="str">
        <f t="shared" si="181"/>
        <v>+</v>
      </c>
      <c r="AY800" s="2">
        <v>54.1</v>
      </c>
      <c r="AZ800" s="8" t="str">
        <f t="shared" si="182"/>
        <v>+</v>
      </c>
      <c r="BA800" s="2">
        <v>45</v>
      </c>
      <c r="BB800" s="8" t="str">
        <f t="shared" si="183"/>
        <v>-</v>
      </c>
      <c r="BC800" s="2">
        <v>50</v>
      </c>
      <c r="BD800" s="8" t="str">
        <f t="shared" si="184"/>
        <v>+</v>
      </c>
      <c r="BE800" s="2">
        <v>63.5</v>
      </c>
      <c r="BF800" s="8" t="str">
        <f t="shared" si="189"/>
        <v>+</v>
      </c>
      <c r="BG800" s="2">
        <v>47</v>
      </c>
      <c r="BH800" s="8" t="str">
        <f t="shared" si="185"/>
        <v>-</v>
      </c>
      <c r="BI800" s="2">
        <v>52.5</v>
      </c>
      <c r="BJ800" s="8" t="str">
        <f t="shared" si="186"/>
        <v>+</v>
      </c>
      <c r="BK800" s="2">
        <v>50</v>
      </c>
      <c r="BL800" s="8" t="str">
        <f t="shared" si="187"/>
        <v>+</v>
      </c>
    </row>
    <row r="801" spans="1:64">
      <c r="A801" s="1">
        <v>42583</v>
      </c>
      <c r="B801">
        <v>52.3</v>
      </c>
      <c r="C801">
        <v>56.9</v>
      </c>
      <c r="D801">
        <v>49.4</v>
      </c>
      <c r="E801">
        <v>55.4</v>
      </c>
      <c r="F801">
        <v>51.8</v>
      </c>
      <c r="G801">
        <v>49.5</v>
      </c>
      <c r="H801">
        <v>51</v>
      </c>
      <c r="I801">
        <v>55</v>
      </c>
      <c r="J801">
        <v>48</v>
      </c>
      <c r="K801">
        <v>52.5</v>
      </c>
      <c r="L801">
        <v>52</v>
      </c>
      <c r="W801" s="1">
        <v>42583</v>
      </c>
      <c r="X801">
        <v>2170.9499510000001</v>
      </c>
      <c r="Y801" s="4">
        <f t="shared" si="188"/>
        <v>-1.2192431360480338E-3</v>
      </c>
      <c r="Z801" s="4">
        <f t="shared" si="190"/>
        <v>0.10078689143866584</v>
      </c>
      <c r="AA801">
        <v>52.3</v>
      </c>
      <c r="AB801">
        <f t="shared" si="191"/>
        <v>52.7</v>
      </c>
      <c r="AP801" s="3">
        <v>42552</v>
      </c>
      <c r="AQ801" s="2">
        <v>52.8</v>
      </c>
      <c r="AR801" s="2" t="str">
        <f t="shared" si="178"/>
        <v>+</v>
      </c>
      <c r="AS801" s="2">
        <v>57</v>
      </c>
      <c r="AT801" s="8" t="str">
        <f t="shared" si="179"/>
        <v>+</v>
      </c>
      <c r="AU801" s="2">
        <v>54.7</v>
      </c>
      <c r="AV801" s="8" t="str">
        <f t="shared" si="180"/>
        <v>+</v>
      </c>
      <c r="AW801" s="2">
        <v>50.4</v>
      </c>
      <c r="AX801" s="8" t="str">
        <f t="shared" si="181"/>
        <v>+</v>
      </c>
      <c r="AY801" s="2">
        <v>55.4</v>
      </c>
      <c r="AZ801" s="8" t="str">
        <f t="shared" si="182"/>
        <v>+</v>
      </c>
      <c r="BA801" s="2">
        <v>48.5</v>
      </c>
      <c r="BB801" s="8" t="str">
        <f t="shared" si="183"/>
        <v>+</v>
      </c>
      <c r="BC801" s="2">
        <v>51</v>
      </c>
      <c r="BD801" s="8" t="str">
        <f t="shared" si="184"/>
        <v>+</v>
      </c>
      <c r="BE801" s="2">
        <v>60.5</v>
      </c>
      <c r="BF801" s="8" t="str">
        <f t="shared" si="189"/>
        <v>-</v>
      </c>
      <c r="BG801" s="2">
        <v>52.5</v>
      </c>
      <c r="BH801" s="8" t="str">
        <f t="shared" si="185"/>
        <v>+</v>
      </c>
      <c r="BI801" s="2">
        <v>53.5</v>
      </c>
      <c r="BJ801" s="8" t="str">
        <f t="shared" si="186"/>
        <v>+</v>
      </c>
      <c r="BK801" s="2">
        <v>52</v>
      </c>
      <c r="BL801" s="8" t="str">
        <f t="shared" si="187"/>
        <v>+</v>
      </c>
    </row>
    <row r="802" spans="1:64">
      <c r="A802" s="1">
        <v>42614</v>
      </c>
      <c r="B802">
        <v>49.4</v>
      </c>
      <c r="C802">
        <v>49.1</v>
      </c>
      <c r="D802">
        <v>48.3</v>
      </c>
      <c r="E802">
        <v>49.6</v>
      </c>
      <c r="F802">
        <v>50.9</v>
      </c>
      <c r="G802">
        <v>49</v>
      </c>
      <c r="H802">
        <v>49.5</v>
      </c>
      <c r="I802">
        <v>53</v>
      </c>
      <c r="J802">
        <v>45.5</v>
      </c>
      <c r="K802">
        <v>52.5</v>
      </c>
      <c r="L802">
        <v>47</v>
      </c>
      <c r="W802" s="1">
        <v>42614</v>
      </c>
      <c r="X802">
        <v>2168.2700199999999</v>
      </c>
      <c r="Y802" s="4">
        <f t="shared" si="188"/>
        <v>-1.2344508443253945E-3</v>
      </c>
      <c r="Z802" s="4">
        <f t="shared" si="190"/>
        <v>0.1292896398757313</v>
      </c>
      <c r="AA802">
        <v>49.4</v>
      </c>
      <c r="AB802">
        <f t="shared" si="191"/>
        <v>51.1</v>
      </c>
      <c r="AP802" s="3">
        <v>42583</v>
      </c>
      <c r="AQ802" s="2">
        <v>52.3</v>
      </c>
      <c r="AR802" s="2" t="str">
        <f t="shared" si="178"/>
        <v>-</v>
      </c>
      <c r="AS802" s="2">
        <v>56.9</v>
      </c>
      <c r="AT802" s="8" t="str">
        <f t="shared" si="179"/>
        <v>-</v>
      </c>
      <c r="AU802" s="2">
        <v>55.4</v>
      </c>
      <c r="AV802" s="8" t="str">
        <f t="shared" si="180"/>
        <v>+</v>
      </c>
      <c r="AW802" s="2">
        <v>49.4</v>
      </c>
      <c r="AX802" s="8" t="str">
        <f t="shared" si="181"/>
        <v>-</v>
      </c>
      <c r="AY802" s="2">
        <v>51.8</v>
      </c>
      <c r="AZ802" s="8" t="str">
        <f t="shared" si="182"/>
        <v>-</v>
      </c>
      <c r="BA802" s="2">
        <v>49.5</v>
      </c>
      <c r="BB802" s="8" t="str">
        <f t="shared" si="183"/>
        <v>+</v>
      </c>
      <c r="BC802" s="2">
        <v>51</v>
      </c>
      <c r="BD802" s="8" t="str">
        <f t="shared" si="184"/>
        <v>+</v>
      </c>
      <c r="BE802" s="2">
        <v>55</v>
      </c>
      <c r="BF802" s="8" t="str">
        <f t="shared" si="189"/>
        <v>-</v>
      </c>
      <c r="BG802" s="2">
        <v>48</v>
      </c>
      <c r="BH802" s="8" t="str">
        <f t="shared" si="185"/>
        <v>-</v>
      </c>
      <c r="BI802" s="2">
        <v>52.5</v>
      </c>
      <c r="BJ802" s="8" t="str">
        <f t="shared" si="186"/>
        <v>-</v>
      </c>
      <c r="BK802" s="2">
        <v>52</v>
      </c>
      <c r="BL802" s="8" t="str">
        <f t="shared" si="187"/>
        <v>+</v>
      </c>
    </row>
    <row r="803" spans="1:64">
      <c r="A803" s="1">
        <v>42644</v>
      </c>
      <c r="B803">
        <v>51.7</v>
      </c>
      <c r="C803">
        <v>55.1</v>
      </c>
      <c r="D803">
        <v>49.7</v>
      </c>
      <c r="E803">
        <v>52.8</v>
      </c>
      <c r="F803">
        <v>50.3</v>
      </c>
      <c r="G803">
        <v>49.5</v>
      </c>
      <c r="H803">
        <v>53</v>
      </c>
      <c r="I803">
        <v>53</v>
      </c>
      <c r="J803">
        <v>49.5</v>
      </c>
      <c r="K803">
        <v>52</v>
      </c>
      <c r="L803">
        <v>49</v>
      </c>
      <c r="W803" s="1">
        <v>42644</v>
      </c>
      <c r="X803">
        <v>2126.1499020000001</v>
      </c>
      <c r="Y803" s="4">
        <f t="shared" si="188"/>
        <v>-1.9425679279557545E-2</v>
      </c>
      <c r="Z803" s="4">
        <f t="shared" si="190"/>
        <v>2.2502016289764351E-2</v>
      </c>
      <c r="AA803">
        <v>51.7</v>
      </c>
      <c r="AB803">
        <f t="shared" si="191"/>
        <v>50.2</v>
      </c>
      <c r="AP803" s="3">
        <v>42614</v>
      </c>
      <c r="AQ803" s="2">
        <v>49.4</v>
      </c>
      <c r="AR803" s="2" t="str">
        <f t="shared" si="178"/>
        <v>-</v>
      </c>
      <c r="AS803" s="2">
        <v>49.1</v>
      </c>
      <c r="AT803" s="8" t="str">
        <f t="shared" si="179"/>
        <v>-</v>
      </c>
      <c r="AU803" s="2">
        <v>49.6</v>
      </c>
      <c r="AV803" s="8" t="str">
        <f t="shared" si="180"/>
        <v>-</v>
      </c>
      <c r="AW803" s="2">
        <v>48.3</v>
      </c>
      <c r="AX803" s="8" t="str">
        <f t="shared" si="181"/>
        <v>-</v>
      </c>
      <c r="AY803" s="2">
        <v>50.9</v>
      </c>
      <c r="AZ803" s="8" t="str">
        <f t="shared" si="182"/>
        <v>-</v>
      </c>
      <c r="BA803" s="2">
        <v>49</v>
      </c>
      <c r="BB803" s="8" t="str">
        <f t="shared" si="183"/>
        <v>-</v>
      </c>
      <c r="BC803" s="2">
        <v>49.5</v>
      </c>
      <c r="BD803" s="8" t="str">
        <f t="shared" si="184"/>
        <v>-</v>
      </c>
      <c r="BE803" s="2">
        <v>53</v>
      </c>
      <c r="BF803" s="8" t="str">
        <f t="shared" si="189"/>
        <v>-</v>
      </c>
      <c r="BG803" s="2">
        <v>45.5</v>
      </c>
      <c r="BH803" s="8" t="str">
        <f t="shared" si="185"/>
        <v>-</v>
      </c>
      <c r="BI803" s="2">
        <v>52.5</v>
      </c>
      <c r="BJ803" s="8" t="str">
        <f t="shared" si="186"/>
        <v>+</v>
      </c>
      <c r="BK803" s="2">
        <v>47</v>
      </c>
      <c r="BL803" s="8" t="str">
        <f t="shared" si="187"/>
        <v>-</v>
      </c>
    </row>
    <row r="804" spans="1:64">
      <c r="A804" s="1">
        <v>42675</v>
      </c>
      <c r="B804">
        <v>52</v>
      </c>
      <c r="C804">
        <v>52.1</v>
      </c>
      <c r="D804">
        <v>52.9</v>
      </c>
      <c r="E804">
        <v>54.6</v>
      </c>
      <c r="F804">
        <v>52.2</v>
      </c>
      <c r="G804">
        <v>47.5</v>
      </c>
      <c r="H804">
        <v>49.5</v>
      </c>
      <c r="I804">
        <v>54.5</v>
      </c>
      <c r="J804">
        <v>45.5</v>
      </c>
      <c r="K804">
        <v>52.5</v>
      </c>
      <c r="L804">
        <v>52</v>
      </c>
      <c r="W804" s="1">
        <v>42675</v>
      </c>
      <c r="X804">
        <v>2198.8100589999999</v>
      </c>
      <c r="Y804" s="4">
        <f t="shared" si="188"/>
        <v>3.4174522187570479E-2</v>
      </c>
      <c r="Z804" s="4">
        <f t="shared" si="190"/>
        <v>5.6911931786642937E-2</v>
      </c>
      <c r="AA804">
        <v>52</v>
      </c>
      <c r="AB804">
        <f t="shared" si="191"/>
        <v>49.4</v>
      </c>
      <c r="AP804" s="3">
        <v>42644</v>
      </c>
      <c r="AQ804" s="2">
        <v>51.7</v>
      </c>
      <c r="AR804" s="2" t="str">
        <f t="shared" si="178"/>
        <v>+</v>
      </c>
      <c r="AS804" s="2">
        <v>55.1</v>
      </c>
      <c r="AT804" s="8" t="str">
        <f t="shared" si="179"/>
        <v>+</v>
      </c>
      <c r="AU804" s="2">
        <v>52.8</v>
      </c>
      <c r="AV804" s="8" t="str">
        <f t="shared" si="180"/>
        <v>+</v>
      </c>
      <c r="AW804" s="2">
        <v>49.7</v>
      </c>
      <c r="AX804" s="8" t="str">
        <f t="shared" si="181"/>
        <v>+</v>
      </c>
      <c r="AY804" s="2">
        <v>50.3</v>
      </c>
      <c r="AZ804" s="8" t="str">
        <f t="shared" si="182"/>
        <v>-</v>
      </c>
      <c r="BA804" s="2">
        <v>49.5</v>
      </c>
      <c r="BB804" s="8" t="str">
        <f t="shared" si="183"/>
        <v>+</v>
      </c>
      <c r="BC804" s="2">
        <v>53</v>
      </c>
      <c r="BD804" s="8" t="str">
        <f t="shared" si="184"/>
        <v>+</v>
      </c>
      <c r="BE804" s="2">
        <v>53</v>
      </c>
      <c r="BF804" s="8" t="str">
        <f t="shared" si="189"/>
        <v>+</v>
      </c>
      <c r="BG804" s="2">
        <v>49.5</v>
      </c>
      <c r="BH804" s="8" t="str">
        <f t="shared" si="185"/>
        <v>+</v>
      </c>
      <c r="BI804" s="2">
        <v>52</v>
      </c>
      <c r="BJ804" s="8" t="str">
        <f t="shared" si="186"/>
        <v>-</v>
      </c>
      <c r="BK804" s="2">
        <v>49</v>
      </c>
      <c r="BL804" s="8" t="str">
        <f t="shared" si="187"/>
        <v>+</v>
      </c>
    </row>
    <row r="805" spans="1:64">
      <c r="A805" s="1">
        <v>42705</v>
      </c>
      <c r="B805">
        <v>53.5</v>
      </c>
      <c r="C805">
        <v>54.8</v>
      </c>
      <c r="D805">
        <v>52.5</v>
      </c>
      <c r="E805">
        <v>55.6</v>
      </c>
      <c r="F805">
        <v>55.5</v>
      </c>
      <c r="G805">
        <v>49</v>
      </c>
      <c r="H805">
        <v>49</v>
      </c>
      <c r="I805">
        <v>54.5</v>
      </c>
      <c r="J805">
        <v>49</v>
      </c>
      <c r="K805">
        <v>52</v>
      </c>
      <c r="L805">
        <v>50.5</v>
      </c>
      <c r="W805" s="1">
        <v>42705</v>
      </c>
      <c r="X805">
        <v>2238.830078</v>
      </c>
      <c r="Y805" s="4">
        <f t="shared" si="188"/>
        <v>1.8200762196895176E-2</v>
      </c>
      <c r="Z805" s="4">
        <f t="shared" si="190"/>
        <v>9.5350226829389928E-2</v>
      </c>
      <c r="AA805">
        <v>53.5</v>
      </c>
      <c r="AB805">
        <f t="shared" si="191"/>
        <v>48.4</v>
      </c>
      <c r="AP805" s="3">
        <v>42675</v>
      </c>
      <c r="AQ805" s="2">
        <v>52</v>
      </c>
      <c r="AR805" s="2" t="str">
        <f t="shared" si="178"/>
        <v>+</v>
      </c>
      <c r="AS805" s="2">
        <v>52.1</v>
      </c>
      <c r="AT805" s="8" t="str">
        <f t="shared" si="179"/>
        <v>-</v>
      </c>
      <c r="AU805" s="2">
        <v>54.6</v>
      </c>
      <c r="AV805" s="8" t="str">
        <f t="shared" si="180"/>
        <v>+</v>
      </c>
      <c r="AW805" s="2">
        <v>52.9</v>
      </c>
      <c r="AX805" s="8" t="str">
        <f t="shared" si="181"/>
        <v>+</v>
      </c>
      <c r="AY805" s="2">
        <v>52.2</v>
      </c>
      <c r="AZ805" s="8" t="str">
        <f t="shared" si="182"/>
        <v>+</v>
      </c>
      <c r="BA805" s="2">
        <v>47.5</v>
      </c>
      <c r="BB805" s="8" t="str">
        <f t="shared" si="183"/>
        <v>-</v>
      </c>
      <c r="BC805" s="2">
        <v>49.5</v>
      </c>
      <c r="BD805" s="8" t="str">
        <f t="shared" si="184"/>
        <v>-</v>
      </c>
      <c r="BE805" s="2">
        <v>54.5</v>
      </c>
      <c r="BF805" s="8" t="str">
        <f t="shared" si="189"/>
        <v>+</v>
      </c>
      <c r="BG805" s="2">
        <v>45.5</v>
      </c>
      <c r="BH805" s="8" t="str">
        <f t="shared" si="185"/>
        <v>-</v>
      </c>
      <c r="BI805" s="2">
        <v>52.5</v>
      </c>
      <c r="BJ805" s="8" t="str">
        <f t="shared" si="186"/>
        <v>+</v>
      </c>
      <c r="BK805" s="2">
        <v>52</v>
      </c>
      <c r="BL805" s="8" t="str">
        <f t="shared" si="187"/>
        <v>+</v>
      </c>
    </row>
    <row r="806" spans="1:64">
      <c r="A806" s="1">
        <v>42736</v>
      </c>
      <c r="B806">
        <v>54.5</v>
      </c>
      <c r="C806">
        <v>60.3</v>
      </c>
      <c r="D806">
        <v>52.8</v>
      </c>
      <c r="E806">
        <v>59.4</v>
      </c>
      <c r="F806">
        <v>53</v>
      </c>
      <c r="G806">
        <v>47</v>
      </c>
      <c r="H806">
        <v>49</v>
      </c>
      <c r="I806">
        <v>65.5</v>
      </c>
      <c r="J806">
        <v>49</v>
      </c>
      <c r="K806">
        <v>56</v>
      </c>
      <c r="L806">
        <v>50.5</v>
      </c>
      <c r="W806" s="1">
        <v>42736</v>
      </c>
      <c r="X806">
        <v>2278.8701169999999</v>
      </c>
      <c r="Y806" s="4">
        <f t="shared" si="188"/>
        <v>1.7884358171464578E-2</v>
      </c>
      <c r="Z806" s="4">
        <f t="shared" si="190"/>
        <v>0.17453002141245419</v>
      </c>
      <c r="AA806">
        <v>54.5</v>
      </c>
      <c r="AB806">
        <f t="shared" si="191"/>
        <v>48</v>
      </c>
      <c r="AP806" s="3">
        <v>42705</v>
      </c>
      <c r="AQ806" s="2">
        <v>53.5</v>
      </c>
      <c r="AR806" s="2" t="str">
        <f t="shared" ref="AR806:AR833" si="192">IF(OR(AQ806&gt;AQ805,AQ806=AQ805),"+","-")</f>
        <v>+</v>
      </c>
      <c r="AS806" s="2">
        <v>54.8</v>
      </c>
      <c r="AT806" s="8" t="str">
        <f t="shared" si="179"/>
        <v>+</v>
      </c>
      <c r="AU806" s="2">
        <v>55.6</v>
      </c>
      <c r="AV806" s="8" t="str">
        <f t="shared" si="180"/>
        <v>+</v>
      </c>
      <c r="AW806" s="2">
        <v>52.5</v>
      </c>
      <c r="AX806" s="8" t="str">
        <f t="shared" si="181"/>
        <v>-</v>
      </c>
      <c r="AY806" s="2">
        <v>55.5</v>
      </c>
      <c r="AZ806" s="8" t="str">
        <f t="shared" si="182"/>
        <v>+</v>
      </c>
      <c r="BA806" s="2">
        <v>49</v>
      </c>
      <c r="BB806" s="8" t="str">
        <f t="shared" si="183"/>
        <v>+</v>
      </c>
      <c r="BC806" s="2">
        <v>49</v>
      </c>
      <c r="BD806" s="8" t="str">
        <f t="shared" si="184"/>
        <v>-</v>
      </c>
      <c r="BE806" s="2">
        <v>54.5</v>
      </c>
      <c r="BF806" s="8" t="str">
        <f t="shared" si="189"/>
        <v>+</v>
      </c>
      <c r="BG806" s="2">
        <v>49</v>
      </c>
      <c r="BH806" s="8" t="str">
        <f t="shared" si="185"/>
        <v>+</v>
      </c>
      <c r="BI806" s="2">
        <v>52</v>
      </c>
      <c r="BJ806" s="8" t="str">
        <f t="shared" si="186"/>
        <v>-</v>
      </c>
      <c r="BK806" s="2">
        <v>50.5</v>
      </c>
      <c r="BL806" s="8" t="str">
        <f t="shared" si="187"/>
        <v>-</v>
      </c>
    </row>
    <row r="807" spans="1:64">
      <c r="A807" s="1">
        <v>42767</v>
      </c>
      <c r="B807">
        <v>56</v>
      </c>
      <c r="C807">
        <v>60.4</v>
      </c>
      <c r="D807">
        <v>56.1</v>
      </c>
      <c r="E807">
        <v>61.4</v>
      </c>
      <c r="F807">
        <v>53.6</v>
      </c>
      <c r="G807">
        <v>48.5</v>
      </c>
      <c r="H807">
        <v>48.5</v>
      </c>
      <c r="I807">
        <v>69</v>
      </c>
      <c r="J807">
        <v>49.5</v>
      </c>
      <c r="K807">
        <v>54.5</v>
      </c>
      <c r="L807">
        <v>50</v>
      </c>
      <c r="W807" s="1">
        <v>42767</v>
      </c>
      <c r="X807">
        <v>2363.639893</v>
      </c>
      <c r="Y807" s="4">
        <f t="shared" si="188"/>
        <v>3.719816033727915E-2</v>
      </c>
      <c r="Z807" s="4">
        <f t="shared" si="190"/>
        <v>0.2232704789105901</v>
      </c>
      <c r="AA807">
        <v>56</v>
      </c>
      <c r="AB807">
        <f t="shared" si="191"/>
        <v>48.2</v>
      </c>
      <c r="AP807" s="3">
        <v>42736</v>
      </c>
      <c r="AQ807" s="2">
        <v>54.5</v>
      </c>
      <c r="AR807" s="2" t="str">
        <f t="shared" si="192"/>
        <v>+</v>
      </c>
      <c r="AS807" s="2">
        <v>60.3</v>
      </c>
      <c r="AT807" s="8" t="str">
        <f t="shared" ref="AT807:AT834" si="193">IF(OR(AS807&gt;AS806,AS807=AS806),"+","-")</f>
        <v>+</v>
      </c>
      <c r="AU807" s="2">
        <v>59.4</v>
      </c>
      <c r="AV807" s="8" t="str">
        <f t="shared" ref="AV807:AV834" si="194">IF(OR(AU807&gt;AU806,AU807=AU806),"+","-")</f>
        <v>+</v>
      </c>
      <c r="AW807" s="2">
        <v>52.8</v>
      </c>
      <c r="AX807" s="8" t="str">
        <f t="shared" ref="AX807:AX834" si="195">IF(OR(AW807&gt;AW806,AW807=AW806),"+","-")</f>
        <v>+</v>
      </c>
      <c r="AY807" s="2">
        <v>53</v>
      </c>
      <c r="AZ807" s="8" t="str">
        <f t="shared" ref="AZ807:AZ834" si="196">IF(OR(AY807&gt;AY806,AY807=AY806),"+","-")</f>
        <v>-</v>
      </c>
      <c r="BA807" s="2">
        <v>47</v>
      </c>
      <c r="BB807" s="8" t="str">
        <f t="shared" ref="BB807:BB834" si="197">IF(OR(BA807&gt;BA806,BA807=BA806),"+","-")</f>
        <v>-</v>
      </c>
      <c r="BC807" s="2">
        <v>49</v>
      </c>
      <c r="BD807" s="8" t="str">
        <f t="shared" ref="BD807:BD834" si="198">IF(OR(BC807&gt;BC806,BC807=BC806),"+","-")</f>
        <v>+</v>
      </c>
      <c r="BE807" s="2">
        <v>65.5</v>
      </c>
      <c r="BF807" s="8" t="str">
        <f t="shared" si="189"/>
        <v>+</v>
      </c>
      <c r="BG807" s="2">
        <v>49</v>
      </c>
      <c r="BH807" s="8" t="str">
        <f t="shared" ref="BH807:BH834" si="199">IF(OR(BG807&gt;BG806,BG807=BG806),"+","-")</f>
        <v>+</v>
      </c>
      <c r="BI807" s="2">
        <v>56</v>
      </c>
      <c r="BJ807" s="8" t="str">
        <f t="shared" ref="BJ807:BJ834" si="200">IF(OR(BI807&gt;BI806,BI807=BI806),"+","-")</f>
        <v>+</v>
      </c>
      <c r="BK807" s="2">
        <v>50.5</v>
      </c>
      <c r="BL807" s="8" t="str">
        <f t="shared" ref="BL807:BL834" si="201">IF(OR(BK807&gt;BK806,BK807=BK806),"+","-")</f>
        <v>+</v>
      </c>
    </row>
    <row r="808" spans="1:64">
      <c r="A808" s="1">
        <v>42795</v>
      </c>
      <c r="B808">
        <v>57.6</v>
      </c>
      <c r="C808">
        <v>65.099999999999994</v>
      </c>
      <c r="D808">
        <v>54.2</v>
      </c>
      <c r="E808">
        <v>62.9</v>
      </c>
      <c r="F808">
        <v>54.8</v>
      </c>
      <c r="G808">
        <v>51.5</v>
      </c>
      <c r="H808">
        <v>47.5</v>
      </c>
      <c r="I808">
        <v>68</v>
      </c>
      <c r="J808">
        <v>57</v>
      </c>
      <c r="K808">
        <v>55</v>
      </c>
      <c r="L808">
        <v>54</v>
      </c>
      <c r="W808" s="1">
        <v>42795</v>
      </c>
      <c r="X808">
        <v>2362.719971</v>
      </c>
      <c r="Y808" s="4">
        <f t="shared" si="188"/>
        <v>-3.8919718808453973E-4</v>
      </c>
      <c r="Z808" s="4">
        <f t="shared" si="190"/>
        <v>0.1470962269368766</v>
      </c>
      <c r="AA808">
        <v>57.6</v>
      </c>
      <c r="AB808">
        <f t="shared" si="191"/>
        <v>49.7</v>
      </c>
      <c r="AP808" s="3">
        <v>42767</v>
      </c>
      <c r="AQ808" s="2">
        <v>56</v>
      </c>
      <c r="AR808" s="2" t="str">
        <f t="shared" si="192"/>
        <v>+</v>
      </c>
      <c r="AS808" s="2">
        <v>60.4</v>
      </c>
      <c r="AT808" s="8" t="str">
        <f t="shared" si="193"/>
        <v>+</v>
      </c>
      <c r="AU808" s="2">
        <v>61.4</v>
      </c>
      <c r="AV808" s="8" t="str">
        <f t="shared" si="194"/>
        <v>+</v>
      </c>
      <c r="AW808" s="2">
        <v>56.1</v>
      </c>
      <c r="AX808" s="8" t="str">
        <f t="shared" si="195"/>
        <v>+</v>
      </c>
      <c r="AY808" s="2">
        <v>53.6</v>
      </c>
      <c r="AZ808" s="8" t="str">
        <f t="shared" si="196"/>
        <v>+</v>
      </c>
      <c r="BA808" s="2">
        <v>48.5</v>
      </c>
      <c r="BB808" s="8" t="str">
        <f t="shared" si="197"/>
        <v>+</v>
      </c>
      <c r="BC808" s="2">
        <v>48.5</v>
      </c>
      <c r="BD808" s="8" t="str">
        <f t="shared" si="198"/>
        <v>-</v>
      </c>
      <c r="BE808" s="2">
        <v>69</v>
      </c>
      <c r="BF808" s="8" t="str">
        <f t="shared" si="189"/>
        <v>+</v>
      </c>
      <c r="BG808" s="2">
        <v>49.5</v>
      </c>
      <c r="BH808" s="8" t="str">
        <f t="shared" si="199"/>
        <v>+</v>
      </c>
      <c r="BI808" s="2">
        <v>54.5</v>
      </c>
      <c r="BJ808" s="8" t="str">
        <f t="shared" si="200"/>
        <v>-</v>
      </c>
      <c r="BK808" s="2">
        <v>50</v>
      </c>
      <c r="BL808" s="8" t="str">
        <f t="shared" si="201"/>
        <v>-</v>
      </c>
    </row>
    <row r="809" spans="1:64">
      <c r="A809" s="1">
        <v>42826</v>
      </c>
      <c r="B809">
        <v>56.6</v>
      </c>
      <c r="C809">
        <v>64.5</v>
      </c>
      <c r="D809">
        <v>58.9</v>
      </c>
      <c r="E809">
        <v>57.6</v>
      </c>
      <c r="F809">
        <v>55.9</v>
      </c>
      <c r="G809">
        <v>49</v>
      </c>
      <c r="H809">
        <v>47</v>
      </c>
      <c r="I809">
        <v>70.5</v>
      </c>
      <c r="J809">
        <v>57.5</v>
      </c>
      <c r="K809">
        <v>59</v>
      </c>
      <c r="L809">
        <v>53.5</v>
      </c>
      <c r="W809" s="1">
        <v>42826</v>
      </c>
      <c r="X809">
        <v>2384.1999510000001</v>
      </c>
      <c r="Y809" s="4">
        <f t="shared" si="188"/>
        <v>9.0912085493182089E-3</v>
      </c>
      <c r="Z809" s="4">
        <f t="shared" si="190"/>
        <v>0.15440850938555326</v>
      </c>
      <c r="AA809">
        <v>56.6</v>
      </c>
      <c r="AB809">
        <f t="shared" si="191"/>
        <v>51.7</v>
      </c>
      <c r="AP809" s="3">
        <v>42795</v>
      </c>
      <c r="AQ809" s="2">
        <v>57.6</v>
      </c>
      <c r="AR809" s="2" t="str">
        <f t="shared" si="192"/>
        <v>+</v>
      </c>
      <c r="AS809" s="2">
        <v>65.099999999999994</v>
      </c>
      <c r="AT809" s="8" t="str">
        <f t="shared" si="193"/>
        <v>+</v>
      </c>
      <c r="AU809" s="2">
        <v>62.9</v>
      </c>
      <c r="AV809" s="8" t="str">
        <f t="shared" si="194"/>
        <v>+</v>
      </c>
      <c r="AW809" s="2">
        <v>54.2</v>
      </c>
      <c r="AX809" s="8" t="str">
        <f t="shared" si="195"/>
        <v>-</v>
      </c>
      <c r="AY809" s="2">
        <v>54.8</v>
      </c>
      <c r="AZ809" s="8" t="str">
        <f t="shared" si="196"/>
        <v>+</v>
      </c>
      <c r="BA809" s="2">
        <v>51.5</v>
      </c>
      <c r="BB809" s="8" t="str">
        <f t="shared" si="197"/>
        <v>+</v>
      </c>
      <c r="BC809" s="2">
        <v>47.5</v>
      </c>
      <c r="BD809" s="8" t="str">
        <f t="shared" si="198"/>
        <v>-</v>
      </c>
      <c r="BE809" s="2">
        <v>68</v>
      </c>
      <c r="BF809" s="8" t="str">
        <f t="shared" si="189"/>
        <v>-</v>
      </c>
      <c r="BG809" s="2">
        <v>57</v>
      </c>
      <c r="BH809" s="8" t="str">
        <f t="shared" si="199"/>
        <v>+</v>
      </c>
      <c r="BI809" s="2">
        <v>55</v>
      </c>
      <c r="BJ809" s="8" t="str">
        <f t="shared" si="200"/>
        <v>+</v>
      </c>
      <c r="BK809" s="2">
        <v>54</v>
      </c>
      <c r="BL809" s="8" t="str">
        <f t="shared" si="201"/>
        <v>+</v>
      </c>
    </row>
    <row r="810" spans="1:64">
      <c r="A810" s="1">
        <v>42856</v>
      </c>
      <c r="B810">
        <v>55.3</v>
      </c>
      <c r="C810">
        <v>57.5</v>
      </c>
      <c r="D810">
        <v>52</v>
      </c>
      <c r="E810">
        <v>58.6</v>
      </c>
      <c r="F810">
        <v>55.1</v>
      </c>
      <c r="G810">
        <v>51</v>
      </c>
      <c r="H810">
        <v>45.5</v>
      </c>
      <c r="I810">
        <v>68.5</v>
      </c>
      <c r="J810">
        <v>57</v>
      </c>
      <c r="K810">
        <v>59.5</v>
      </c>
      <c r="L810">
        <v>55.5</v>
      </c>
      <c r="W810" s="1">
        <v>42856</v>
      </c>
      <c r="X810">
        <v>2411.8000489999999</v>
      </c>
      <c r="Y810" s="4">
        <f t="shared" si="188"/>
        <v>1.1576251391341417E-2</v>
      </c>
      <c r="Z810" s="4">
        <f t="shared" si="190"/>
        <v>0.15014669179388529</v>
      </c>
      <c r="AA810">
        <v>55.3</v>
      </c>
      <c r="AB810">
        <f t="shared" si="191"/>
        <v>50.7</v>
      </c>
      <c r="AP810" s="3">
        <v>42826</v>
      </c>
      <c r="AQ810" s="2">
        <v>56.6</v>
      </c>
      <c r="AR810" s="2" t="str">
        <f t="shared" si="192"/>
        <v>-</v>
      </c>
      <c r="AS810" s="2">
        <v>64.5</v>
      </c>
      <c r="AT810" s="8" t="str">
        <f t="shared" si="193"/>
        <v>-</v>
      </c>
      <c r="AU810" s="2">
        <v>57.6</v>
      </c>
      <c r="AV810" s="8" t="str">
        <f t="shared" si="194"/>
        <v>-</v>
      </c>
      <c r="AW810" s="2">
        <v>58.9</v>
      </c>
      <c r="AX810" s="8" t="str">
        <f t="shared" si="195"/>
        <v>+</v>
      </c>
      <c r="AY810" s="2">
        <v>55.9</v>
      </c>
      <c r="AZ810" s="8" t="str">
        <f t="shared" si="196"/>
        <v>+</v>
      </c>
      <c r="BA810" s="2">
        <v>49</v>
      </c>
      <c r="BB810" s="8" t="str">
        <f t="shared" si="197"/>
        <v>-</v>
      </c>
      <c r="BC810" s="2">
        <v>47</v>
      </c>
      <c r="BD810" s="8" t="str">
        <f t="shared" si="198"/>
        <v>-</v>
      </c>
      <c r="BE810" s="2">
        <v>70.5</v>
      </c>
      <c r="BF810" s="8" t="str">
        <f t="shared" si="189"/>
        <v>+</v>
      </c>
      <c r="BG810" s="2">
        <v>57.5</v>
      </c>
      <c r="BH810" s="8" t="str">
        <f t="shared" si="199"/>
        <v>+</v>
      </c>
      <c r="BI810" s="2">
        <v>59</v>
      </c>
      <c r="BJ810" s="8" t="str">
        <f t="shared" si="200"/>
        <v>+</v>
      </c>
      <c r="BK810" s="2">
        <v>53.5</v>
      </c>
      <c r="BL810" s="8" t="str">
        <f t="shared" si="201"/>
        <v>-</v>
      </c>
    </row>
    <row r="811" spans="1:64">
      <c r="A811" s="1">
        <v>42887</v>
      </c>
      <c r="B811">
        <v>55.5</v>
      </c>
      <c r="C811">
        <v>59.5</v>
      </c>
      <c r="D811">
        <v>53.5</v>
      </c>
      <c r="E811">
        <v>57.1</v>
      </c>
      <c r="F811">
        <v>53.1</v>
      </c>
      <c r="G811">
        <v>51.5</v>
      </c>
      <c r="H811">
        <v>49.5</v>
      </c>
      <c r="I811">
        <v>60.5</v>
      </c>
      <c r="J811">
        <v>55</v>
      </c>
      <c r="K811">
        <v>57.5</v>
      </c>
      <c r="L811">
        <v>53.5</v>
      </c>
      <c r="W811" s="1">
        <v>42887</v>
      </c>
      <c r="X811">
        <v>2423.4099120000001</v>
      </c>
      <c r="Y811" s="4">
        <f t="shared" si="188"/>
        <v>4.8137750908554414E-3</v>
      </c>
      <c r="Z811" s="4">
        <f t="shared" si="190"/>
        <v>0.1546314611048063</v>
      </c>
      <c r="AA811">
        <v>55.5</v>
      </c>
      <c r="AB811">
        <f t="shared" si="191"/>
        <v>51</v>
      </c>
      <c r="AP811" s="3">
        <v>42856</v>
      </c>
      <c r="AQ811" s="2">
        <v>55.3</v>
      </c>
      <c r="AR811" s="2" t="str">
        <f t="shared" si="192"/>
        <v>-</v>
      </c>
      <c r="AS811" s="2">
        <v>57.5</v>
      </c>
      <c r="AT811" s="8" t="str">
        <f t="shared" si="193"/>
        <v>-</v>
      </c>
      <c r="AU811" s="2">
        <v>58.6</v>
      </c>
      <c r="AV811" s="8" t="str">
        <f t="shared" si="194"/>
        <v>+</v>
      </c>
      <c r="AW811" s="2">
        <v>52</v>
      </c>
      <c r="AX811" s="8" t="str">
        <f t="shared" si="195"/>
        <v>-</v>
      </c>
      <c r="AY811" s="2">
        <v>55.1</v>
      </c>
      <c r="AZ811" s="8" t="str">
        <f t="shared" si="196"/>
        <v>-</v>
      </c>
      <c r="BA811" s="2">
        <v>51</v>
      </c>
      <c r="BB811" s="8" t="str">
        <f t="shared" si="197"/>
        <v>+</v>
      </c>
      <c r="BC811" s="2">
        <v>45.5</v>
      </c>
      <c r="BD811" s="8" t="str">
        <f t="shared" si="198"/>
        <v>-</v>
      </c>
      <c r="BE811" s="2">
        <v>68.5</v>
      </c>
      <c r="BF811" s="8" t="str">
        <f t="shared" si="189"/>
        <v>-</v>
      </c>
      <c r="BG811" s="2">
        <v>57</v>
      </c>
      <c r="BH811" s="8" t="str">
        <f t="shared" si="199"/>
        <v>-</v>
      </c>
      <c r="BI811" s="2">
        <v>59.5</v>
      </c>
      <c r="BJ811" s="8" t="str">
        <f t="shared" si="200"/>
        <v>+</v>
      </c>
      <c r="BK811" s="2">
        <v>55.5</v>
      </c>
      <c r="BL811" s="8" t="str">
        <f t="shared" si="201"/>
        <v>+</v>
      </c>
    </row>
    <row r="812" spans="1:64">
      <c r="A812" s="1">
        <v>42917</v>
      </c>
      <c r="B812">
        <v>56.7</v>
      </c>
      <c r="C812">
        <v>63.5</v>
      </c>
      <c r="D812">
        <v>57.2</v>
      </c>
      <c r="E812">
        <v>62.4</v>
      </c>
      <c r="F812">
        <v>57</v>
      </c>
      <c r="G812">
        <v>49</v>
      </c>
      <c r="H812">
        <v>50.5</v>
      </c>
      <c r="I812">
        <v>55</v>
      </c>
      <c r="J812">
        <v>57</v>
      </c>
      <c r="K812">
        <v>59.5</v>
      </c>
      <c r="L812">
        <v>54</v>
      </c>
      <c r="W812" s="1">
        <v>42917</v>
      </c>
      <c r="X812">
        <v>2470.3000489999999</v>
      </c>
      <c r="Y812" s="4">
        <f t="shared" si="188"/>
        <v>1.9348826118030613E-2</v>
      </c>
      <c r="Z812" s="4">
        <f t="shared" si="190"/>
        <v>0.13650162754087256</v>
      </c>
      <c r="AA812">
        <v>56.7</v>
      </c>
      <c r="AB812">
        <f t="shared" si="191"/>
        <v>52.8</v>
      </c>
      <c r="AP812" s="3">
        <v>42887</v>
      </c>
      <c r="AQ812" s="2">
        <v>55.5</v>
      </c>
      <c r="AR812" s="2" t="str">
        <f t="shared" si="192"/>
        <v>+</v>
      </c>
      <c r="AS812" s="2">
        <v>59.5</v>
      </c>
      <c r="AT812" s="8" t="str">
        <f t="shared" si="193"/>
        <v>+</v>
      </c>
      <c r="AU812" s="2">
        <v>57.1</v>
      </c>
      <c r="AV812" s="8" t="str">
        <f t="shared" si="194"/>
        <v>-</v>
      </c>
      <c r="AW812" s="2">
        <v>53.5</v>
      </c>
      <c r="AX812" s="8" t="str">
        <f t="shared" si="195"/>
        <v>+</v>
      </c>
      <c r="AY812" s="2">
        <v>53.1</v>
      </c>
      <c r="AZ812" s="8" t="str">
        <f t="shared" si="196"/>
        <v>-</v>
      </c>
      <c r="BA812" s="2">
        <v>51.5</v>
      </c>
      <c r="BB812" s="8" t="str">
        <f t="shared" si="197"/>
        <v>+</v>
      </c>
      <c r="BC812" s="2">
        <v>49.5</v>
      </c>
      <c r="BD812" s="8" t="str">
        <f t="shared" si="198"/>
        <v>+</v>
      </c>
      <c r="BE812" s="2">
        <v>60.5</v>
      </c>
      <c r="BF812" s="8" t="str">
        <f t="shared" si="189"/>
        <v>-</v>
      </c>
      <c r="BG812" s="2">
        <v>55</v>
      </c>
      <c r="BH812" s="8" t="str">
        <f t="shared" si="199"/>
        <v>-</v>
      </c>
      <c r="BI812" s="2">
        <v>57.5</v>
      </c>
      <c r="BJ812" s="8" t="str">
        <f t="shared" si="200"/>
        <v>-</v>
      </c>
      <c r="BK812" s="2">
        <v>53.5</v>
      </c>
      <c r="BL812" s="8" t="str">
        <f t="shared" si="201"/>
        <v>-</v>
      </c>
    </row>
    <row r="813" spans="1:64">
      <c r="A813" s="1">
        <v>42948</v>
      </c>
      <c r="B813">
        <v>56.5</v>
      </c>
      <c r="C813">
        <v>60.4</v>
      </c>
      <c r="D813">
        <v>55.2</v>
      </c>
      <c r="E813">
        <v>60.6</v>
      </c>
      <c r="F813">
        <v>55.4</v>
      </c>
      <c r="G813">
        <v>50</v>
      </c>
      <c r="H813">
        <v>49</v>
      </c>
      <c r="I813">
        <v>62</v>
      </c>
      <c r="J813">
        <v>55</v>
      </c>
      <c r="K813">
        <v>57.5</v>
      </c>
      <c r="L813">
        <v>56</v>
      </c>
      <c r="W813" s="1">
        <v>42948</v>
      </c>
      <c r="X813">
        <v>2471.6499020000001</v>
      </c>
      <c r="Y813" s="4">
        <f t="shared" si="188"/>
        <v>5.4643281108568138E-4</v>
      </c>
      <c r="Z813" s="4">
        <f t="shared" si="190"/>
        <v>0.1385107707625822</v>
      </c>
      <c r="AA813">
        <v>56.5</v>
      </c>
      <c r="AB813">
        <f t="shared" si="191"/>
        <v>52.3</v>
      </c>
      <c r="AP813" s="3">
        <v>42917</v>
      </c>
      <c r="AQ813" s="2">
        <v>56.7</v>
      </c>
      <c r="AR813" s="2" t="str">
        <f t="shared" si="192"/>
        <v>+</v>
      </c>
      <c r="AS813" s="2">
        <v>63.5</v>
      </c>
      <c r="AT813" s="8" t="str">
        <f t="shared" si="193"/>
        <v>+</v>
      </c>
      <c r="AU813" s="2">
        <v>62.4</v>
      </c>
      <c r="AV813" s="8" t="str">
        <f t="shared" si="194"/>
        <v>+</v>
      </c>
      <c r="AW813" s="2">
        <v>57.2</v>
      </c>
      <c r="AX813" s="8" t="str">
        <f t="shared" si="195"/>
        <v>+</v>
      </c>
      <c r="AY813" s="2">
        <v>57</v>
      </c>
      <c r="AZ813" s="8" t="str">
        <f t="shared" si="196"/>
        <v>+</v>
      </c>
      <c r="BA813" s="2">
        <v>49</v>
      </c>
      <c r="BB813" s="8" t="str">
        <f t="shared" si="197"/>
        <v>-</v>
      </c>
      <c r="BC813" s="2">
        <v>50.5</v>
      </c>
      <c r="BD813" s="8" t="str">
        <f t="shared" si="198"/>
        <v>+</v>
      </c>
      <c r="BE813" s="2">
        <v>55</v>
      </c>
      <c r="BF813" s="8" t="str">
        <f t="shared" si="189"/>
        <v>-</v>
      </c>
      <c r="BG813" s="2">
        <v>57</v>
      </c>
      <c r="BH813" s="8" t="str">
        <f t="shared" si="199"/>
        <v>+</v>
      </c>
      <c r="BI813" s="2">
        <v>59.5</v>
      </c>
      <c r="BJ813" s="8" t="str">
        <f t="shared" si="200"/>
        <v>+</v>
      </c>
      <c r="BK813" s="2">
        <v>54</v>
      </c>
      <c r="BL813" s="8" t="str">
        <f t="shared" si="201"/>
        <v>+</v>
      </c>
    </row>
    <row r="814" spans="1:64">
      <c r="A814" s="1">
        <v>42979</v>
      </c>
      <c r="B814">
        <v>59.3</v>
      </c>
      <c r="C814">
        <v>60.3</v>
      </c>
      <c r="D814">
        <v>59.9</v>
      </c>
      <c r="E814">
        <v>61</v>
      </c>
      <c r="F814">
        <v>57.1</v>
      </c>
      <c r="G814">
        <v>55.5</v>
      </c>
      <c r="H814">
        <v>41</v>
      </c>
      <c r="I814">
        <v>62</v>
      </c>
      <c r="J814">
        <v>57.5</v>
      </c>
      <c r="K814">
        <v>55.5</v>
      </c>
      <c r="L814">
        <v>54.5</v>
      </c>
      <c r="W814" s="1">
        <v>42979</v>
      </c>
      <c r="X814">
        <v>2519.360107</v>
      </c>
      <c r="Y814" s="4">
        <f t="shared" si="188"/>
        <v>1.9302978533243684E-2</v>
      </c>
      <c r="Z814" s="4">
        <f t="shared" si="190"/>
        <v>0.16192175502200601</v>
      </c>
      <c r="AA814">
        <v>59.3</v>
      </c>
      <c r="AB814">
        <f t="shared" si="191"/>
        <v>49.4</v>
      </c>
      <c r="AP814" s="3">
        <v>42948</v>
      </c>
      <c r="AQ814" s="2">
        <v>56.5</v>
      </c>
      <c r="AR814" s="2" t="str">
        <f t="shared" si="192"/>
        <v>-</v>
      </c>
      <c r="AS814" s="2">
        <v>60.4</v>
      </c>
      <c r="AT814" s="8" t="str">
        <f t="shared" si="193"/>
        <v>-</v>
      </c>
      <c r="AU814" s="2">
        <v>60.6</v>
      </c>
      <c r="AV814" s="8" t="str">
        <f t="shared" si="194"/>
        <v>-</v>
      </c>
      <c r="AW814" s="2">
        <v>55.2</v>
      </c>
      <c r="AX814" s="8" t="str">
        <f t="shared" si="195"/>
        <v>-</v>
      </c>
      <c r="AY814" s="2">
        <v>55.4</v>
      </c>
      <c r="AZ814" s="8" t="str">
        <f t="shared" si="196"/>
        <v>-</v>
      </c>
      <c r="BA814" s="2">
        <v>50</v>
      </c>
      <c r="BB814" s="8" t="str">
        <f t="shared" si="197"/>
        <v>+</v>
      </c>
      <c r="BC814" s="2">
        <v>49</v>
      </c>
      <c r="BD814" s="8" t="str">
        <f t="shared" si="198"/>
        <v>-</v>
      </c>
      <c r="BE814" s="2">
        <v>62</v>
      </c>
      <c r="BF814" s="8" t="str">
        <f t="shared" si="189"/>
        <v>+</v>
      </c>
      <c r="BG814" s="2">
        <v>55</v>
      </c>
      <c r="BH814" s="8" t="str">
        <f t="shared" si="199"/>
        <v>-</v>
      </c>
      <c r="BI814" s="2">
        <v>57.5</v>
      </c>
      <c r="BJ814" s="8" t="str">
        <f t="shared" si="200"/>
        <v>-</v>
      </c>
      <c r="BK814" s="2">
        <v>56</v>
      </c>
      <c r="BL814" s="8" t="str">
        <f t="shared" si="201"/>
        <v>+</v>
      </c>
    </row>
    <row r="815" spans="1:64">
      <c r="A815" s="1">
        <v>43009</v>
      </c>
      <c r="B815">
        <v>60.2</v>
      </c>
      <c r="C815">
        <v>64.599999999999994</v>
      </c>
      <c r="D815">
        <v>60.3</v>
      </c>
      <c r="E815">
        <v>62.2</v>
      </c>
      <c r="F815">
        <v>64.400000000000006</v>
      </c>
      <c r="G815">
        <v>52.5</v>
      </c>
      <c r="H815">
        <v>42</v>
      </c>
      <c r="I815">
        <v>71.5</v>
      </c>
      <c r="J815">
        <v>58</v>
      </c>
      <c r="K815">
        <v>57</v>
      </c>
      <c r="L815">
        <v>54</v>
      </c>
      <c r="W815" s="1">
        <v>43009</v>
      </c>
      <c r="X815">
        <v>2575.26001</v>
      </c>
      <c r="Y815" s="4">
        <f t="shared" si="188"/>
        <v>2.2188135330349579E-2</v>
      </c>
      <c r="Z815" s="4">
        <f t="shared" si="190"/>
        <v>0.21123162933033865</v>
      </c>
      <c r="AA815">
        <v>60.2</v>
      </c>
      <c r="AB815">
        <f t="shared" si="191"/>
        <v>51.7</v>
      </c>
      <c r="AP815" s="3">
        <v>42979</v>
      </c>
      <c r="AQ815" s="2">
        <v>59.3</v>
      </c>
      <c r="AR815" s="2" t="str">
        <f t="shared" si="192"/>
        <v>+</v>
      </c>
      <c r="AS815" s="2">
        <v>60.3</v>
      </c>
      <c r="AT815" s="8" t="str">
        <f t="shared" si="193"/>
        <v>-</v>
      </c>
      <c r="AU815" s="2">
        <v>61</v>
      </c>
      <c r="AV815" s="8" t="str">
        <f t="shared" si="194"/>
        <v>+</v>
      </c>
      <c r="AW815" s="2">
        <v>59.9</v>
      </c>
      <c r="AX815" s="8" t="str">
        <f t="shared" si="195"/>
        <v>+</v>
      </c>
      <c r="AY815" s="2">
        <v>57.1</v>
      </c>
      <c r="AZ815" s="8" t="str">
        <f t="shared" si="196"/>
        <v>+</v>
      </c>
      <c r="BA815" s="2">
        <v>55.5</v>
      </c>
      <c r="BB815" s="8" t="str">
        <f t="shared" si="197"/>
        <v>+</v>
      </c>
      <c r="BC815" s="2">
        <v>41</v>
      </c>
      <c r="BD815" s="8" t="str">
        <f t="shared" si="198"/>
        <v>-</v>
      </c>
      <c r="BE815" s="2">
        <v>62</v>
      </c>
      <c r="BF815" s="8" t="str">
        <f t="shared" si="189"/>
        <v>+</v>
      </c>
      <c r="BG815" s="2">
        <v>57.5</v>
      </c>
      <c r="BH815" s="8" t="str">
        <f t="shared" si="199"/>
        <v>+</v>
      </c>
      <c r="BI815" s="2">
        <v>55.5</v>
      </c>
      <c r="BJ815" s="8" t="str">
        <f t="shared" si="200"/>
        <v>-</v>
      </c>
      <c r="BK815" s="2">
        <v>54.5</v>
      </c>
      <c r="BL815" s="8" t="str">
        <f t="shared" si="201"/>
        <v>-</v>
      </c>
    </row>
    <row r="816" spans="1:64">
      <c r="A816" s="1">
        <v>43040</v>
      </c>
      <c r="B816">
        <v>58.5</v>
      </c>
      <c r="C816">
        <v>63.5</v>
      </c>
      <c r="D816">
        <v>59.8</v>
      </c>
      <c r="E816">
        <v>61</v>
      </c>
      <c r="F816">
        <v>60.1</v>
      </c>
      <c r="G816">
        <v>48.1</v>
      </c>
      <c r="H816">
        <v>43.5</v>
      </c>
      <c r="I816">
        <v>68.099999999999994</v>
      </c>
      <c r="J816">
        <v>53.9</v>
      </c>
      <c r="K816">
        <v>55.1</v>
      </c>
      <c r="L816">
        <v>54.3</v>
      </c>
      <c r="W816" s="1">
        <v>43040</v>
      </c>
      <c r="X816">
        <v>2584.8400879999999</v>
      </c>
      <c r="Y816" s="4">
        <f t="shared" si="188"/>
        <v>3.7200430103366371E-3</v>
      </c>
      <c r="Z816" s="4">
        <f t="shared" si="190"/>
        <v>0.17556315399774147</v>
      </c>
      <c r="AA816">
        <v>58.5</v>
      </c>
      <c r="AB816">
        <f t="shared" si="191"/>
        <v>52</v>
      </c>
      <c r="AP816" s="3">
        <v>43009</v>
      </c>
      <c r="AQ816" s="2">
        <v>60.2</v>
      </c>
      <c r="AR816" s="2" t="str">
        <f t="shared" si="192"/>
        <v>+</v>
      </c>
      <c r="AS816" s="2">
        <v>64.599999999999994</v>
      </c>
      <c r="AT816" s="8" t="str">
        <f t="shared" si="193"/>
        <v>+</v>
      </c>
      <c r="AU816" s="2">
        <v>62.2</v>
      </c>
      <c r="AV816" s="8" t="str">
        <f t="shared" si="194"/>
        <v>+</v>
      </c>
      <c r="AW816" s="2">
        <v>60.3</v>
      </c>
      <c r="AX816" s="8" t="str">
        <f t="shared" si="195"/>
        <v>+</v>
      </c>
      <c r="AY816" s="2">
        <v>64.400000000000006</v>
      </c>
      <c r="AZ816" s="8" t="str">
        <f t="shared" si="196"/>
        <v>+</v>
      </c>
      <c r="BA816" s="2">
        <v>52.5</v>
      </c>
      <c r="BB816" s="8" t="str">
        <f t="shared" si="197"/>
        <v>-</v>
      </c>
      <c r="BC816" s="2">
        <v>42</v>
      </c>
      <c r="BD816" s="8" t="str">
        <f t="shared" si="198"/>
        <v>+</v>
      </c>
      <c r="BE816" s="2">
        <v>71.5</v>
      </c>
      <c r="BF816" s="8" t="str">
        <f t="shared" si="189"/>
        <v>+</v>
      </c>
      <c r="BG816" s="2">
        <v>58</v>
      </c>
      <c r="BH816" s="8" t="str">
        <f t="shared" si="199"/>
        <v>+</v>
      </c>
      <c r="BI816" s="2">
        <v>57</v>
      </c>
      <c r="BJ816" s="8" t="str">
        <f t="shared" si="200"/>
        <v>+</v>
      </c>
      <c r="BK816" s="2">
        <v>54</v>
      </c>
      <c r="BL816" s="8" t="str">
        <f t="shared" si="201"/>
        <v>-</v>
      </c>
    </row>
    <row r="817" spans="1:64">
      <c r="A817" s="1">
        <v>43070</v>
      </c>
      <c r="B817">
        <v>58.2</v>
      </c>
      <c r="C817">
        <v>63.9</v>
      </c>
      <c r="D817">
        <v>59.2</v>
      </c>
      <c r="E817">
        <v>64.3</v>
      </c>
      <c r="F817">
        <v>56.6</v>
      </c>
      <c r="G817">
        <v>47.1</v>
      </c>
      <c r="H817">
        <v>45.1</v>
      </c>
      <c r="I817">
        <v>64.8</v>
      </c>
      <c r="J817">
        <v>54.3</v>
      </c>
      <c r="K817">
        <v>56.3</v>
      </c>
      <c r="L817">
        <v>54.3</v>
      </c>
      <c r="W817" s="1">
        <v>43070</v>
      </c>
      <c r="X817">
        <v>2673.610107</v>
      </c>
      <c r="Y817" s="4">
        <f t="shared" si="188"/>
        <v>3.4342557364422946E-2</v>
      </c>
      <c r="Z817" s="4">
        <f t="shared" si="190"/>
        <v>0.19419965511111917</v>
      </c>
      <c r="AA817">
        <v>58.2</v>
      </c>
      <c r="AB817">
        <f t="shared" si="191"/>
        <v>53.5</v>
      </c>
      <c r="AP817" s="3">
        <v>43040</v>
      </c>
      <c r="AQ817" s="2">
        <v>58.5</v>
      </c>
      <c r="AR817" s="2" t="str">
        <f t="shared" si="192"/>
        <v>-</v>
      </c>
      <c r="AS817" s="2">
        <v>63.5</v>
      </c>
      <c r="AT817" s="8" t="str">
        <f t="shared" si="193"/>
        <v>-</v>
      </c>
      <c r="AU817" s="2">
        <v>61</v>
      </c>
      <c r="AV817" s="8" t="str">
        <f t="shared" si="194"/>
        <v>-</v>
      </c>
      <c r="AW817" s="2">
        <v>59.8</v>
      </c>
      <c r="AX817" s="8" t="str">
        <f t="shared" si="195"/>
        <v>-</v>
      </c>
      <c r="AY817" s="2">
        <v>60.1</v>
      </c>
      <c r="AZ817" s="8" t="str">
        <f t="shared" si="196"/>
        <v>-</v>
      </c>
      <c r="BA817" s="2">
        <v>48.1</v>
      </c>
      <c r="BB817" s="8" t="str">
        <f t="shared" si="197"/>
        <v>-</v>
      </c>
      <c r="BC817" s="2">
        <v>43.5</v>
      </c>
      <c r="BD817" s="8" t="str">
        <f t="shared" si="198"/>
        <v>+</v>
      </c>
      <c r="BE817" s="2">
        <v>68.099999999999994</v>
      </c>
      <c r="BF817" s="8" t="str">
        <f t="shared" si="189"/>
        <v>-</v>
      </c>
      <c r="BG817" s="2">
        <v>53.9</v>
      </c>
      <c r="BH817" s="8" t="str">
        <f t="shared" si="199"/>
        <v>-</v>
      </c>
      <c r="BI817" s="2">
        <v>55.1</v>
      </c>
      <c r="BJ817" s="8" t="str">
        <f t="shared" si="200"/>
        <v>-</v>
      </c>
      <c r="BK817" s="2">
        <v>54.3</v>
      </c>
      <c r="BL817" s="8" t="str">
        <f t="shared" si="201"/>
        <v>+</v>
      </c>
    </row>
    <row r="818" spans="1:64">
      <c r="A818" s="1">
        <v>43101</v>
      </c>
      <c r="B818">
        <v>59.3</v>
      </c>
      <c r="C818">
        <v>67.400000000000006</v>
      </c>
      <c r="D818">
        <v>58.1</v>
      </c>
      <c r="E818">
        <v>65.2</v>
      </c>
      <c r="F818">
        <v>57.2</v>
      </c>
      <c r="G818">
        <v>48.5</v>
      </c>
      <c r="H818">
        <v>42.9</v>
      </c>
      <c r="I818">
        <v>68.3</v>
      </c>
      <c r="J818">
        <v>54.9</v>
      </c>
      <c r="K818">
        <v>57.6</v>
      </c>
      <c r="L818">
        <v>56.5</v>
      </c>
      <c r="W818" s="1">
        <v>43101</v>
      </c>
      <c r="X818">
        <v>2823.8100589999999</v>
      </c>
      <c r="Y818" s="4">
        <f t="shared" si="188"/>
        <v>5.6178704444133053E-2</v>
      </c>
      <c r="Z818" s="4">
        <f t="shared" si="190"/>
        <v>0.23912724904102114</v>
      </c>
      <c r="AA818">
        <v>59.3</v>
      </c>
      <c r="AB818">
        <f t="shared" si="191"/>
        <v>54.5</v>
      </c>
      <c r="AP818" s="3">
        <v>43070</v>
      </c>
      <c r="AQ818" s="2">
        <v>58.2</v>
      </c>
      <c r="AR818" s="2" t="str">
        <f t="shared" si="192"/>
        <v>-</v>
      </c>
      <c r="AS818" s="2">
        <v>63.9</v>
      </c>
      <c r="AT818" s="8" t="str">
        <f t="shared" si="193"/>
        <v>+</v>
      </c>
      <c r="AU818" s="2">
        <v>64.3</v>
      </c>
      <c r="AV818" s="8" t="str">
        <f t="shared" si="194"/>
        <v>+</v>
      </c>
      <c r="AW818" s="2">
        <v>59.2</v>
      </c>
      <c r="AX818" s="8" t="str">
        <f t="shared" si="195"/>
        <v>-</v>
      </c>
      <c r="AY818" s="2">
        <v>56.6</v>
      </c>
      <c r="AZ818" s="8" t="str">
        <f t="shared" si="196"/>
        <v>-</v>
      </c>
      <c r="BA818" s="2">
        <v>47.1</v>
      </c>
      <c r="BB818" s="8" t="str">
        <f t="shared" si="197"/>
        <v>-</v>
      </c>
      <c r="BC818" s="2">
        <v>45.1</v>
      </c>
      <c r="BD818" s="8" t="str">
        <f t="shared" si="198"/>
        <v>+</v>
      </c>
      <c r="BE818" s="2">
        <v>64.8</v>
      </c>
      <c r="BF818" s="8" t="str">
        <f t="shared" si="189"/>
        <v>-</v>
      </c>
      <c r="BG818" s="2">
        <v>54.3</v>
      </c>
      <c r="BH818" s="8" t="str">
        <f t="shared" si="199"/>
        <v>+</v>
      </c>
      <c r="BI818" s="2">
        <v>56.3</v>
      </c>
      <c r="BJ818" s="8" t="str">
        <f t="shared" si="200"/>
        <v>+</v>
      </c>
      <c r="BK818" s="2">
        <v>54.3</v>
      </c>
      <c r="BL818" s="8" t="str">
        <f t="shared" si="201"/>
        <v>+</v>
      </c>
    </row>
    <row r="819" spans="1:64">
      <c r="A819" s="1">
        <v>43132</v>
      </c>
      <c r="B819">
        <v>59.1</v>
      </c>
      <c r="C819">
        <v>65.400000000000006</v>
      </c>
      <c r="D819">
        <v>54.2</v>
      </c>
      <c r="E819">
        <v>64.5</v>
      </c>
      <c r="F819">
        <v>59.1</v>
      </c>
      <c r="G819">
        <v>52.3</v>
      </c>
      <c r="H819">
        <v>45.6</v>
      </c>
      <c r="I819">
        <v>72.7</v>
      </c>
      <c r="J819">
        <v>56.2</v>
      </c>
      <c r="K819">
        <v>59.8</v>
      </c>
      <c r="L819">
        <v>58.4</v>
      </c>
      <c r="W819" s="1">
        <v>43132</v>
      </c>
      <c r="X819">
        <v>2713.830078</v>
      </c>
      <c r="Y819" s="4">
        <f t="shared" si="188"/>
        <v>-3.8947372061896871E-2</v>
      </c>
      <c r="Z819" s="4">
        <f t="shared" si="190"/>
        <v>0.14815716473439972</v>
      </c>
      <c r="AA819">
        <v>59.1</v>
      </c>
      <c r="AB819">
        <f t="shared" si="191"/>
        <v>56</v>
      </c>
      <c r="AP819" s="3">
        <v>43101</v>
      </c>
      <c r="AQ819" s="2">
        <v>59.3</v>
      </c>
      <c r="AR819" s="2" t="str">
        <f t="shared" si="192"/>
        <v>+</v>
      </c>
      <c r="AS819" s="2">
        <v>67.400000000000006</v>
      </c>
      <c r="AT819" s="8" t="str">
        <f t="shared" si="193"/>
        <v>+</v>
      </c>
      <c r="AU819" s="2">
        <v>65.2</v>
      </c>
      <c r="AV819" s="8" t="str">
        <f t="shared" si="194"/>
        <v>+</v>
      </c>
      <c r="AW819" s="2">
        <v>58.1</v>
      </c>
      <c r="AX819" s="8" t="str">
        <f t="shared" si="195"/>
        <v>-</v>
      </c>
      <c r="AY819" s="2">
        <v>57.2</v>
      </c>
      <c r="AZ819" s="8" t="str">
        <f t="shared" si="196"/>
        <v>+</v>
      </c>
      <c r="BA819" s="2">
        <v>48.5</v>
      </c>
      <c r="BB819" s="8" t="str">
        <f t="shared" si="197"/>
        <v>+</v>
      </c>
      <c r="BC819" s="2">
        <v>42.9</v>
      </c>
      <c r="BD819" s="8" t="str">
        <f t="shared" si="198"/>
        <v>-</v>
      </c>
      <c r="BE819" s="2">
        <v>68.3</v>
      </c>
      <c r="BF819" s="8" t="str">
        <f t="shared" si="189"/>
        <v>+</v>
      </c>
      <c r="BG819" s="2">
        <v>54.9</v>
      </c>
      <c r="BH819" s="8" t="str">
        <f t="shared" si="199"/>
        <v>+</v>
      </c>
      <c r="BI819" s="2">
        <v>57.6</v>
      </c>
      <c r="BJ819" s="8" t="str">
        <f t="shared" si="200"/>
        <v>+</v>
      </c>
      <c r="BK819" s="2">
        <v>56.5</v>
      </c>
      <c r="BL819" s="8" t="str">
        <f t="shared" si="201"/>
        <v>+</v>
      </c>
    </row>
    <row r="820" spans="1:64">
      <c r="A820" s="1">
        <v>43160</v>
      </c>
      <c r="B820">
        <v>60.7</v>
      </c>
      <c r="C820">
        <v>64.2</v>
      </c>
      <c r="D820">
        <v>59.7</v>
      </c>
      <c r="E820">
        <v>62</v>
      </c>
      <c r="F820">
        <v>61.1</v>
      </c>
      <c r="G820">
        <v>56.7</v>
      </c>
      <c r="H820">
        <v>43.7</v>
      </c>
      <c r="I820">
        <v>74.2</v>
      </c>
      <c r="J820">
        <v>59.8</v>
      </c>
      <c r="K820">
        <v>62.8</v>
      </c>
      <c r="L820">
        <v>60.5</v>
      </c>
      <c r="W820" s="1">
        <v>43160</v>
      </c>
      <c r="X820">
        <v>2640.8701169999999</v>
      </c>
      <c r="Y820" s="4">
        <f t="shared" si="188"/>
        <v>-2.6884498624825112E-2</v>
      </c>
      <c r="Z820" s="4">
        <f t="shared" si="190"/>
        <v>0.1177245502700328</v>
      </c>
      <c r="AA820">
        <v>60.7</v>
      </c>
      <c r="AB820">
        <f t="shared" si="191"/>
        <v>57.6</v>
      </c>
      <c r="AP820" s="3">
        <v>43132</v>
      </c>
      <c r="AQ820" s="2">
        <v>59.1</v>
      </c>
      <c r="AR820" s="2" t="str">
        <f t="shared" si="192"/>
        <v>-</v>
      </c>
      <c r="AS820" s="2">
        <v>65.400000000000006</v>
      </c>
      <c r="AT820" s="8" t="str">
        <f t="shared" si="193"/>
        <v>-</v>
      </c>
      <c r="AU820" s="2">
        <v>64.5</v>
      </c>
      <c r="AV820" s="8" t="str">
        <f t="shared" si="194"/>
        <v>-</v>
      </c>
      <c r="AW820" s="2">
        <v>54.2</v>
      </c>
      <c r="AX820" s="8" t="str">
        <f t="shared" si="195"/>
        <v>-</v>
      </c>
      <c r="AY820" s="2">
        <v>59.1</v>
      </c>
      <c r="AZ820" s="8" t="str">
        <f t="shared" si="196"/>
        <v>+</v>
      </c>
      <c r="BA820" s="2">
        <v>52.3</v>
      </c>
      <c r="BB820" s="8" t="str">
        <f t="shared" si="197"/>
        <v>+</v>
      </c>
      <c r="BC820" s="2">
        <v>45.6</v>
      </c>
      <c r="BD820" s="8" t="str">
        <f t="shared" si="198"/>
        <v>+</v>
      </c>
      <c r="BE820" s="2">
        <v>72.7</v>
      </c>
      <c r="BF820" s="8" t="str">
        <f t="shared" si="189"/>
        <v>+</v>
      </c>
      <c r="BG820" s="2">
        <v>56.2</v>
      </c>
      <c r="BH820" s="8" t="str">
        <f t="shared" si="199"/>
        <v>+</v>
      </c>
      <c r="BI820" s="2">
        <v>59.8</v>
      </c>
      <c r="BJ820" s="8" t="str">
        <f t="shared" si="200"/>
        <v>+</v>
      </c>
      <c r="BK820" s="2">
        <v>58.4</v>
      </c>
      <c r="BL820" s="8" t="str">
        <f t="shared" si="201"/>
        <v>+</v>
      </c>
    </row>
    <row r="821" spans="1:64">
      <c r="A821" s="1">
        <v>43191</v>
      </c>
      <c r="B821">
        <v>59.3</v>
      </c>
      <c r="C821">
        <v>61.9</v>
      </c>
      <c r="D821">
        <v>57.3</v>
      </c>
      <c r="E821">
        <v>61</v>
      </c>
      <c r="F821">
        <v>60.6</v>
      </c>
      <c r="G821">
        <v>55.5</v>
      </c>
      <c r="H821">
        <v>42</v>
      </c>
      <c r="I821">
        <v>78.099999999999994</v>
      </c>
      <c r="J821">
        <v>59.8</v>
      </c>
      <c r="K821">
        <v>58.7</v>
      </c>
      <c r="L821">
        <v>59.7</v>
      </c>
      <c r="W821" s="1">
        <v>43191</v>
      </c>
      <c r="X821">
        <v>2648.0500489999999</v>
      </c>
      <c r="Y821" s="4">
        <f t="shared" si="188"/>
        <v>2.7187751316434801E-3</v>
      </c>
      <c r="Z821" s="4">
        <f t="shared" si="190"/>
        <v>0.11066609488408628</v>
      </c>
      <c r="AA821">
        <v>59.3</v>
      </c>
      <c r="AB821">
        <f t="shared" si="191"/>
        <v>56.6</v>
      </c>
      <c r="AP821" s="3">
        <v>43160</v>
      </c>
      <c r="AQ821" s="2">
        <v>60.7</v>
      </c>
      <c r="AR821" s="2" t="str">
        <f t="shared" si="192"/>
        <v>+</v>
      </c>
      <c r="AS821" s="2">
        <v>64.2</v>
      </c>
      <c r="AT821" s="8" t="str">
        <f t="shared" si="193"/>
        <v>-</v>
      </c>
      <c r="AU821" s="2">
        <v>62</v>
      </c>
      <c r="AV821" s="8" t="str">
        <f t="shared" si="194"/>
        <v>-</v>
      </c>
      <c r="AW821" s="2">
        <v>59.7</v>
      </c>
      <c r="AX821" s="8" t="str">
        <f t="shared" si="195"/>
        <v>+</v>
      </c>
      <c r="AY821" s="2">
        <v>61.1</v>
      </c>
      <c r="AZ821" s="8" t="str">
        <f t="shared" si="196"/>
        <v>+</v>
      </c>
      <c r="BA821" s="2">
        <v>56.7</v>
      </c>
      <c r="BB821" s="8" t="str">
        <f t="shared" si="197"/>
        <v>+</v>
      </c>
      <c r="BC821" s="2">
        <v>43.7</v>
      </c>
      <c r="BD821" s="8" t="str">
        <f t="shared" si="198"/>
        <v>-</v>
      </c>
      <c r="BE821" s="2">
        <v>74.2</v>
      </c>
      <c r="BF821" s="8" t="str">
        <f t="shared" si="189"/>
        <v>+</v>
      </c>
      <c r="BG821" s="2">
        <v>59.8</v>
      </c>
      <c r="BH821" s="8" t="str">
        <f t="shared" si="199"/>
        <v>+</v>
      </c>
      <c r="BI821" s="2">
        <v>62.8</v>
      </c>
      <c r="BJ821" s="8" t="str">
        <f t="shared" si="200"/>
        <v>+</v>
      </c>
      <c r="BK821" s="2">
        <v>60.5</v>
      </c>
      <c r="BL821" s="8" t="str">
        <f t="shared" si="201"/>
        <v>+</v>
      </c>
    </row>
    <row r="822" spans="1:64">
      <c r="A822" s="1">
        <v>43221</v>
      </c>
      <c r="B822">
        <v>57.9</v>
      </c>
      <c r="C822">
        <v>61.2</v>
      </c>
      <c r="D822">
        <v>54.2</v>
      </c>
      <c r="E822">
        <v>57.2</v>
      </c>
      <c r="F822">
        <v>61.1</v>
      </c>
      <c r="G822">
        <v>52.9</v>
      </c>
      <c r="H822">
        <v>44.3</v>
      </c>
      <c r="I822">
        <v>79.3</v>
      </c>
      <c r="J822">
        <v>62</v>
      </c>
      <c r="K822">
        <v>57.7</v>
      </c>
      <c r="L822">
        <v>57.8</v>
      </c>
      <c r="W822" s="1">
        <v>43221</v>
      </c>
      <c r="X822">
        <v>2705.2700199999999</v>
      </c>
      <c r="Y822" s="4">
        <f t="shared" si="188"/>
        <v>2.1608341965291905E-2</v>
      </c>
      <c r="Z822" s="4">
        <f t="shared" si="190"/>
        <v>0.12168088773432145</v>
      </c>
      <c r="AA822">
        <v>57.9</v>
      </c>
      <c r="AB822">
        <f t="shared" si="191"/>
        <v>55.3</v>
      </c>
      <c r="AP822" s="3">
        <v>43191</v>
      </c>
      <c r="AQ822" s="2">
        <v>59.3</v>
      </c>
      <c r="AR822" s="2" t="str">
        <f t="shared" si="192"/>
        <v>-</v>
      </c>
      <c r="AS822" s="2">
        <v>61.9</v>
      </c>
      <c r="AT822" s="8" t="str">
        <f t="shared" si="193"/>
        <v>-</v>
      </c>
      <c r="AU822" s="2">
        <v>61</v>
      </c>
      <c r="AV822" s="8" t="str">
        <f t="shared" si="194"/>
        <v>-</v>
      </c>
      <c r="AW822" s="2">
        <v>57.3</v>
      </c>
      <c r="AX822" s="8" t="str">
        <f t="shared" si="195"/>
        <v>-</v>
      </c>
      <c r="AY822" s="2">
        <v>60.6</v>
      </c>
      <c r="AZ822" s="8" t="str">
        <f t="shared" si="196"/>
        <v>-</v>
      </c>
      <c r="BA822" s="2">
        <v>55.5</v>
      </c>
      <c r="BB822" s="8" t="str">
        <f t="shared" si="197"/>
        <v>-</v>
      </c>
      <c r="BC822" s="2">
        <v>42</v>
      </c>
      <c r="BD822" s="8" t="str">
        <f t="shared" si="198"/>
        <v>-</v>
      </c>
      <c r="BE822" s="2">
        <v>78.099999999999994</v>
      </c>
      <c r="BF822" s="8" t="str">
        <f t="shared" si="189"/>
        <v>+</v>
      </c>
      <c r="BG822" s="2">
        <v>59.8</v>
      </c>
      <c r="BH822" s="8" t="str">
        <f t="shared" si="199"/>
        <v>+</v>
      </c>
      <c r="BI822" s="2">
        <v>58.7</v>
      </c>
      <c r="BJ822" s="8" t="str">
        <f t="shared" si="200"/>
        <v>-</v>
      </c>
      <c r="BK822" s="2">
        <v>59.7</v>
      </c>
      <c r="BL822" s="8" t="str">
        <f t="shared" si="201"/>
        <v>-</v>
      </c>
    </row>
    <row r="823" spans="1:64">
      <c r="A823" s="1">
        <v>43252</v>
      </c>
      <c r="B823">
        <v>58.7</v>
      </c>
      <c r="C823">
        <v>63.7</v>
      </c>
      <c r="D823">
        <v>56.3</v>
      </c>
      <c r="E823">
        <v>61.5</v>
      </c>
      <c r="F823">
        <v>62</v>
      </c>
      <c r="G823">
        <v>50.2</v>
      </c>
      <c r="H823">
        <v>39.6</v>
      </c>
      <c r="I823">
        <v>79.5</v>
      </c>
      <c r="J823">
        <v>63.5</v>
      </c>
      <c r="K823">
        <v>55.6</v>
      </c>
      <c r="L823">
        <v>54.1</v>
      </c>
      <c r="W823" s="1">
        <v>43252</v>
      </c>
      <c r="X823">
        <v>2718.3701169999999</v>
      </c>
      <c r="Y823" s="4">
        <f t="shared" si="188"/>
        <v>4.8424360241866009E-3</v>
      </c>
      <c r="Z823" s="4">
        <f t="shared" si="190"/>
        <v>0.12171288214158292</v>
      </c>
      <c r="AA823">
        <v>58.7</v>
      </c>
      <c r="AB823">
        <f t="shared" si="191"/>
        <v>55.5</v>
      </c>
      <c r="AP823" s="3">
        <v>43221</v>
      </c>
      <c r="AQ823" s="2">
        <v>57.9</v>
      </c>
      <c r="AR823" s="2" t="str">
        <f t="shared" si="192"/>
        <v>-</v>
      </c>
      <c r="AS823" s="2">
        <v>61.2</v>
      </c>
      <c r="AT823" s="8" t="str">
        <f t="shared" si="193"/>
        <v>-</v>
      </c>
      <c r="AU823" s="2">
        <v>57.2</v>
      </c>
      <c r="AV823" s="8" t="str">
        <f t="shared" si="194"/>
        <v>-</v>
      </c>
      <c r="AW823" s="2">
        <v>54.2</v>
      </c>
      <c r="AX823" s="8" t="str">
        <f t="shared" si="195"/>
        <v>-</v>
      </c>
      <c r="AY823" s="2">
        <v>61.1</v>
      </c>
      <c r="AZ823" s="8" t="str">
        <f t="shared" si="196"/>
        <v>+</v>
      </c>
      <c r="BA823" s="2">
        <v>52.9</v>
      </c>
      <c r="BB823" s="8" t="str">
        <f t="shared" si="197"/>
        <v>-</v>
      </c>
      <c r="BC823" s="2">
        <v>44.3</v>
      </c>
      <c r="BD823" s="8" t="str">
        <f t="shared" si="198"/>
        <v>+</v>
      </c>
      <c r="BE823" s="2">
        <v>79.3</v>
      </c>
      <c r="BF823" s="8" t="str">
        <f t="shared" si="189"/>
        <v>+</v>
      </c>
      <c r="BG823" s="2">
        <v>62</v>
      </c>
      <c r="BH823" s="8" t="str">
        <f t="shared" si="199"/>
        <v>+</v>
      </c>
      <c r="BI823" s="2">
        <v>57.7</v>
      </c>
      <c r="BJ823" s="8" t="str">
        <f t="shared" si="200"/>
        <v>-</v>
      </c>
      <c r="BK823" s="2">
        <v>57.8</v>
      </c>
      <c r="BL823" s="8" t="str">
        <f t="shared" si="201"/>
        <v>-</v>
      </c>
    </row>
    <row r="824" spans="1:64">
      <c r="A824" s="1">
        <v>43282</v>
      </c>
      <c r="B824">
        <v>60</v>
      </c>
      <c r="C824">
        <v>63.5</v>
      </c>
      <c r="D824">
        <v>56</v>
      </c>
      <c r="E824">
        <v>62.3</v>
      </c>
      <c r="F824">
        <v>68.2</v>
      </c>
      <c r="G824">
        <v>50.8</v>
      </c>
      <c r="H824">
        <v>39.700000000000003</v>
      </c>
      <c r="I824">
        <v>76.8</v>
      </c>
      <c r="J824">
        <v>60.1</v>
      </c>
      <c r="K824">
        <v>56.3</v>
      </c>
      <c r="L824">
        <v>59</v>
      </c>
      <c r="W824" s="1">
        <v>43282</v>
      </c>
      <c r="X824">
        <v>2816.290039</v>
      </c>
      <c r="Y824" s="4">
        <f t="shared" si="188"/>
        <v>3.6021556221367206E-2</v>
      </c>
      <c r="Z824" s="4">
        <f t="shared" si="190"/>
        <v>0.1400599049253389</v>
      </c>
      <c r="AA824">
        <v>60</v>
      </c>
      <c r="AB824">
        <f t="shared" si="191"/>
        <v>56.7</v>
      </c>
      <c r="AP824" s="3">
        <v>43252</v>
      </c>
      <c r="AQ824" s="2">
        <v>58.7</v>
      </c>
      <c r="AR824" s="2" t="str">
        <f t="shared" si="192"/>
        <v>+</v>
      </c>
      <c r="AS824" s="2">
        <v>63.7</v>
      </c>
      <c r="AT824" s="8" t="str">
        <f t="shared" si="193"/>
        <v>+</v>
      </c>
      <c r="AU824" s="2">
        <v>61.5</v>
      </c>
      <c r="AV824" s="8" t="str">
        <f t="shared" si="194"/>
        <v>+</v>
      </c>
      <c r="AW824" s="2">
        <v>56.3</v>
      </c>
      <c r="AX824" s="8" t="str">
        <f t="shared" si="195"/>
        <v>+</v>
      </c>
      <c r="AY824" s="2">
        <v>62</v>
      </c>
      <c r="AZ824" s="8" t="str">
        <f t="shared" si="196"/>
        <v>+</v>
      </c>
      <c r="BA824" s="2">
        <v>50.2</v>
      </c>
      <c r="BB824" s="8" t="str">
        <f t="shared" si="197"/>
        <v>-</v>
      </c>
      <c r="BC824" s="2">
        <v>39.6</v>
      </c>
      <c r="BD824" s="8" t="str">
        <f t="shared" si="198"/>
        <v>-</v>
      </c>
      <c r="BE824" s="2">
        <v>79.5</v>
      </c>
      <c r="BF824" s="8" t="str">
        <f t="shared" si="189"/>
        <v>+</v>
      </c>
      <c r="BG824" s="2">
        <v>63.5</v>
      </c>
      <c r="BH824" s="8" t="str">
        <f t="shared" si="199"/>
        <v>+</v>
      </c>
      <c r="BI824" s="2">
        <v>55.6</v>
      </c>
      <c r="BJ824" s="8" t="str">
        <f t="shared" si="200"/>
        <v>-</v>
      </c>
      <c r="BK824" s="2">
        <v>54.1</v>
      </c>
      <c r="BL824" s="8" t="str">
        <f t="shared" si="201"/>
        <v>-</v>
      </c>
    </row>
    <row r="825" spans="1:64">
      <c r="A825" s="1">
        <v>43313</v>
      </c>
      <c r="B825">
        <v>58.4</v>
      </c>
      <c r="C825">
        <v>60.2</v>
      </c>
      <c r="D825">
        <v>56.5</v>
      </c>
      <c r="E825">
        <v>58.5</v>
      </c>
      <c r="F825">
        <v>62.1</v>
      </c>
      <c r="G825">
        <v>53.3</v>
      </c>
      <c r="H825">
        <v>39.4</v>
      </c>
      <c r="I825">
        <v>73.2</v>
      </c>
      <c r="J825">
        <v>54.7</v>
      </c>
      <c r="K825">
        <v>55.3</v>
      </c>
      <c r="L825">
        <v>54.7</v>
      </c>
      <c r="W825" s="1">
        <v>43313</v>
      </c>
      <c r="X825">
        <v>2901.5200199999999</v>
      </c>
      <c r="Y825" s="4">
        <f t="shared" si="188"/>
        <v>3.0263211466054526E-2</v>
      </c>
      <c r="Z825" s="4">
        <f t="shared" si="190"/>
        <v>0.17392031033689651</v>
      </c>
      <c r="AA825">
        <v>58.4</v>
      </c>
      <c r="AB825">
        <f t="shared" si="191"/>
        <v>56.5</v>
      </c>
      <c r="AP825" s="3">
        <v>43282</v>
      </c>
      <c r="AQ825" s="2">
        <v>60</v>
      </c>
      <c r="AR825" s="2" t="str">
        <f t="shared" si="192"/>
        <v>+</v>
      </c>
      <c r="AS825" s="2">
        <v>63.5</v>
      </c>
      <c r="AT825" s="8" t="str">
        <f t="shared" si="193"/>
        <v>-</v>
      </c>
      <c r="AU825" s="2">
        <v>62.3</v>
      </c>
      <c r="AV825" s="8" t="str">
        <f t="shared" si="194"/>
        <v>+</v>
      </c>
      <c r="AW825" s="2">
        <v>56</v>
      </c>
      <c r="AX825" s="8" t="str">
        <f t="shared" si="195"/>
        <v>-</v>
      </c>
      <c r="AY825" s="2">
        <v>68.2</v>
      </c>
      <c r="AZ825" s="8" t="str">
        <f t="shared" si="196"/>
        <v>+</v>
      </c>
      <c r="BA825" s="2">
        <v>50.8</v>
      </c>
      <c r="BB825" s="8" t="str">
        <f t="shared" si="197"/>
        <v>+</v>
      </c>
      <c r="BC825" s="2">
        <v>39.700000000000003</v>
      </c>
      <c r="BD825" s="8" t="str">
        <f t="shared" si="198"/>
        <v>+</v>
      </c>
      <c r="BE825" s="2">
        <v>76.8</v>
      </c>
      <c r="BF825" s="8" t="str">
        <f t="shared" si="189"/>
        <v>-</v>
      </c>
      <c r="BG825" s="2">
        <v>60.1</v>
      </c>
      <c r="BH825" s="8" t="str">
        <f t="shared" si="199"/>
        <v>-</v>
      </c>
      <c r="BI825" s="2">
        <v>56.3</v>
      </c>
      <c r="BJ825" s="8" t="str">
        <f t="shared" si="200"/>
        <v>+</v>
      </c>
      <c r="BK825" s="2">
        <v>59</v>
      </c>
      <c r="BL825" s="8" t="str">
        <f t="shared" si="201"/>
        <v>+</v>
      </c>
    </row>
    <row r="826" spans="1:64">
      <c r="A826" s="1">
        <v>43344</v>
      </c>
      <c r="B826">
        <v>60.8</v>
      </c>
      <c r="C826">
        <v>65.099999999999994</v>
      </c>
      <c r="D826">
        <v>58.5</v>
      </c>
      <c r="E826">
        <v>63.3</v>
      </c>
      <c r="F826">
        <v>64.5</v>
      </c>
      <c r="G826">
        <v>55.4</v>
      </c>
      <c r="H826">
        <v>41</v>
      </c>
      <c r="I826">
        <v>72.099999999999994</v>
      </c>
      <c r="J826">
        <v>57.5</v>
      </c>
      <c r="K826">
        <v>55.2</v>
      </c>
      <c r="L826">
        <v>53.9</v>
      </c>
      <c r="W826" s="1">
        <v>43344</v>
      </c>
      <c r="X826">
        <v>2913.9799800000001</v>
      </c>
      <c r="Y826" s="4">
        <f t="shared" si="188"/>
        <v>4.2942871026614999E-3</v>
      </c>
      <c r="Z826" s="4">
        <f t="shared" si="190"/>
        <v>0.15663496135528834</v>
      </c>
      <c r="AA826">
        <v>60.8</v>
      </c>
      <c r="AB826">
        <f t="shared" si="191"/>
        <v>59.3</v>
      </c>
      <c r="AP826" s="3">
        <v>43313</v>
      </c>
      <c r="AQ826" s="2">
        <v>58.4</v>
      </c>
      <c r="AR826" s="2" t="str">
        <f t="shared" si="192"/>
        <v>-</v>
      </c>
      <c r="AS826" s="2">
        <v>60.2</v>
      </c>
      <c r="AT826" s="8" t="str">
        <f t="shared" si="193"/>
        <v>-</v>
      </c>
      <c r="AU826" s="2">
        <v>58.5</v>
      </c>
      <c r="AV826" s="8" t="str">
        <f t="shared" si="194"/>
        <v>-</v>
      </c>
      <c r="AW826" s="2">
        <v>56.5</v>
      </c>
      <c r="AX826" s="8" t="str">
        <f t="shared" si="195"/>
        <v>+</v>
      </c>
      <c r="AY826" s="2">
        <v>62.1</v>
      </c>
      <c r="AZ826" s="8" t="str">
        <f t="shared" si="196"/>
        <v>-</v>
      </c>
      <c r="BA826" s="2">
        <v>53.3</v>
      </c>
      <c r="BB826" s="8" t="str">
        <f t="shared" si="197"/>
        <v>+</v>
      </c>
      <c r="BC826" s="2">
        <v>39.4</v>
      </c>
      <c r="BD826" s="8" t="str">
        <f t="shared" si="198"/>
        <v>-</v>
      </c>
      <c r="BE826" s="2">
        <v>73.2</v>
      </c>
      <c r="BF826" s="8" t="str">
        <f t="shared" si="189"/>
        <v>-</v>
      </c>
      <c r="BG826" s="2">
        <v>54.7</v>
      </c>
      <c r="BH826" s="8" t="str">
        <f t="shared" si="199"/>
        <v>-</v>
      </c>
      <c r="BI826" s="2">
        <v>55.3</v>
      </c>
      <c r="BJ826" s="8" t="str">
        <f t="shared" si="200"/>
        <v>-</v>
      </c>
      <c r="BK826" s="2">
        <v>54.7</v>
      </c>
      <c r="BL826" s="8" t="str">
        <f t="shared" si="201"/>
        <v>-</v>
      </c>
    </row>
    <row r="827" spans="1:64">
      <c r="A827" s="1">
        <v>43374</v>
      </c>
      <c r="B827">
        <v>59.5</v>
      </c>
      <c r="C827">
        <v>61.8</v>
      </c>
      <c r="D827">
        <v>58.8</v>
      </c>
      <c r="E827">
        <v>63.9</v>
      </c>
      <c r="F827">
        <v>61.1</v>
      </c>
      <c r="G827">
        <v>53.3</v>
      </c>
      <c r="H827">
        <v>40.5</v>
      </c>
      <c r="I827">
        <v>66.900000000000006</v>
      </c>
      <c r="J827">
        <v>55.7</v>
      </c>
      <c r="K827">
        <v>56</v>
      </c>
      <c r="L827">
        <v>54.5</v>
      </c>
      <c r="W827" s="1">
        <v>43374</v>
      </c>
      <c r="X827">
        <v>2711.73999</v>
      </c>
      <c r="Y827" s="4">
        <f t="shared" si="188"/>
        <v>-6.9403356024429527E-2</v>
      </c>
      <c r="Z827" s="4">
        <f t="shared" si="190"/>
        <v>5.299658266351135E-2</v>
      </c>
      <c r="AA827">
        <v>59.5</v>
      </c>
      <c r="AB827">
        <f t="shared" si="191"/>
        <v>60.2</v>
      </c>
      <c r="AP827" s="3">
        <v>43344</v>
      </c>
      <c r="AQ827" s="2">
        <v>60.8</v>
      </c>
      <c r="AR827" s="2" t="str">
        <f t="shared" si="192"/>
        <v>+</v>
      </c>
      <c r="AS827" s="2">
        <v>65.099999999999994</v>
      </c>
      <c r="AT827" s="8" t="str">
        <f t="shared" si="193"/>
        <v>+</v>
      </c>
      <c r="AU827" s="2">
        <v>63.3</v>
      </c>
      <c r="AV827" s="8" t="str">
        <f t="shared" si="194"/>
        <v>+</v>
      </c>
      <c r="AW827" s="2">
        <v>58.5</v>
      </c>
      <c r="AX827" s="8" t="str">
        <f t="shared" si="195"/>
        <v>+</v>
      </c>
      <c r="AY827" s="2">
        <v>64.5</v>
      </c>
      <c r="AZ827" s="8" t="str">
        <f t="shared" si="196"/>
        <v>+</v>
      </c>
      <c r="BA827" s="2">
        <v>55.4</v>
      </c>
      <c r="BB827" s="8" t="str">
        <f t="shared" si="197"/>
        <v>+</v>
      </c>
      <c r="BC827" s="2">
        <v>41</v>
      </c>
      <c r="BD827" s="8" t="str">
        <f t="shared" si="198"/>
        <v>+</v>
      </c>
      <c r="BE827" s="2">
        <v>72.099999999999994</v>
      </c>
      <c r="BF827" s="8" t="str">
        <f t="shared" si="189"/>
        <v>-</v>
      </c>
      <c r="BG827" s="2">
        <v>57.5</v>
      </c>
      <c r="BH827" s="8" t="str">
        <f t="shared" si="199"/>
        <v>+</v>
      </c>
      <c r="BI827" s="2">
        <v>55.2</v>
      </c>
      <c r="BJ827" s="8" t="str">
        <f t="shared" si="200"/>
        <v>-</v>
      </c>
      <c r="BK827" s="2">
        <v>53.9</v>
      </c>
      <c r="BL827" s="8" t="str">
        <f t="shared" si="201"/>
        <v>-</v>
      </c>
    </row>
    <row r="828" spans="1:64">
      <c r="A828" s="1">
        <v>43405</v>
      </c>
      <c r="B828">
        <v>57.5</v>
      </c>
      <c r="C828">
        <v>58</v>
      </c>
      <c r="D828">
        <v>56.5</v>
      </c>
      <c r="E828">
        <v>59.3</v>
      </c>
      <c r="F828">
        <v>63.2</v>
      </c>
      <c r="G828">
        <v>50.7</v>
      </c>
      <c r="H828">
        <v>43.3</v>
      </c>
      <c r="I828">
        <v>71.599999999999994</v>
      </c>
      <c r="J828">
        <v>55.8</v>
      </c>
      <c r="K828">
        <v>52.2</v>
      </c>
      <c r="L828">
        <v>54.3</v>
      </c>
      <c r="W828" s="1">
        <v>43405</v>
      </c>
      <c r="X828">
        <v>2760.169922</v>
      </c>
      <c r="Y828" s="4">
        <f t="shared" si="188"/>
        <v>1.7859356788849069E-2</v>
      </c>
      <c r="Z828" s="4">
        <f t="shared" si="190"/>
        <v>6.7830050614721096E-2</v>
      </c>
      <c r="AA828">
        <v>57.5</v>
      </c>
      <c r="AB828">
        <f t="shared" si="191"/>
        <v>58.5</v>
      </c>
      <c r="AP828" s="3">
        <v>43374</v>
      </c>
      <c r="AQ828" s="2">
        <v>59.5</v>
      </c>
      <c r="AR828" s="2" t="str">
        <f t="shared" si="192"/>
        <v>-</v>
      </c>
      <c r="AS828" s="2">
        <v>61.8</v>
      </c>
      <c r="AT828" s="8" t="str">
        <f t="shared" si="193"/>
        <v>-</v>
      </c>
      <c r="AU828" s="2">
        <v>63.9</v>
      </c>
      <c r="AV828" s="8" t="str">
        <f t="shared" si="194"/>
        <v>+</v>
      </c>
      <c r="AW828" s="2">
        <v>58.8</v>
      </c>
      <c r="AX828" s="8" t="str">
        <f t="shared" si="195"/>
        <v>+</v>
      </c>
      <c r="AY828" s="2">
        <v>61.1</v>
      </c>
      <c r="AZ828" s="8" t="str">
        <f t="shared" si="196"/>
        <v>-</v>
      </c>
      <c r="BA828" s="2">
        <v>53.3</v>
      </c>
      <c r="BB828" s="8" t="str">
        <f t="shared" si="197"/>
        <v>-</v>
      </c>
      <c r="BC828" s="2">
        <v>40.5</v>
      </c>
      <c r="BD828" s="8" t="str">
        <f t="shared" si="198"/>
        <v>-</v>
      </c>
      <c r="BE828" s="2">
        <v>66.900000000000006</v>
      </c>
      <c r="BF828" s="8" t="str">
        <f t="shared" si="189"/>
        <v>-</v>
      </c>
      <c r="BG828" s="2">
        <v>55.7</v>
      </c>
      <c r="BH828" s="8" t="str">
        <f t="shared" si="199"/>
        <v>-</v>
      </c>
      <c r="BI828" s="2">
        <v>56</v>
      </c>
      <c r="BJ828" s="8" t="str">
        <f t="shared" si="200"/>
        <v>+</v>
      </c>
      <c r="BK828" s="2">
        <v>54.5</v>
      </c>
      <c r="BL828" s="8" t="str">
        <f t="shared" si="201"/>
        <v>+</v>
      </c>
    </row>
    <row r="829" spans="1:64">
      <c r="A829" s="1">
        <v>43435</v>
      </c>
      <c r="B829">
        <v>58.8</v>
      </c>
      <c r="C829">
        <v>61.8</v>
      </c>
      <c r="D829">
        <v>57.7</v>
      </c>
      <c r="E829">
        <v>59.9</v>
      </c>
      <c r="F829">
        <v>61.5</v>
      </c>
      <c r="G829">
        <v>52.9</v>
      </c>
      <c r="H829">
        <v>41.5</v>
      </c>
      <c r="I829">
        <v>60.7</v>
      </c>
      <c r="J829">
        <v>56.4</v>
      </c>
      <c r="K829">
        <v>52.2</v>
      </c>
      <c r="L829">
        <v>53.6</v>
      </c>
      <c r="W829" s="1">
        <v>43435</v>
      </c>
      <c r="X829">
        <v>2506.8500979999999</v>
      </c>
      <c r="Y829" s="4">
        <f t="shared" si="188"/>
        <v>-9.1776894596563949E-2</v>
      </c>
      <c r="Z829" s="4">
        <f t="shared" si="190"/>
        <v>-6.2372598219685021E-2</v>
      </c>
      <c r="AA829">
        <v>58.8</v>
      </c>
      <c r="AB829">
        <f t="shared" si="191"/>
        <v>58.2</v>
      </c>
      <c r="AP829" s="3">
        <v>43405</v>
      </c>
      <c r="AQ829" s="2">
        <v>57.5</v>
      </c>
      <c r="AR829" s="2" t="str">
        <f t="shared" si="192"/>
        <v>-</v>
      </c>
      <c r="AS829" s="2">
        <v>58</v>
      </c>
      <c r="AT829" s="8" t="str">
        <f t="shared" si="193"/>
        <v>-</v>
      </c>
      <c r="AU829" s="2">
        <v>59.3</v>
      </c>
      <c r="AV829" s="8" t="str">
        <f t="shared" si="194"/>
        <v>-</v>
      </c>
      <c r="AW829" s="2">
        <v>56.5</v>
      </c>
      <c r="AX829" s="8" t="str">
        <f t="shared" si="195"/>
        <v>-</v>
      </c>
      <c r="AY829" s="2">
        <v>63.2</v>
      </c>
      <c r="AZ829" s="8" t="str">
        <f t="shared" si="196"/>
        <v>+</v>
      </c>
      <c r="BA829" s="2">
        <v>50.7</v>
      </c>
      <c r="BB829" s="8" t="str">
        <f t="shared" si="197"/>
        <v>-</v>
      </c>
      <c r="BC829" s="2">
        <v>43.3</v>
      </c>
      <c r="BD829" s="8" t="str">
        <f t="shared" si="198"/>
        <v>+</v>
      </c>
      <c r="BE829" s="2">
        <v>71.599999999999994</v>
      </c>
      <c r="BF829" s="8" t="str">
        <f t="shared" si="189"/>
        <v>+</v>
      </c>
      <c r="BG829" s="2">
        <v>55.8</v>
      </c>
      <c r="BH829" s="8" t="str">
        <f t="shared" si="199"/>
        <v>+</v>
      </c>
      <c r="BI829" s="2">
        <v>52.2</v>
      </c>
      <c r="BJ829" s="8" t="str">
        <f t="shared" si="200"/>
        <v>-</v>
      </c>
      <c r="BK829" s="2">
        <v>54.3</v>
      </c>
      <c r="BL829" s="8" t="str">
        <f t="shared" si="201"/>
        <v>-</v>
      </c>
    </row>
    <row r="830" spans="1:64">
      <c r="A830" s="1">
        <v>43466</v>
      </c>
      <c r="B830">
        <v>54.3</v>
      </c>
      <c r="C830">
        <v>51.3</v>
      </c>
      <c r="D830">
        <v>56</v>
      </c>
      <c r="E830">
        <v>54.1</v>
      </c>
      <c r="F830">
        <v>59</v>
      </c>
      <c r="G830">
        <v>51.2</v>
      </c>
      <c r="H830">
        <v>41.7</v>
      </c>
      <c r="I830">
        <v>54.9</v>
      </c>
      <c r="J830">
        <v>50</v>
      </c>
      <c r="K830">
        <v>52.8</v>
      </c>
      <c r="L830">
        <v>52.7</v>
      </c>
      <c r="W830" s="1">
        <v>43466</v>
      </c>
      <c r="X830">
        <v>2704.1000979999999</v>
      </c>
      <c r="Y830" s="4">
        <f t="shared" si="188"/>
        <v>7.8684401655036665E-2</v>
      </c>
      <c r="Z830" s="4">
        <f t="shared" si="190"/>
        <v>-4.2393064157577612E-2</v>
      </c>
      <c r="AA830">
        <v>54.3</v>
      </c>
      <c r="AB830">
        <f t="shared" si="191"/>
        <v>59.3</v>
      </c>
      <c r="AP830" s="3">
        <v>43435</v>
      </c>
      <c r="AQ830" s="2">
        <v>58.8</v>
      </c>
      <c r="AR830" s="2" t="str">
        <f t="shared" si="192"/>
        <v>+</v>
      </c>
      <c r="AS830" s="2">
        <v>61.8</v>
      </c>
      <c r="AT830" s="8" t="str">
        <f t="shared" si="193"/>
        <v>+</v>
      </c>
      <c r="AU830" s="2">
        <v>59.9</v>
      </c>
      <c r="AV830" s="8" t="str">
        <f t="shared" si="194"/>
        <v>+</v>
      </c>
      <c r="AW830" s="2">
        <v>57.7</v>
      </c>
      <c r="AX830" s="8" t="str">
        <f t="shared" si="195"/>
        <v>+</v>
      </c>
      <c r="AY830" s="2">
        <v>61.5</v>
      </c>
      <c r="AZ830" s="8" t="str">
        <f t="shared" si="196"/>
        <v>-</v>
      </c>
      <c r="BA830" s="2">
        <v>52.9</v>
      </c>
      <c r="BB830" s="8" t="str">
        <f t="shared" si="197"/>
        <v>+</v>
      </c>
      <c r="BC830" s="2">
        <v>41.5</v>
      </c>
      <c r="BD830" s="8" t="str">
        <f t="shared" si="198"/>
        <v>-</v>
      </c>
      <c r="BE830" s="2">
        <v>60.7</v>
      </c>
      <c r="BF830" s="8" t="str">
        <f t="shared" si="189"/>
        <v>-</v>
      </c>
      <c r="BG830" s="2">
        <v>56.4</v>
      </c>
      <c r="BH830" s="8" t="str">
        <f t="shared" si="199"/>
        <v>+</v>
      </c>
      <c r="BI830" s="2">
        <v>52.2</v>
      </c>
      <c r="BJ830" s="8" t="str">
        <f t="shared" si="200"/>
        <v>+</v>
      </c>
      <c r="BK830" s="2">
        <v>53.6</v>
      </c>
      <c r="BL830" s="8" t="str">
        <f t="shared" si="201"/>
        <v>-</v>
      </c>
    </row>
    <row r="831" spans="1:64">
      <c r="A831" s="1">
        <v>43497</v>
      </c>
      <c r="B831">
        <v>56.6</v>
      </c>
      <c r="C831">
        <v>58.2</v>
      </c>
      <c r="D831">
        <v>55.5</v>
      </c>
      <c r="E831">
        <v>60.5</v>
      </c>
      <c r="F831">
        <v>56.2</v>
      </c>
      <c r="G831">
        <v>52.8</v>
      </c>
      <c r="H831">
        <v>42.8</v>
      </c>
      <c r="I831">
        <v>49.6</v>
      </c>
      <c r="J831">
        <v>50.3</v>
      </c>
      <c r="K831">
        <v>51.8</v>
      </c>
      <c r="L831">
        <v>53.8</v>
      </c>
      <c r="W831" s="1">
        <v>43497</v>
      </c>
      <c r="X831">
        <v>2784.48999</v>
      </c>
      <c r="Y831" s="4">
        <f t="shared" si="188"/>
        <v>2.9728889126352211E-2</v>
      </c>
      <c r="Z831" s="4">
        <f t="shared" si="190"/>
        <v>2.603696987988062E-2</v>
      </c>
      <c r="AA831">
        <v>56.6</v>
      </c>
      <c r="AB831">
        <f t="shared" si="191"/>
        <v>59.1</v>
      </c>
      <c r="AP831" s="3">
        <v>43466</v>
      </c>
      <c r="AQ831" s="2">
        <v>54.3</v>
      </c>
      <c r="AR831" s="2" t="str">
        <f t="shared" si="192"/>
        <v>-</v>
      </c>
      <c r="AS831" s="2">
        <v>51.3</v>
      </c>
      <c r="AT831" s="8" t="str">
        <f t="shared" si="193"/>
        <v>-</v>
      </c>
      <c r="AU831" s="2">
        <v>54.1</v>
      </c>
      <c r="AV831" s="8" t="str">
        <f t="shared" si="194"/>
        <v>-</v>
      </c>
      <c r="AW831" s="2">
        <v>56</v>
      </c>
      <c r="AX831" s="8" t="str">
        <f t="shared" si="195"/>
        <v>-</v>
      </c>
      <c r="AY831" s="2">
        <v>59</v>
      </c>
      <c r="AZ831" s="8" t="str">
        <f t="shared" si="196"/>
        <v>-</v>
      </c>
      <c r="BA831" s="2">
        <v>51.2</v>
      </c>
      <c r="BB831" s="8" t="str">
        <f t="shared" si="197"/>
        <v>-</v>
      </c>
      <c r="BC831" s="2">
        <v>41.7</v>
      </c>
      <c r="BD831" s="8" t="str">
        <f t="shared" si="198"/>
        <v>+</v>
      </c>
      <c r="BE831" s="2">
        <v>54.9</v>
      </c>
      <c r="BF831" s="8" t="str">
        <f t="shared" si="189"/>
        <v>-</v>
      </c>
      <c r="BG831" s="2">
        <v>50</v>
      </c>
      <c r="BH831" s="8" t="str">
        <f t="shared" si="199"/>
        <v>-</v>
      </c>
      <c r="BI831" s="2">
        <v>52.8</v>
      </c>
      <c r="BJ831" s="8" t="str">
        <f t="shared" si="200"/>
        <v>+</v>
      </c>
      <c r="BK831" s="2">
        <v>52.7</v>
      </c>
      <c r="BL831" s="8" t="str">
        <f t="shared" si="201"/>
        <v>-</v>
      </c>
    </row>
    <row r="832" spans="1:64">
      <c r="A832" s="1">
        <v>43525</v>
      </c>
      <c r="B832">
        <v>54.2</v>
      </c>
      <c r="C832">
        <v>55.5</v>
      </c>
      <c r="D832">
        <v>52.3</v>
      </c>
      <c r="E832">
        <v>54.8</v>
      </c>
      <c r="F832">
        <v>54.9</v>
      </c>
      <c r="G832">
        <v>53.4</v>
      </c>
      <c r="H832">
        <v>39</v>
      </c>
      <c r="I832">
        <v>49.4</v>
      </c>
      <c r="J832">
        <v>52.3</v>
      </c>
      <c r="K832">
        <v>52.8</v>
      </c>
      <c r="L832">
        <v>55.3</v>
      </c>
      <c r="W832" s="1">
        <v>43525</v>
      </c>
      <c r="X832">
        <v>2834.3999020000001</v>
      </c>
      <c r="Y832" s="4">
        <f t="shared" si="188"/>
        <v>1.7924256211817115E-2</v>
      </c>
      <c r="Z832" s="4">
        <f t="shared" si="190"/>
        <v>7.3282583552366415E-2</v>
      </c>
      <c r="AA832">
        <v>54.2</v>
      </c>
      <c r="AB832">
        <f t="shared" si="191"/>
        <v>60.7</v>
      </c>
      <c r="AP832" s="3">
        <v>43497</v>
      </c>
      <c r="AQ832" s="2">
        <v>56.6</v>
      </c>
      <c r="AR832" s="2" t="str">
        <f t="shared" si="192"/>
        <v>+</v>
      </c>
      <c r="AS832" s="2">
        <v>58.2</v>
      </c>
      <c r="AT832" s="8" t="str">
        <f t="shared" si="193"/>
        <v>+</v>
      </c>
      <c r="AU832" s="2">
        <v>60.5</v>
      </c>
      <c r="AV832" s="8" t="str">
        <f t="shared" si="194"/>
        <v>+</v>
      </c>
      <c r="AW832" s="2">
        <v>55.5</v>
      </c>
      <c r="AX832" s="8" t="str">
        <f t="shared" si="195"/>
        <v>-</v>
      </c>
      <c r="AY832" s="2">
        <v>56.2</v>
      </c>
      <c r="AZ832" s="8" t="str">
        <f t="shared" si="196"/>
        <v>-</v>
      </c>
      <c r="BA832" s="2">
        <v>52.8</v>
      </c>
      <c r="BB832" s="8" t="str">
        <f t="shared" si="197"/>
        <v>+</v>
      </c>
      <c r="BC832" s="2">
        <v>42.8</v>
      </c>
      <c r="BD832" s="8" t="str">
        <f t="shared" si="198"/>
        <v>+</v>
      </c>
      <c r="BE832" s="2">
        <v>49.6</v>
      </c>
      <c r="BF832" s="8" t="str">
        <f t="shared" si="189"/>
        <v>-</v>
      </c>
      <c r="BG832" s="2">
        <v>50.3</v>
      </c>
      <c r="BH832" s="8" t="str">
        <f t="shared" si="199"/>
        <v>+</v>
      </c>
      <c r="BI832" s="2">
        <v>51.8</v>
      </c>
      <c r="BJ832" s="8" t="str">
        <f t="shared" si="200"/>
        <v>-</v>
      </c>
      <c r="BK832" s="2">
        <v>53.8</v>
      </c>
      <c r="BL832" s="8" t="str">
        <f t="shared" si="201"/>
        <v>+</v>
      </c>
    </row>
    <row r="833" spans="1:64">
      <c r="A833" s="1">
        <v>43556</v>
      </c>
      <c r="B833">
        <v>55.3</v>
      </c>
      <c r="C833">
        <v>57.4</v>
      </c>
      <c r="D833">
        <v>57.5</v>
      </c>
      <c r="E833">
        <v>55.8</v>
      </c>
      <c r="F833">
        <v>54.2</v>
      </c>
      <c r="G833">
        <v>51.8</v>
      </c>
      <c r="H833">
        <v>42.7</v>
      </c>
      <c r="I833">
        <v>54.3</v>
      </c>
      <c r="J833">
        <v>50.4</v>
      </c>
      <c r="K833">
        <v>51.7</v>
      </c>
      <c r="L833">
        <v>51.1</v>
      </c>
      <c r="W833" s="1">
        <v>43556</v>
      </c>
      <c r="X833">
        <v>2907.0600589999999</v>
      </c>
      <c r="Y833" s="4">
        <f t="shared" si="188"/>
        <v>2.5635111315354467E-2</v>
      </c>
      <c r="Z833" s="4">
        <f t="shared" si="190"/>
        <v>9.7811599179483621E-2</v>
      </c>
      <c r="AA833">
        <v>55.3</v>
      </c>
      <c r="AB833">
        <f t="shared" si="191"/>
        <v>59.3</v>
      </c>
      <c r="AP833" s="3">
        <v>43525</v>
      </c>
      <c r="AQ833" s="2">
        <v>54.2</v>
      </c>
      <c r="AR833" s="2" t="str">
        <f t="shared" si="192"/>
        <v>-</v>
      </c>
      <c r="AS833" s="2">
        <v>55.5</v>
      </c>
      <c r="AT833" s="8" t="str">
        <f t="shared" si="193"/>
        <v>-</v>
      </c>
      <c r="AU833" s="2">
        <v>54.8</v>
      </c>
      <c r="AV833" s="8" t="str">
        <f t="shared" si="194"/>
        <v>-</v>
      </c>
      <c r="AW833" s="2">
        <v>52.3</v>
      </c>
      <c r="AX833" s="8" t="str">
        <f t="shared" si="195"/>
        <v>-</v>
      </c>
      <c r="AY833" s="2">
        <v>54.9</v>
      </c>
      <c r="AZ833" s="8" t="str">
        <f t="shared" si="196"/>
        <v>-</v>
      </c>
      <c r="BA833" s="2">
        <v>53.4</v>
      </c>
      <c r="BB833" s="8" t="str">
        <f t="shared" si="197"/>
        <v>+</v>
      </c>
      <c r="BC833" s="2">
        <v>39</v>
      </c>
      <c r="BD833" s="8" t="str">
        <f t="shared" si="198"/>
        <v>-</v>
      </c>
      <c r="BE833" s="2">
        <v>49.4</v>
      </c>
      <c r="BF833" s="8" t="str">
        <f t="shared" si="189"/>
        <v>-</v>
      </c>
      <c r="BG833" s="2">
        <v>52.3</v>
      </c>
      <c r="BH833" s="8" t="str">
        <f t="shared" si="199"/>
        <v>+</v>
      </c>
      <c r="BI833" s="2">
        <v>52.8</v>
      </c>
      <c r="BJ833" s="8" t="str">
        <f t="shared" si="200"/>
        <v>+</v>
      </c>
      <c r="BK833" s="2">
        <v>55.3</v>
      </c>
      <c r="BL833" s="8" t="str">
        <f t="shared" si="201"/>
        <v>+</v>
      </c>
    </row>
    <row r="834" spans="1:64">
      <c r="AB834">
        <f t="shared" si="191"/>
        <v>57.9</v>
      </c>
      <c r="AP834" s="3">
        <v>43556</v>
      </c>
      <c r="AQ834" s="2">
        <v>55.3</v>
      </c>
      <c r="AR834" s="2"/>
      <c r="AS834" s="2">
        <v>57.4</v>
      </c>
      <c r="AT834" s="8" t="str">
        <f t="shared" si="193"/>
        <v>+</v>
      </c>
      <c r="AU834" s="2">
        <v>55.8</v>
      </c>
      <c r="AV834" s="8" t="str">
        <f t="shared" si="194"/>
        <v>+</v>
      </c>
      <c r="AW834" s="2">
        <v>57.5</v>
      </c>
      <c r="AX834" s="8" t="str">
        <f t="shared" si="195"/>
        <v>+</v>
      </c>
      <c r="AY834" s="2">
        <v>54.2</v>
      </c>
      <c r="AZ834" s="8" t="str">
        <f t="shared" si="196"/>
        <v>-</v>
      </c>
      <c r="BA834" s="2">
        <v>51.8</v>
      </c>
      <c r="BB834" s="8" t="str">
        <f t="shared" si="197"/>
        <v>-</v>
      </c>
      <c r="BC834" s="2">
        <v>42.7</v>
      </c>
      <c r="BD834" s="8" t="str">
        <f t="shared" si="198"/>
        <v>+</v>
      </c>
      <c r="BE834" s="2">
        <v>54.3</v>
      </c>
      <c r="BF834" s="8" t="str">
        <f t="shared" si="189"/>
        <v>+</v>
      </c>
      <c r="BG834" s="2">
        <v>50.4</v>
      </c>
      <c r="BH834" s="8" t="str">
        <f t="shared" si="199"/>
        <v>-</v>
      </c>
      <c r="BI834" s="2">
        <v>51.7</v>
      </c>
      <c r="BJ834" s="8" t="str">
        <f t="shared" si="200"/>
        <v>-</v>
      </c>
      <c r="BK834" s="2">
        <v>51.1</v>
      </c>
      <c r="BL834" s="8" t="str">
        <f t="shared" si="201"/>
        <v>-</v>
      </c>
    </row>
    <row r="835" spans="1:64">
      <c r="AB835">
        <f t="shared" si="191"/>
        <v>58.7</v>
      </c>
    </row>
    <row r="836" spans="1:64">
      <c r="AB836">
        <f t="shared" si="191"/>
        <v>60</v>
      </c>
    </row>
    <row r="837" spans="1:64">
      <c r="AB837">
        <f t="shared" si="191"/>
        <v>58.4</v>
      </c>
    </row>
    <row r="838" spans="1:64">
      <c r="AB838">
        <f t="shared" si="191"/>
        <v>60.8</v>
      </c>
    </row>
    <row r="839" spans="1:64">
      <c r="AB839">
        <f t="shared" si="191"/>
        <v>59.5</v>
      </c>
    </row>
    <row r="840" spans="1:64">
      <c r="AB840">
        <f t="shared" si="191"/>
        <v>57.5</v>
      </c>
    </row>
    <row r="841" spans="1:64">
      <c r="AB841">
        <f t="shared" si="191"/>
        <v>58.8</v>
      </c>
    </row>
    <row r="842" spans="1:64">
      <c r="AB842">
        <f t="shared" si="191"/>
        <v>54.3</v>
      </c>
    </row>
    <row r="843" spans="1:64">
      <c r="AB843">
        <f t="shared" si="191"/>
        <v>56.6</v>
      </c>
    </row>
    <row r="844" spans="1:64">
      <c r="AB844">
        <f t="shared" si="191"/>
        <v>54.2</v>
      </c>
    </row>
    <row r="845" spans="1:64">
      <c r="AB845">
        <f t="shared" si="191"/>
        <v>55.3</v>
      </c>
    </row>
  </sheetData>
  <mergeCells count="12">
    <mergeCell ref="BK1:BL2"/>
    <mergeCell ref="AP1:AP2"/>
    <mergeCell ref="AQ1:AR2"/>
    <mergeCell ref="AS1:AT2"/>
    <mergeCell ref="AU1:AV2"/>
    <mergeCell ref="AW1:AX2"/>
    <mergeCell ref="AY1:AZ2"/>
    <mergeCell ref="BA1:BB2"/>
    <mergeCell ref="BC1:BD2"/>
    <mergeCell ref="BE1:BF2"/>
    <mergeCell ref="BG1:BH2"/>
    <mergeCell ref="BI1:BJ2"/>
  </mergeCells>
  <conditionalFormatting sqref="AR3 AT4 AV4 AX4 AZ4 BB4 BD4 BF4 BH4 BL4 BJ4">
    <cfRule type="cellIs" dxfId="4" priority="43" stopIfTrue="1" operator="equal">
      <formula>"""+"""</formula>
    </cfRule>
  </conditionalFormatting>
  <conditionalFormatting sqref="AR4:AR833 AT5:AT834 AV5:AV834 AX5:AX834 AZ5:AZ834 BB5:BB834 BD5:BD834 BF5:BF834 BH5:BH834 BJ5:BJ834 BL5:BL834">
    <cfRule type="cellIs" dxfId="3" priority="31" stopIfTrue="1" operator="equal">
      <formula>"""+"""</formula>
    </cfRule>
  </conditionalFormatting>
  <conditionalFormatting sqref="AQ3:AQ834">
    <cfRule type="colorScale" priority="11">
      <colorScale>
        <cfvo type="min"/>
        <cfvo type="percentile" val="50"/>
        <cfvo type="max"/>
        <color rgb="FFFF7128"/>
        <color rgb="FFFFEB84"/>
        <color rgb="FF009193"/>
      </colorScale>
    </cfRule>
  </conditionalFormatting>
  <conditionalFormatting sqref="AS4:AS834">
    <cfRule type="colorScale" priority="10">
      <colorScale>
        <cfvo type="min"/>
        <cfvo type="percentile" val="50"/>
        <cfvo type="max"/>
        <color rgb="FFFF7128"/>
        <color rgb="FFFFEB84"/>
        <color rgb="FF009193"/>
      </colorScale>
    </cfRule>
  </conditionalFormatting>
  <conditionalFormatting sqref="AU4:AU834">
    <cfRule type="colorScale" priority="9">
      <colorScale>
        <cfvo type="min"/>
        <cfvo type="percentile" val="50"/>
        <cfvo type="max"/>
        <color rgb="FFFF7128"/>
        <color rgb="FFFFEB84"/>
        <color rgb="FF009193"/>
      </colorScale>
    </cfRule>
  </conditionalFormatting>
  <conditionalFormatting sqref="AW4:AW834">
    <cfRule type="colorScale" priority="8">
      <colorScale>
        <cfvo type="min"/>
        <cfvo type="percentile" val="50"/>
        <cfvo type="max"/>
        <color rgb="FFFF7128"/>
        <color rgb="FFFFEB84"/>
        <color rgb="FF009193"/>
      </colorScale>
    </cfRule>
  </conditionalFormatting>
  <conditionalFormatting sqref="AY4:AY834">
    <cfRule type="colorScale" priority="7">
      <colorScale>
        <cfvo type="min"/>
        <cfvo type="percentile" val="50"/>
        <cfvo type="max"/>
        <color rgb="FFFF7128"/>
        <color rgb="FFFFEB84"/>
        <color rgb="FF009193"/>
      </colorScale>
    </cfRule>
  </conditionalFormatting>
  <conditionalFormatting sqref="BA4:BA834">
    <cfRule type="colorScale" priority="6">
      <colorScale>
        <cfvo type="min"/>
        <cfvo type="percentile" val="50"/>
        <cfvo type="max"/>
        <color rgb="FFFF7128"/>
        <color rgb="FFFFEB84"/>
        <color rgb="FF009193"/>
      </colorScale>
    </cfRule>
  </conditionalFormatting>
  <conditionalFormatting sqref="BC4:BC834">
    <cfRule type="colorScale" priority="5">
      <colorScale>
        <cfvo type="min"/>
        <cfvo type="percentile" val="50"/>
        <cfvo type="max"/>
        <color rgb="FFFF7128"/>
        <color rgb="FFFFEB84"/>
        <color rgb="FF009193"/>
      </colorScale>
    </cfRule>
  </conditionalFormatting>
  <conditionalFormatting sqref="BE4:BE834">
    <cfRule type="colorScale" priority="4">
      <colorScale>
        <cfvo type="min"/>
        <cfvo type="percentile" val="50"/>
        <cfvo type="max"/>
        <color rgb="FFFF7128"/>
        <color rgb="FFFFEB84"/>
        <color rgb="FF009193"/>
      </colorScale>
    </cfRule>
  </conditionalFormatting>
  <conditionalFormatting sqref="BG4:BG834">
    <cfRule type="colorScale" priority="3">
      <colorScale>
        <cfvo type="min"/>
        <cfvo type="percentile" val="50"/>
        <cfvo type="max"/>
        <color rgb="FFFF7128"/>
        <color rgb="FFFFEB84"/>
        <color rgb="FF009193"/>
      </colorScale>
    </cfRule>
  </conditionalFormatting>
  <conditionalFormatting sqref="BI4:BI834">
    <cfRule type="colorScale" priority="2">
      <colorScale>
        <cfvo type="min"/>
        <cfvo type="percentile" val="50"/>
        <cfvo type="max"/>
        <color rgb="FFFF7128"/>
        <color rgb="FFFFEB84"/>
        <color rgb="FF009193"/>
      </colorScale>
    </cfRule>
  </conditionalFormatting>
  <conditionalFormatting sqref="BK4:BK834">
    <cfRule type="colorScale" priority="1">
      <colorScale>
        <cfvo type="min"/>
        <cfvo type="percentile" val="50"/>
        <cfvo type="max"/>
        <color rgb="FFFF7128"/>
        <color rgb="FFFFEB84"/>
        <color rgb="FF009193"/>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8D4CB-DF88-F54D-93EB-53FB292CCFF8}">
  <dimension ref="B2:R184"/>
  <sheetViews>
    <sheetView tabSelected="1" topLeftCell="B1" zoomScale="50" zoomScaleNormal="96" workbookViewId="0">
      <pane xSplit="1" topLeftCell="C1" activePane="topRight" state="frozen"/>
      <selection activeCell="B1" sqref="B1"/>
      <selection pane="topRight" activeCell="S8" sqref="S8"/>
    </sheetView>
  </sheetViews>
  <sheetFormatPr baseColWidth="10" defaultColWidth="8.83203125" defaultRowHeight="20" customHeight="1"/>
  <cols>
    <col min="1" max="1" width="8.83203125" style="9"/>
    <col min="2" max="2" width="28.6640625" style="9" customWidth="1"/>
    <col min="3" max="18" width="8.83203125" style="9" customWidth="1"/>
    <col min="19" max="187" width="8.83203125" style="9"/>
    <col min="188" max="188" width="28.6640625" style="9" customWidth="1"/>
    <col min="189" max="189" width="9" style="9" bestFit="1" customWidth="1"/>
    <col min="190" max="190" width="5.33203125" style="9" customWidth="1"/>
    <col min="191" max="191" width="9" style="9" bestFit="1" customWidth="1"/>
    <col min="192" max="192" width="5.33203125" style="9" customWidth="1"/>
    <col min="193" max="193" width="9" style="9" bestFit="1" customWidth="1"/>
    <col min="194" max="194" width="5" style="9" customWidth="1"/>
    <col min="195" max="195" width="9" style="9" bestFit="1" customWidth="1"/>
    <col min="196" max="196" width="5.1640625" style="9" customWidth="1"/>
    <col min="197" max="197" width="8.83203125" style="9"/>
    <col min="198" max="198" width="6" style="9" customWidth="1"/>
    <col min="199" max="199" width="8.83203125" style="9"/>
    <col min="200" max="200" width="6" style="9" customWidth="1"/>
    <col min="201" max="202" width="10.1640625" style="9" customWidth="1"/>
    <col min="203" max="203" width="10" style="9" customWidth="1"/>
    <col min="204" max="204" width="10.33203125" style="9" customWidth="1"/>
    <col min="205" max="209" width="9.1640625" style="9" customWidth="1"/>
    <col min="210" max="215" width="8.83203125" style="9"/>
    <col min="216" max="235" width="0" style="9" hidden="1" customWidth="1"/>
    <col min="236" max="238" width="9.1640625" style="9" customWidth="1"/>
    <col min="239" max="443" width="8.83203125" style="9"/>
    <col min="444" max="444" width="28.6640625" style="9" customWidth="1"/>
    <col min="445" max="445" width="9" style="9" bestFit="1" customWidth="1"/>
    <col min="446" max="446" width="5.33203125" style="9" customWidth="1"/>
    <col min="447" max="447" width="9" style="9" bestFit="1" customWidth="1"/>
    <col min="448" max="448" width="5.33203125" style="9" customWidth="1"/>
    <col min="449" max="449" width="9" style="9" bestFit="1" customWidth="1"/>
    <col min="450" max="450" width="5" style="9" customWidth="1"/>
    <col min="451" max="451" width="9" style="9" bestFit="1" customWidth="1"/>
    <col min="452" max="452" width="5.1640625" style="9" customWidth="1"/>
    <col min="453" max="453" width="8.83203125" style="9"/>
    <col min="454" max="454" width="6" style="9" customWidth="1"/>
    <col min="455" max="455" width="8.83203125" style="9"/>
    <col min="456" max="456" width="6" style="9" customWidth="1"/>
    <col min="457" max="458" width="10.1640625" style="9" customWidth="1"/>
    <col min="459" max="459" width="10" style="9" customWidth="1"/>
    <col min="460" max="460" width="10.33203125" style="9" customWidth="1"/>
    <col min="461" max="465" width="9.1640625" style="9" customWidth="1"/>
    <col min="466" max="471" width="8.83203125" style="9"/>
    <col min="472" max="491" width="0" style="9" hidden="1" customWidth="1"/>
    <col min="492" max="494" width="9.1640625" style="9" customWidth="1"/>
    <col min="495" max="699" width="8.83203125" style="9"/>
    <col min="700" max="700" width="28.6640625" style="9" customWidth="1"/>
    <col min="701" max="701" width="9" style="9" bestFit="1" customWidth="1"/>
    <col min="702" max="702" width="5.33203125" style="9" customWidth="1"/>
    <col min="703" max="703" width="9" style="9" bestFit="1" customWidth="1"/>
    <col min="704" max="704" width="5.33203125" style="9" customWidth="1"/>
    <col min="705" max="705" width="9" style="9" bestFit="1" customWidth="1"/>
    <col min="706" max="706" width="5" style="9" customWidth="1"/>
    <col min="707" max="707" width="9" style="9" bestFit="1" customWidth="1"/>
    <col min="708" max="708" width="5.1640625" style="9" customWidth="1"/>
    <col min="709" max="709" width="8.83203125" style="9"/>
    <col min="710" max="710" width="6" style="9" customWidth="1"/>
    <col min="711" max="711" width="8.83203125" style="9"/>
    <col min="712" max="712" width="6" style="9" customWidth="1"/>
    <col min="713" max="714" width="10.1640625" style="9" customWidth="1"/>
    <col min="715" max="715" width="10" style="9" customWidth="1"/>
    <col min="716" max="716" width="10.33203125" style="9" customWidth="1"/>
    <col min="717" max="721" width="9.1640625" style="9" customWidth="1"/>
    <col min="722" max="727" width="8.83203125" style="9"/>
    <col min="728" max="747" width="0" style="9" hidden="1" customWidth="1"/>
    <col min="748" max="750" width="9.1640625" style="9" customWidth="1"/>
    <col min="751" max="955" width="8.83203125" style="9"/>
    <col min="956" max="956" width="28.6640625" style="9" customWidth="1"/>
    <col min="957" max="957" width="9" style="9" bestFit="1" customWidth="1"/>
    <col min="958" max="958" width="5.33203125" style="9" customWidth="1"/>
    <col min="959" max="959" width="9" style="9" bestFit="1" customWidth="1"/>
    <col min="960" max="960" width="5.33203125" style="9" customWidth="1"/>
    <col min="961" max="961" width="9" style="9" bestFit="1" customWidth="1"/>
    <col min="962" max="962" width="5" style="9" customWidth="1"/>
    <col min="963" max="963" width="9" style="9" bestFit="1" customWidth="1"/>
    <col min="964" max="964" width="5.1640625" style="9" customWidth="1"/>
    <col min="965" max="965" width="8.83203125" style="9"/>
    <col min="966" max="966" width="6" style="9" customWidth="1"/>
    <col min="967" max="967" width="8.83203125" style="9"/>
    <col min="968" max="968" width="6" style="9" customWidth="1"/>
    <col min="969" max="970" width="10.1640625" style="9" customWidth="1"/>
    <col min="971" max="971" width="10" style="9" customWidth="1"/>
    <col min="972" max="972" width="10.33203125" style="9" customWidth="1"/>
    <col min="973" max="977" width="9.1640625" style="9" customWidth="1"/>
    <col min="978" max="983" width="8.83203125" style="9"/>
    <col min="984" max="1003" width="0" style="9" hidden="1" customWidth="1"/>
    <col min="1004" max="1006" width="9.1640625" style="9" customWidth="1"/>
    <col min="1007" max="1211" width="8.83203125" style="9"/>
    <col min="1212" max="1212" width="28.6640625" style="9" customWidth="1"/>
    <col min="1213" max="1213" width="9" style="9" bestFit="1" customWidth="1"/>
    <col min="1214" max="1214" width="5.33203125" style="9" customWidth="1"/>
    <col min="1215" max="1215" width="9" style="9" bestFit="1" customWidth="1"/>
    <col min="1216" max="1216" width="5.33203125" style="9" customWidth="1"/>
    <col min="1217" max="1217" width="9" style="9" bestFit="1" customWidth="1"/>
    <col min="1218" max="1218" width="5" style="9" customWidth="1"/>
    <col min="1219" max="1219" width="9" style="9" bestFit="1" customWidth="1"/>
    <col min="1220" max="1220" width="5.1640625" style="9" customWidth="1"/>
    <col min="1221" max="1221" width="8.83203125" style="9"/>
    <col min="1222" max="1222" width="6" style="9" customWidth="1"/>
    <col min="1223" max="1223" width="8.83203125" style="9"/>
    <col min="1224" max="1224" width="6" style="9" customWidth="1"/>
    <col min="1225" max="1226" width="10.1640625" style="9" customWidth="1"/>
    <col min="1227" max="1227" width="10" style="9" customWidth="1"/>
    <col min="1228" max="1228" width="10.33203125" style="9" customWidth="1"/>
    <col min="1229" max="1233" width="9.1640625" style="9" customWidth="1"/>
    <col min="1234" max="1239" width="8.83203125" style="9"/>
    <col min="1240" max="1259" width="0" style="9" hidden="1" customWidth="1"/>
    <col min="1260" max="1262" width="9.1640625" style="9" customWidth="1"/>
    <col min="1263" max="1467" width="8.83203125" style="9"/>
    <col min="1468" max="1468" width="28.6640625" style="9" customWidth="1"/>
    <col min="1469" max="1469" width="9" style="9" bestFit="1" customWidth="1"/>
    <col min="1470" max="1470" width="5.33203125" style="9" customWidth="1"/>
    <col min="1471" max="1471" width="9" style="9" bestFit="1" customWidth="1"/>
    <col min="1472" max="1472" width="5.33203125" style="9" customWidth="1"/>
    <col min="1473" max="1473" width="9" style="9" bestFit="1" customWidth="1"/>
    <col min="1474" max="1474" width="5" style="9" customWidth="1"/>
    <col min="1475" max="1475" width="9" style="9" bestFit="1" customWidth="1"/>
    <col min="1476" max="1476" width="5.1640625" style="9" customWidth="1"/>
    <col min="1477" max="1477" width="8.83203125" style="9"/>
    <col min="1478" max="1478" width="6" style="9" customWidth="1"/>
    <col min="1479" max="1479" width="8.83203125" style="9"/>
    <col min="1480" max="1480" width="6" style="9" customWidth="1"/>
    <col min="1481" max="1482" width="10.1640625" style="9" customWidth="1"/>
    <col min="1483" max="1483" width="10" style="9" customWidth="1"/>
    <col min="1484" max="1484" width="10.33203125" style="9" customWidth="1"/>
    <col min="1485" max="1489" width="9.1640625" style="9" customWidth="1"/>
    <col min="1490" max="1495" width="8.83203125" style="9"/>
    <col min="1496" max="1515" width="0" style="9" hidden="1" customWidth="1"/>
    <col min="1516" max="1518" width="9.1640625" style="9" customWidth="1"/>
    <col min="1519" max="1723" width="8.83203125" style="9"/>
    <col min="1724" max="1724" width="28.6640625" style="9" customWidth="1"/>
    <col min="1725" max="1725" width="9" style="9" bestFit="1" customWidth="1"/>
    <col min="1726" max="1726" width="5.33203125" style="9" customWidth="1"/>
    <col min="1727" max="1727" width="9" style="9" bestFit="1" customWidth="1"/>
    <col min="1728" max="1728" width="5.33203125" style="9" customWidth="1"/>
    <col min="1729" max="1729" width="9" style="9" bestFit="1" customWidth="1"/>
    <col min="1730" max="1730" width="5" style="9" customWidth="1"/>
    <col min="1731" max="1731" width="9" style="9" bestFit="1" customWidth="1"/>
    <col min="1732" max="1732" width="5.1640625" style="9" customWidth="1"/>
    <col min="1733" max="1733" width="8.83203125" style="9"/>
    <col min="1734" max="1734" width="6" style="9" customWidth="1"/>
    <col min="1735" max="1735" width="8.83203125" style="9"/>
    <col min="1736" max="1736" width="6" style="9" customWidth="1"/>
    <col min="1737" max="1738" width="10.1640625" style="9" customWidth="1"/>
    <col min="1739" max="1739" width="10" style="9" customWidth="1"/>
    <col min="1740" max="1740" width="10.33203125" style="9" customWidth="1"/>
    <col min="1741" max="1745" width="9.1640625" style="9" customWidth="1"/>
    <col min="1746" max="1751" width="8.83203125" style="9"/>
    <col min="1752" max="1771" width="0" style="9" hidden="1" customWidth="1"/>
    <col min="1772" max="1774" width="9.1640625" style="9" customWidth="1"/>
    <col min="1775" max="1979" width="8.83203125" style="9"/>
    <col min="1980" max="1980" width="28.6640625" style="9" customWidth="1"/>
    <col min="1981" max="1981" width="9" style="9" bestFit="1" customWidth="1"/>
    <col min="1982" max="1982" width="5.33203125" style="9" customWidth="1"/>
    <col min="1983" max="1983" width="9" style="9" bestFit="1" customWidth="1"/>
    <col min="1984" max="1984" width="5.33203125" style="9" customWidth="1"/>
    <col min="1985" max="1985" width="9" style="9" bestFit="1" customWidth="1"/>
    <col min="1986" max="1986" width="5" style="9" customWidth="1"/>
    <col min="1987" max="1987" width="9" style="9" bestFit="1" customWidth="1"/>
    <col min="1988" max="1988" width="5.1640625" style="9" customWidth="1"/>
    <col min="1989" max="1989" width="8.83203125" style="9"/>
    <col min="1990" max="1990" width="6" style="9" customWidth="1"/>
    <col min="1991" max="1991" width="8.83203125" style="9"/>
    <col min="1992" max="1992" width="6" style="9" customWidth="1"/>
    <col min="1993" max="1994" width="10.1640625" style="9" customWidth="1"/>
    <col min="1995" max="1995" width="10" style="9" customWidth="1"/>
    <col min="1996" max="1996" width="10.33203125" style="9" customWidth="1"/>
    <col min="1997" max="2001" width="9.1640625" style="9" customWidth="1"/>
    <col min="2002" max="2007" width="8.83203125" style="9"/>
    <col min="2008" max="2027" width="0" style="9" hidden="1" customWidth="1"/>
    <col min="2028" max="2030" width="9.1640625" style="9" customWidth="1"/>
    <col min="2031" max="2235" width="8.83203125" style="9"/>
    <col min="2236" max="2236" width="28.6640625" style="9" customWidth="1"/>
    <col min="2237" max="2237" width="9" style="9" bestFit="1" customWidth="1"/>
    <col min="2238" max="2238" width="5.33203125" style="9" customWidth="1"/>
    <col min="2239" max="2239" width="9" style="9" bestFit="1" customWidth="1"/>
    <col min="2240" max="2240" width="5.33203125" style="9" customWidth="1"/>
    <col min="2241" max="2241" width="9" style="9" bestFit="1" customWidth="1"/>
    <col min="2242" max="2242" width="5" style="9" customWidth="1"/>
    <col min="2243" max="2243" width="9" style="9" bestFit="1" customWidth="1"/>
    <col min="2244" max="2244" width="5.1640625" style="9" customWidth="1"/>
    <col min="2245" max="2245" width="8.83203125" style="9"/>
    <col min="2246" max="2246" width="6" style="9" customWidth="1"/>
    <col min="2247" max="2247" width="8.83203125" style="9"/>
    <col min="2248" max="2248" width="6" style="9" customWidth="1"/>
    <col min="2249" max="2250" width="10.1640625" style="9" customWidth="1"/>
    <col min="2251" max="2251" width="10" style="9" customWidth="1"/>
    <col min="2252" max="2252" width="10.33203125" style="9" customWidth="1"/>
    <col min="2253" max="2257" width="9.1640625" style="9" customWidth="1"/>
    <col min="2258" max="2263" width="8.83203125" style="9"/>
    <col min="2264" max="2283" width="0" style="9" hidden="1" customWidth="1"/>
    <col min="2284" max="2286" width="9.1640625" style="9" customWidth="1"/>
    <col min="2287" max="2491" width="8.83203125" style="9"/>
    <col min="2492" max="2492" width="28.6640625" style="9" customWidth="1"/>
    <col min="2493" max="2493" width="9" style="9" bestFit="1" customWidth="1"/>
    <col min="2494" max="2494" width="5.33203125" style="9" customWidth="1"/>
    <col min="2495" max="2495" width="9" style="9" bestFit="1" customWidth="1"/>
    <col min="2496" max="2496" width="5.33203125" style="9" customWidth="1"/>
    <col min="2497" max="2497" width="9" style="9" bestFit="1" customWidth="1"/>
    <col min="2498" max="2498" width="5" style="9" customWidth="1"/>
    <col min="2499" max="2499" width="9" style="9" bestFit="1" customWidth="1"/>
    <col min="2500" max="2500" width="5.1640625" style="9" customWidth="1"/>
    <col min="2501" max="2501" width="8.83203125" style="9"/>
    <col min="2502" max="2502" width="6" style="9" customWidth="1"/>
    <col min="2503" max="2503" width="8.83203125" style="9"/>
    <col min="2504" max="2504" width="6" style="9" customWidth="1"/>
    <col min="2505" max="2506" width="10.1640625" style="9" customWidth="1"/>
    <col min="2507" max="2507" width="10" style="9" customWidth="1"/>
    <col min="2508" max="2508" width="10.33203125" style="9" customWidth="1"/>
    <col min="2509" max="2513" width="9.1640625" style="9" customWidth="1"/>
    <col min="2514" max="2519" width="8.83203125" style="9"/>
    <col min="2520" max="2539" width="0" style="9" hidden="1" customWidth="1"/>
    <col min="2540" max="2542" width="9.1640625" style="9" customWidth="1"/>
    <col min="2543" max="2747" width="8.83203125" style="9"/>
    <col min="2748" max="2748" width="28.6640625" style="9" customWidth="1"/>
    <col min="2749" max="2749" width="9" style="9" bestFit="1" customWidth="1"/>
    <col min="2750" max="2750" width="5.33203125" style="9" customWidth="1"/>
    <col min="2751" max="2751" width="9" style="9" bestFit="1" customWidth="1"/>
    <col min="2752" max="2752" width="5.33203125" style="9" customWidth="1"/>
    <col min="2753" max="2753" width="9" style="9" bestFit="1" customWidth="1"/>
    <col min="2754" max="2754" width="5" style="9" customWidth="1"/>
    <col min="2755" max="2755" width="9" style="9" bestFit="1" customWidth="1"/>
    <col min="2756" max="2756" width="5.1640625" style="9" customWidth="1"/>
    <col min="2757" max="2757" width="8.83203125" style="9"/>
    <col min="2758" max="2758" width="6" style="9" customWidth="1"/>
    <col min="2759" max="2759" width="8.83203125" style="9"/>
    <col min="2760" max="2760" width="6" style="9" customWidth="1"/>
    <col min="2761" max="2762" width="10.1640625" style="9" customWidth="1"/>
    <col min="2763" max="2763" width="10" style="9" customWidth="1"/>
    <col min="2764" max="2764" width="10.33203125" style="9" customWidth="1"/>
    <col min="2765" max="2769" width="9.1640625" style="9" customWidth="1"/>
    <col min="2770" max="2775" width="8.83203125" style="9"/>
    <col min="2776" max="2795" width="0" style="9" hidden="1" customWidth="1"/>
    <col min="2796" max="2798" width="9.1640625" style="9" customWidth="1"/>
    <col min="2799" max="3003" width="8.83203125" style="9"/>
    <col min="3004" max="3004" width="28.6640625" style="9" customWidth="1"/>
    <col min="3005" max="3005" width="9" style="9" bestFit="1" customWidth="1"/>
    <col min="3006" max="3006" width="5.33203125" style="9" customWidth="1"/>
    <col min="3007" max="3007" width="9" style="9" bestFit="1" customWidth="1"/>
    <col min="3008" max="3008" width="5.33203125" style="9" customWidth="1"/>
    <col min="3009" max="3009" width="9" style="9" bestFit="1" customWidth="1"/>
    <col min="3010" max="3010" width="5" style="9" customWidth="1"/>
    <col min="3011" max="3011" width="9" style="9" bestFit="1" customWidth="1"/>
    <col min="3012" max="3012" width="5.1640625" style="9" customWidth="1"/>
    <col min="3013" max="3013" width="8.83203125" style="9"/>
    <col min="3014" max="3014" width="6" style="9" customWidth="1"/>
    <col min="3015" max="3015" width="8.83203125" style="9"/>
    <col min="3016" max="3016" width="6" style="9" customWidth="1"/>
    <col min="3017" max="3018" width="10.1640625" style="9" customWidth="1"/>
    <col min="3019" max="3019" width="10" style="9" customWidth="1"/>
    <col min="3020" max="3020" width="10.33203125" style="9" customWidth="1"/>
    <col min="3021" max="3025" width="9.1640625" style="9" customWidth="1"/>
    <col min="3026" max="3031" width="8.83203125" style="9"/>
    <col min="3032" max="3051" width="0" style="9" hidden="1" customWidth="1"/>
    <col min="3052" max="3054" width="9.1640625" style="9" customWidth="1"/>
    <col min="3055" max="3259" width="8.83203125" style="9"/>
    <col min="3260" max="3260" width="28.6640625" style="9" customWidth="1"/>
    <col min="3261" max="3261" width="9" style="9" bestFit="1" customWidth="1"/>
    <col min="3262" max="3262" width="5.33203125" style="9" customWidth="1"/>
    <col min="3263" max="3263" width="9" style="9" bestFit="1" customWidth="1"/>
    <col min="3264" max="3264" width="5.33203125" style="9" customWidth="1"/>
    <col min="3265" max="3265" width="9" style="9" bestFit="1" customWidth="1"/>
    <col min="3266" max="3266" width="5" style="9" customWidth="1"/>
    <col min="3267" max="3267" width="9" style="9" bestFit="1" customWidth="1"/>
    <col min="3268" max="3268" width="5.1640625" style="9" customWidth="1"/>
    <col min="3269" max="3269" width="8.83203125" style="9"/>
    <col min="3270" max="3270" width="6" style="9" customWidth="1"/>
    <col min="3271" max="3271" width="8.83203125" style="9"/>
    <col min="3272" max="3272" width="6" style="9" customWidth="1"/>
    <col min="3273" max="3274" width="10.1640625" style="9" customWidth="1"/>
    <col min="3275" max="3275" width="10" style="9" customWidth="1"/>
    <col min="3276" max="3276" width="10.33203125" style="9" customWidth="1"/>
    <col min="3277" max="3281" width="9.1640625" style="9" customWidth="1"/>
    <col min="3282" max="3287" width="8.83203125" style="9"/>
    <col min="3288" max="3307" width="0" style="9" hidden="1" customWidth="1"/>
    <col min="3308" max="3310" width="9.1640625" style="9" customWidth="1"/>
    <col min="3311" max="3515" width="8.83203125" style="9"/>
    <col min="3516" max="3516" width="28.6640625" style="9" customWidth="1"/>
    <col min="3517" max="3517" width="9" style="9" bestFit="1" customWidth="1"/>
    <col min="3518" max="3518" width="5.33203125" style="9" customWidth="1"/>
    <col min="3519" max="3519" width="9" style="9" bestFit="1" customWidth="1"/>
    <col min="3520" max="3520" width="5.33203125" style="9" customWidth="1"/>
    <col min="3521" max="3521" width="9" style="9" bestFit="1" customWidth="1"/>
    <col min="3522" max="3522" width="5" style="9" customWidth="1"/>
    <col min="3523" max="3523" width="9" style="9" bestFit="1" customWidth="1"/>
    <col min="3524" max="3524" width="5.1640625" style="9" customWidth="1"/>
    <col min="3525" max="3525" width="8.83203125" style="9"/>
    <col min="3526" max="3526" width="6" style="9" customWidth="1"/>
    <col min="3527" max="3527" width="8.83203125" style="9"/>
    <col min="3528" max="3528" width="6" style="9" customWidth="1"/>
    <col min="3529" max="3530" width="10.1640625" style="9" customWidth="1"/>
    <col min="3531" max="3531" width="10" style="9" customWidth="1"/>
    <col min="3532" max="3532" width="10.33203125" style="9" customWidth="1"/>
    <col min="3533" max="3537" width="9.1640625" style="9" customWidth="1"/>
    <col min="3538" max="3543" width="8.83203125" style="9"/>
    <col min="3544" max="3563" width="0" style="9" hidden="1" customWidth="1"/>
    <col min="3564" max="3566" width="9.1640625" style="9" customWidth="1"/>
    <col min="3567" max="3771" width="8.83203125" style="9"/>
    <col min="3772" max="3772" width="28.6640625" style="9" customWidth="1"/>
    <col min="3773" max="3773" width="9" style="9" bestFit="1" customWidth="1"/>
    <col min="3774" max="3774" width="5.33203125" style="9" customWidth="1"/>
    <col min="3775" max="3775" width="9" style="9" bestFit="1" customWidth="1"/>
    <col min="3776" max="3776" width="5.33203125" style="9" customWidth="1"/>
    <col min="3777" max="3777" width="9" style="9" bestFit="1" customWidth="1"/>
    <col min="3778" max="3778" width="5" style="9" customWidth="1"/>
    <col min="3779" max="3779" width="9" style="9" bestFit="1" customWidth="1"/>
    <col min="3780" max="3780" width="5.1640625" style="9" customWidth="1"/>
    <col min="3781" max="3781" width="8.83203125" style="9"/>
    <col min="3782" max="3782" width="6" style="9" customWidth="1"/>
    <col min="3783" max="3783" width="8.83203125" style="9"/>
    <col min="3784" max="3784" width="6" style="9" customWidth="1"/>
    <col min="3785" max="3786" width="10.1640625" style="9" customWidth="1"/>
    <col min="3787" max="3787" width="10" style="9" customWidth="1"/>
    <col min="3788" max="3788" width="10.33203125" style="9" customWidth="1"/>
    <col min="3789" max="3793" width="9.1640625" style="9" customWidth="1"/>
    <col min="3794" max="3799" width="8.83203125" style="9"/>
    <col min="3800" max="3819" width="0" style="9" hidden="1" customWidth="1"/>
    <col min="3820" max="3822" width="9.1640625" style="9" customWidth="1"/>
    <col min="3823" max="4027" width="8.83203125" style="9"/>
    <col min="4028" max="4028" width="28.6640625" style="9" customWidth="1"/>
    <col min="4029" max="4029" width="9" style="9" bestFit="1" customWidth="1"/>
    <col min="4030" max="4030" width="5.33203125" style="9" customWidth="1"/>
    <col min="4031" max="4031" width="9" style="9" bestFit="1" customWidth="1"/>
    <col min="4032" max="4032" width="5.33203125" style="9" customWidth="1"/>
    <col min="4033" max="4033" width="9" style="9" bestFit="1" customWidth="1"/>
    <col min="4034" max="4034" width="5" style="9" customWidth="1"/>
    <col min="4035" max="4035" width="9" style="9" bestFit="1" customWidth="1"/>
    <col min="4036" max="4036" width="5.1640625" style="9" customWidth="1"/>
    <col min="4037" max="4037" width="8.83203125" style="9"/>
    <col min="4038" max="4038" width="6" style="9" customWidth="1"/>
    <col min="4039" max="4039" width="8.83203125" style="9"/>
    <col min="4040" max="4040" width="6" style="9" customWidth="1"/>
    <col min="4041" max="4042" width="10.1640625" style="9" customWidth="1"/>
    <col min="4043" max="4043" width="10" style="9" customWidth="1"/>
    <col min="4044" max="4044" width="10.33203125" style="9" customWidth="1"/>
    <col min="4045" max="4049" width="9.1640625" style="9" customWidth="1"/>
    <col min="4050" max="4055" width="8.83203125" style="9"/>
    <col min="4056" max="4075" width="0" style="9" hidden="1" customWidth="1"/>
    <col min="4076" max="4078" width="9.1640625" style="9" customWidth="1"/>
    <col min="4079" max="4283" width="8.83203125" style="9"/>
    <col min="4284" max="4284" width="28.6640625" style="9" customWidth="1"/>
    <col min="4285" max="4285" width="9" style="9" bestFit="1" customWidth="1"/>
    <col min="4286" max="4286" width="5.33203125" style="9" customWidth="1"/>
    <col min="4287" max="4287" width="9" style="9" bestFit="1" customWidth="1"/>
    <col min="4288" max="4288" width="5.33203125" style="9" customWidth="1"/>
    <col min="4289" max="4289" width="9" style="9" bestFit="1" customWidth="1"/>
    <col min="4290" max="4290" width="5" style="9" customWidth="1"/>
    <col min="4291" max="4291" width="9" style="9" bestFit="1" customWidth="1"/>
    <col min="4292" max="4292" width="5.1640625" style="9" customWidth="1"/>
    <col min="4293" max="4293" width="8.83203125" style="9"/>
    <col min="4294" max="4294" width="6" style="9" customWidth="1"/>
    <col min="4295" max="4295" width="8.83203125" style="9"/>
    <col min="4296" max="4296" width="6" style="9" customWidth="1"/>
    <col min="4297" max="4298" width="10.1640625" style="9" customWidth="1"/>
    <col min="4299" max="4299" width="10" style="9" customWidth="1"/>
    <col min="4300" max="4300" width="10.33203125" style="9" customWidth="1"/>
    <col min="4301" max="4305" width="9.1640625" style="9" customWidth="1"/>
    <col min="4306" max="4311" width="8.83203125" style="9"/>
    <col min="4312" max="4331" width="0" style="9" hidden="1" customWidth="1"/>
    <col min="4332" max="4334" width="9.1640625" style="9" customWidth="1"/>
    <col min="4335" max="4539" width="8.83203125" style="9"/>
    <col min="4540" max="4540" width="28.6640625" style="9" customWidth="1"/>
    <col min="4541" max="4541" width="9" style="9" bestFit="1" customWidth="1"/>
    <col min="4542" max="4542" width="5.33203125" style="9" customWidth="1"/>
    <col min="4543" max="4543" width="9" style="9" bestFit="1" customWidth="1"/>
    <col min="4544" max="4544" width="5.33203125" style="9" customWidth="1"/>
    <col min="4545" max="4545" width="9" style="9" bestFit="1" customWidth="1"/>
    <col min="4546" max="4546" width="5" style="9" customWidth="1"/>
    <col min="4547" max="4547" width="9" style="9" bestFit="1" customWidth="1"/>
    <col min="4548" max="4548" width="5.1640625" style="9" customWidth="1"/>
    <col min="4549" max="4549" width="8.83203125" style="9"/>
    <col min="4550" max="4550" width="6" style="9" customWidth="1"/>
    <col min="4551" max="4551" width="8.83203125" style="9"/>
    <col min="4552" max="4552" width="6" style="9" customWidth="1"/>
    <col min="4553" max="4554" width="10.1640625" style="9" customWidth="1"/>
    <col min="4555" max="4555" width="10" style="9" customWidth="1"/>
    <col min="4556" max="4556" width="10.33203125" style="9" customWidth="1"/>
    <col min="4557" max="4561" width="9.1640625" style="9" customWidth="1"/>
    <col min="4562" max="4567" width="8.83203125" style="9"/>
    <col min="4568" max="4587" width="0" style="9" hidden="1" customWidth="1"/>
    <col min="4588" max="4590" width="9.1640625" style="9" customWidth="1"/>
    <col min="4591" max="4795" width="8.83203125" style="9"/>
    <col min="4796" max="4796" width="28.6640625" style="9" customWidth="1"/>
    <col min="4797" max="4797" width="9" style="9" bestFit="1" customWidth="1"/>
    <col min="4798" max="4798" width="5.33203125" style="9" customWidth="1"/>
    <col min="4799" max="4799" width="9" style="9" bestFit="1" customWidth="1"/>
    <col min="4800" max="4800" width="5.33203125" style="9" customWidth="1"/>
    <col min="4801" max="4801" width="9" style="9" bestFit="1" customWidth="1"/>
    <col min="4802" max="4802" width="5" style="9" customWidth="1"/>
    <col min="4803" max="4803" width="9" style="9" bestFit="1" customWidth="1"/>
    <col min="4804" max="4804" width="5.1640625" style="9" customWidth="1"/>
    <col min="4805" max="4805" width="8.83203125" style="9"/>
    <col min="4806" max="4806" width="6" style="9" customWidth="1"/>
    <col min="4807" max="4807" width="8.83203125" style="9"/>
    <col min="4808" max="4808" width="6" style="9" customWidth="1"/>
    <col min="4809" max="4810" width="10.1640625" style="9" customWidth="1"/>
    <col min="4811" max="4811" width="10" style="9" customWidth="1"/>
    <col min="4812" max="4812" width="10.33203125" style="9" customWidth="1"/>
    <col min="4813" max="4817" width="9.1640625" style="9" customWidth="1"/>
    <col min="4818" max="4823" width="8.83203125" style="9"/>
    <col min="4824" max="4843" width="0" style="9" hidden="1" customWidth="1"/>
    <col min="4844" max="4846" width="9.1640625" style="9" customWidth="1"/>
    <col min="4847" max="5051" width="8.83203125" style="9"/>
    <col min="5052" max="5052" width="28.6640625" style="9" customWidth="1"/>
    <col min="5053" max="5053" width="9" style="9" bestFit="1" customWidth="1"/>
    <col min="5054" max="5054" width="5.33203125" style="9" customWidth="1"/>
    <col min="5055" max="5055" width="9" style="9" bestFit="1" customWidth="1"/>
    <col min="5056" max="5056" width="5.33203125" style="9" customWidth="1"/>
    <col min="5057" max="5057" width="9" style="9" bestFit="1" customWidth="1"/>
    <col min="5058" max="5058" width="5" style="9" customWidth="1"/>
    <col min="5059" max="5059" width="9" style="9" bestFit="1" customWidth="1"/>
    <col min="5060" max="5060" width="5.1640625" style="9" customWidth="1"/>
    <col min="5061" max="5061" width="8.83203125" style="9"/>
    <col min="5062" max="5062" width="6" style="9" customWidth="1"/>
    <col min="5063" max="5063" width="8.83203125" style="9"/>
    <col min="5064" max="5064" width="6" style="9" customWidth="1"/>
    <col min="5065" max="5066" width="10.1640625" style="9" customWidth="1"/>
    <col min="5067" max="5067" width="10" style="9" customWidth="1"/>
    <col min="5068" max="5068" width="10.33203125" style="9" customWidth="1"/>
    <col min="5069" max="5073" width="9.1640625" style="9" customWidth="1"/>
    <col min="5074" max="5079" width="8.83203125" style="9"/>
    <col min="5080" max="5099" width="0" style="9" hidden="1" customWidth="1"/>
    <col min="5100" max="5102" width="9.1640625" style="9" customWidth="1"/>
    <col min="5103" max="5307" width="8.83203125" style="9"/>
    <col min="5308" max="5308" width="28.6640625" style="9" customWidth="1"/>
    <col min="5309" max="5309" width="9" style="9" bestFit="1" customWidth="1"/>
    <col min="5310" max="5310" width="5.33203125" style="9" customWidth="1"/>
    <col min="5311" max="5311" width="9" style="9" bestFit="1" customWidth="1"/>
    <col min="5312" max="5312" width="5.33203125" style="9" customWidth="1"/>
    <col min="5313" max="5313" width="9" style="9" bestFit="1" customWidth="1"/>
    <col min="5314" max="5314" width="5" style="9" customWidth="1"/>
    <col min="5315" max="5315" width="9" style="9" bestFit="1" customWidth="1"/>
    <col min="5316" max="5316" width="5.1640625" style="9" customWidth="1"/>
    <col min="5317" max="5317" width="8.83203125" style="9"/>
    <col min="5318" max="5318" width="6" style="9" customWidth="1"/>
    <col min="5319" max="5319" width="8.83203125" style="9"/>
    <col min="5320" max="5320" width="6" style="9" customWidth="1"/>
    <col min="5321" max="5322" width="10.1640625" style="9" customWidth="1"/>
    <col min="5323" max="5323" width="10" style="9" customWidth="1"/>
    <col min="5324" max="5324" width="10.33203125" style="9" customWidth="1"/>
    <col min="5325" max="5329" width="9.1640625" style="9" customWidth="1"/>
    <col min="5330" max="5335" width="8.83203125" style="9"/>
    <col min="5336" max="5355" width="0" style="9" hidden="1" customWidth="1"/>
    <col min="5356" max="5358" width="9.1640625" style="9" customWidth="1"/>
    <col min="5359" max="5563" width="8.83203125" style="9"/>
    <col min="5564" max="5564" width="28.6640625" style="9" customWidth="1"/>
    <col min="5565" max="5565" width="9" style="9" bestFit="1" customWidth="1"/>
    <col min="5566" max="5566" width="5.33203125" style="9" customWidth="1"/>
    <col min="5567" max="5567" width="9" style="9" bestFit="1" customWidth="1"/>
    <col min="5568" max="5568" width="5.33203125" style="9" customWidth="1"/>
    <col min="5569" max="5569" width="9" style="9" bestFit="1" customWidth="1"/>
    <col min="5570" max="5570" width="5" style="9" customWidth="1"/>
    <col min="5571" max="5571" width="9" style="9" bestFit="1" customWidth="1"/>
    <col min="5572" max="5572" width="5.1640625" style="9" customWidth="1"/>
    <col min="5573" max="5573" width="8.83203125" style="9"/>
    <col min="5574" max="5574" width="6" style="9" customWidth="1"/>
    <col min="5575" max="5575" width="8.83203125" style="9"/>
    <col min="5576" max="5576" width="6" style="9" customWidth="1"/>
    <col min="5577" max="5578" width="10.1640625" style="9" customWidth="1"/>
    <col min="5579" max="5579" width="10" style="9" customWidth="1"/>
    <col min="5580" max="5580" width="10.33203125" style="9" customWidth="1"/>
    <col min="5581" max="5585" width="9.1640625" style="9" customWidth="1"/>
    <col min="5586" max="5591" width="8.83203125" style="9"/>
    <col min="5592" max="5611" width="0" style="9" hidden="1" customWidth="1"/>
    <col min="5612" max="5614" width="9.1640625" style="9" customWidth="1"/>
    <col min="5615" max="5819" width="8.83203125" style="9"/>
    <col min="5820" max="5820" width="28.6640625" style="9" customWidth="1"/>
    <col min="5821" max="5821" width="9" style="9" bestFit="1" customWidth="1"/>
    <col min="5822" max="5822" width="5.33203125" style="9" customWidth="1"/>
    <col min="5823" max="5823" width="9" style="9" bestFit="1" customWidth="1"/>
    <col min="5824" max="5824" width="5.33203125" style="9" customWidth="1"/>
    <col min="5825" max="5825" width="9" style="9" bestFit="1" customWidth="1"/>
    <col min="5826" max="5826" width="5" style="9" customWidth="1"/>
    <col min="5827" max="5827" width="9" style="9" bestFit="1" customWidth="1"/>
    <col min="5828" max="5828" width="5.1640625" style="9" customWidth="1"/>
    <col min="5829" max="5829" width="8.83203125" style="9"/>
    <col min="5830" max="5830" width="6" style="9" customWidth="1"/>
    <col min="5831" max="5831" width="8.83203125" style="9"/>
    <col min="5832" max="5832" width="6" style="9" customWidth="1"/>
    <col min="5833" max="5834" width="10.1640625" style="9" customWidth="1"/>
    <col min="5835" max="5835" width="10" style="9" customWidth="1"/>
    <col min="5836" max="5836" width="10.33203125" style="9" customWidth="1"/>
    <col min="5837" max="5841" width="9.1640625" style="9" customWidth="1"/>
    <col min="5842" max="5847" width="8.83203125" style="9"/>
    <col min="5848" max="5867" width="0" style="9" hidden="1" customWidth="1"/>
    <col min="5868" max="5870" width="9.1640625" style="9" customWidth="1"/>
    <col min="5871" max="6075" width="8.83203125" style="9"/>
    <col min="6076" max="6076" width="28.6640625" style="9" customWidth="1"/>
    <col min="6077" max="6077" width="9" style="9" bestFit="1" customWidth="1"/>
    <col min="6078" max="6078" width="5.33203125" style="9" customWidth="1"/>
    <col min="6079" max="6079" width="9" style="9" bestFit="1" customWidth="1"/>
    <col min="6080" max="6080" width="5.33203125" style="9" customWidth="1"/>
    <col min="6081" max="6081" width="9" style="9" bestFit="1" customWidth="1"/>
    <col min="6082" max="6082" width="5" style="9" customWidth="1"/>
    <col min="6083" max="6083" width="9" style="9" bestFit="1" customWidth="1"/>
    <col min="6084" max="6084" width="5.1640625" style="9" customWidth="1"/>
    <col min="6085" max="6085" width="8.83203125" style="9"/>
    <col min="6086" max="6086" width="6" style="9" customWidth="1"/>
    <col min="6087" max="6087" width="8.83203125" style="9"/>
    <col min="6088" max="6088" width="6" style="9" customWidth="1"/>
    <col min="6089" max="6090" width="10.1640625" style="9" customWidth="1"/>
    <col min="6091" max="6091" width="10" style="9" customWidth="1"/>
    <col min="6092" max="6092" width="10.33203125" style="9" customWidth="1"/>
    <col min="6093" max="6097" width="9.1640625" style="9" customWidth="1"/>
    <col min="6098" max="6103" width="8.83203125" style="9"/>
    <col min="6104" max="6123" width="0" style="9" hidden="1" customWidth="1"/>
    <col min="6124" max="6126" width="9.1640625" style="9" customWidth="1"/>
    <col min="6127" max="6331" width="8.83203125" style="9"/>
    <col min="6332" max="6332" width="28.6640625" style="9" customWidth="1"/>
    <col min="6333" max="6333" width="9" style="9" bestFit="1" customWidth="1"/>
    <col min="6334" max="6334" width="5.33203125" style="9" customWidth="1"/>
    <col min="6335" max="6335" width="9" style="9" bestFit="1" customWidth="1"/>
    <col min="6336" max="6336" width="5.33203125" style="9" customWidth="1"/>
    <col min="6337" max="6337" width="9" style="9" bestFit="1" customWidth="1"/>
    <col min="6338" max="6338" width="5" style="9" customWidth="1"/>
    <col min="6339" max="6339" width="9" style="9" bestFit="1" customWidth="1"/>
    <col min="6340" max="6340" width="5.1640625" style="9" customWidth="1"/>
    <col min="6341" max="6341" width="8.83203125" style="9"/>
    <col min="6342" max="6342" width="6" style="9" customWidth="1"/>
    <col min="6343" max="6343" width="8.83203125" style="9"/>
    <col min="6344" max="6344" width="6" style="9" customWidth="1"/>
    <col min="6345" max="6346" width="10.1640625" style="9" customWidth="1"/>
    <col min="6347" max="6347" width="10" style="9" customWidth="1"/>
    <col min="6348" max="6348" width="10.33203125" style="9" customWidth="1"/>
    <col min="6349" max="6353" width="9.1640625" style="9" customWidth="1"/>
    <col min="6354" max="6359" width="8.83203125" style="9"/>
    <col min="6360" max="6379" width="0" style="9" hidden="1" customWidth="1"/>
    <col min="6380" max="6382" width="9.1640625" style="9" customWidth="1"/>
    <col min="6383" max="6587" width="8.83203125" style="9"/>
    <col min="6588" max="6588" width="28.6640625" style="9" customWidth="1"/>
    <col min="6589" max="6589" width="9" style="9" bestFit="1" customWidth="1"/>
    <col min="6590" max="6590" width="5.33203125" style="9" customWidth="1"/>
    <col min="6591" max="6591" width="9" style="9" bestFit="1" customWidth="1"/>
    <col min="6592" max="6592" width="5.33203125" style="9" customWidth="1"/>
    <col min="6593" max="6593" width="9" style="9" bestFit="1" customWidth="1"/>
    <col min="6594" max="6594" width="5" style="9" customWidth="1"/>
    <col min="6595" max="6595" width="9" style="9" bestFit="1" customWidth="1"/>
    <col min="6596" max="6596" width="5.1640625" style="9" customWidth="1"/>
    <col min="6597" max="6597" width="8.83203125" style="9"/>
    <col min="6598" max="6598" width="6" style="9" customWidth="1"/>
    <col min="6599" max="6599" width="8.83203125" style="9"/>
    <col min="6600" max="6600" width="6" style="9" customWidth="1"/>
    <col min="6601" max="6602" width="10.1640625" style="9" customWidth="1"/>
    <col min="6603" max="6603" width="10" style="9" customWidth="1"/>
    <col min="6604" max="6604" width="10.33203125" style="9" customWidth="1"/>
    <col min="6605" max="6609" width="9.1640625" style="9" customWidth="1"/>
    <col min="6610" max="6615" width="8.83203125" style="9"/>
    <col min="6616" max="6635" width="0" style="9" hidden="1" customWidth="1"/>
    <col min="6636" max="6638" width="9.1640625" style="9" customWidth="1"/>
    <col min="6639" max="6843" width="8.83203125" style="9"/>
    <col min="6844" max="6844" width="28.6640625" style="9" customWidth="1"/>
    <col min="6845" max="6845" width="9" style="9" bestFit="1" customWidth="1"/>
    <col min="6846" max="6846" width="5.33203125" style="9" customWidth="1"/>
    <col min="6847" max="6847" width="9" style="9" bestFit="1" customWidth="1"/>
    <col min="6848" max="6848" width="5.33203125" style="9" customWidth="1"/>
    <col min="6849" max="6849" width="9" style="9" bestFit="1" customWidth="1"/>
    <col min="6850" max="6850" width="5" style="9" customWidth="1"/>
    <col min="6851" max="6851" width="9" style="9" bestFit="1" customWidth="1"/>
    <col min="6852" max="6852" width="5.1640625" style="9" customWidth="1"/>
    <col min="6853" max="6853" width="8.83203125" style="9"/>
    <col min="6854" max="6854" width="6" style="9" customWidth="1"/>
    <col min="6855" max="6855" width="8.83203125" style="9"/>
    <col min="6856" max="6856" width="6" style="9" customWidth="1"/>
    <col min="6857" max="6858" width="10.1640625" style="9" customWidth="1"/>
    <col min="6859" max="6859" width="10" style="9" customWidth="1"/>
    <col min="6860" max="6860" width="10.33203125" style="9" customWidth="1"/>
    <col min="6861" max="6865" width="9.1640625" style="9" customWidth="1"/>
    <col min="6866" max="6871" width="8.83203125" style="9"/>
    <col min="6872" max="6891" width="0" style="9" hidden="1" customWidth="1"/>
    <col min="6892" max="6894" width="9.1640625" style="9" customWidth="1"/>
    <col min="6895" max="7099" width="8.83203125" style="9"/>
    <col min="7100" max="7100" width="28.6640625" style="9" customWidth="1"/>
    <col min="7101" max="7101" width="9" style="9" bestFit="1" customWidth="1"/>
    <col min="7102" max="7102" width="5.33203125" style="9" customWidth="1"/>
    <col min="7103" max="7103" width="9" style="9" bestFit="1" customWidth="1"/>
    <col min="7104" max="7104" width="5.33203125" style="9" customWidth="1"/>
    <col min="7105" max="7105" width="9" style="9" bestFit="1" customWidth="1"/>
    <col min="7106" max="7106" width="5" style="9" customWidth="1"/>
    <col min="7107" max="7107" width="9" style="9" bestFit="1" customWidth="1"/>
    <col min="7108" max="7108" width="5.1640625" style="9" customWidth="1"/>
    <col min="7109" max="7109" width="8.83203125" style="9"/>
    <col min="7110" max="7110" width="6" style="9" customWidth="1"/>
    <col min="7111" max="7111" width="8.83203125" style="9"/>
    <col min="7112" max="7112" width="6" style="9" customWidth="1"/>
    <col min="7113" max="7114" width="10.1640625" style="9" customWidth="1"/>
    <col min="7115" max="7115" width="10" style="9" customWidth="1"/>
    <col min="7116" max="7116" width="10.33203125" style="9" customWidth="1"/>
    <col min="7117" max="7121" width="9.1640625" style="9" customWidth="1"/>
    <col min="7122" max="7127" width="8.83203125" style="9"/>
    <col min="7128" max="7147" width="0" style="9" hidden="1" customWidth="1"/>
    <col min="7148" max="7150" width="9.1640625" style="9" customWidth="1"/>
    <col min="7151" max="7355" width="8.83203125" style="9"/>
    <col min="7356" max="7356" width="28.6640625" style="9" customWidth="1"/>
    <col min="7357" max="7357" width="9" style="9" bestFit="1" customWidth="1"/>
    <col min="7358" max="7358" width="5.33203125" style="9" customWidth="1"/>
    <col min="7359" max="7359" width="9" style="9" bestFit="1" customWidth="1"/>
    <col min="7360" max="7360" width="5.33203125" style="9" customWidth="1"/>
    <col min="7361" max="7361" width="9" style="9" bestFit="1" customWidth="1"/>
    <col min="7362" max="7362" width="5" style="9" customWidth="1"/>
    <col min="7363" max="7363" width="9" style="9" bestFit="1" customWidth="1"/>
    <col min="7364" max="7364" width="5.1640625" style="9" customWidth="1"/>
    <col min="7365" max="7365" width="8.83203125" style="9"/>
    <col min="7366" max="7366" width="6" style="9" customWidth="1"/>
    <col min="7367" max="7367" width="8.83203125" style="9"/>
    <col min="7368" max="7368" width="6" style="9" customWidth="1"/>
    <col min="7369" max="7370" width="10.1640625" style="9" customWidth="1"/>
    <col min="7371" max="7371" width="10" style="9" customWidth="1"/>
    <col min="7372" max="7372" width="10.33203125" style="9" customWidth="1"/>
    <col min="7373" max="7377" width="9.1640625" style="9" customWidth="1"/>
    <col min="7378" max="7383" width="8.83203125" style="9"/>
    <col min="7384" max="7403" width="0" style="9" hidden="1" customWidth="1"/>
    <col min="7404" max="7406" width="9.1640625" style="9" customWidth="1"/>
    <col min="7407" max="7611" width="8.83203125" style="9"/>
    <col min="7612" max="7612" width="28.6640625" style="9" customWidth="1"/>
    <col min="7613" max="7613" width="9" style="9" bestFit="1" customWidth="1"/>
    <col min="7614" max="7614" width="5.33203125" style="9" customWidth="1"/>
    <col min="7615" max="7615" width="9" style="9" bestFit="1" customWidth="1"/>
    <col min="7616" max="7616" width="5.33203125" style="9" customWidth="1"/>
    <col min="7617" max="7617" width="9" style="9" bestFit="1" customWidth="1"/>
    <col min="7618" max="7618" width="5" style="9" customWidth="1"/>
    <col min="7619" max="7619" width="9" style="9" bestFit="1" customWidth="1"/>
    <col min="7620" max="7620" width="5.1640625" style="9" customWidth="1"/>
    <col min="7621" max="7621" width="8.83203125" style="9"/>
    <col min="7622" max="7622" width="6" style="9" customWidth="1"/>
    <col min="7623" max="7623" width="8.83203125" style="9"/>
    <col min="7624" max="7624" width="6" style="9" customWidth="1"/>
    <col min="7625" max="7626" width="10.1640625" style="9" customWidth="1"/>
    <col min="7627" max="7627" width="10" style="9" customWidth="1"/>
    <col min="7628" max="7628" width="10.33203125" style="9" customWidth="1"/>
    <col min="7629" max="7633" width="9.1640625" style="9" customWidth="1"/>
    <col min="7634" max="7639" width="8.83203125" style="9"/>
    <col min="7640" max="7659" width="0" style="9" hidden="1" customWidth="1"/>
    <col min="7660" max="7662" width="9.1640625" style="9" customWidth="1"/>
    <col min="7663" max="7867" width="8.83203125" style="9"/>
    <col min="7868" max="7868" width="28.6640625" style="9" customWidth="1"/>
    <col min="7869" max="7869" width="9" style="9" bestFit="1" customWidth="1"/>
    <col min="7870" max="7870" width="5.33203125" style="9" customWidth="1"/>
    <col min="7871" max="7871" width="9" style="9" bestFit="1" customWidth="1"/>
    <col min="7872" max="7872" width="5.33203125" style="9" customWidth="1"/>
    <col min="7873" max="7873" width="9" style="9" bestFit="1" customWidth="1"/>
    <col min="7874" max="7874" width="5" style="9" customWidth="1"/>
    <col min="7875" max="7875" width="9" style="9" bestFit="1" customWidth="1"/>
    <col min="7876" max="7876" width="5.1640625" style="9" customWidth="1"/>
    <col min="7877" max="7877" width="8.83203125" style="9"/>
    <col min="7878" max="7878" width="6" style="9" customWidth="1"/>
    <col min="7879" max="7879" width="8.83203125" style="9"/>
    <col min="7880" max="7880" width="6" style="9" customWidth="1"/>
    <col min="7881" max="7882" width="10.1640625" style="9" customWidth="1"/>
    <col min="7883" max="7883" width="10" style="9" customWidth="1"/>
    <col min="7884" max="7884" width="10.33203125" style="9" customWidth="1"/>
    <col min="7885" max="7889" width="9.1640625" style="9" customWidth="1"/>
    <col min="7890" max="7895" width="8.83203125" style="9"/>
    <col min="7896" max="7915" width="0" style="9" hidden="1" customWidth="1"/>
    <col min="7916" max="7918" width="9.1640625" style="9" customWidth="1"/>
    <col min="7919" max="8123" width="8.83203125" style="9"/>
    <col min="8124" max="8124" width="28.6640625" style="9" customWidth="1"/>
    <col min="8125" max="8125" width="9" style="9" bestFit="1" customWidth="1"/>
    <col min="8126" max="8126" width="5.33203125" style="9" customWidth="1"/>
    <col min="8127" max="8127" width="9" style="9" bestFit="1" customWidth="1"/>
    <col min="8128" max="8128" width="5.33203125" style="9" customWidth="1"/>
    <col min="8129" max="8129" width="9" style="9" bestFit="1" customWidth="1"/>
    <col min="8130" max="8130" width="5" style="9" customWidth="1"/>
    <col min="8131" max="8131" width="9" style="9" bestFit="1" customWidth="1"/>
    <col min="8132" max="8132" width="5.1640625" style="9" customWidth="1"/>
    <col min="8133" max="8133" width="8.83203125" style="9"/>
    <col min="8134" max="8134" width="6" style="9" customWidth="1"/>
    <col min="8135" max="8135" width="8.83203125" style="9"/>
    <col min="8136" max="8136" width="6" style="9" customWidth="1"/>
    <col min="8137" max="8138" width="10.1640625" style="9" customWidth="1"/>
    <col min="8139" max="8139" width="10" style="9" customWidth="1"/>
    <col min="8140" max="8140" width="10.33203125" style="9" customWidth="1"/>
    <col min="8141" max="8145" width="9.1640625" style="9" customWidth="1"/>
    <col min="8146" max="8151" width="8.83203125" style="9"/>
    <col min="8152" max="8171" width="0" style="9" hidden="1" customWidth="1"/>
    <col min="8172" max="8174" width="9.1640625" style="9" customWidth="1"/>
    <col min="8175" max="8379" width="8.83203125" style="9"/>
    <col min="8380" max="8380" width="28.6640625" style="9" customWidth="1"/>
    <col min="8381" max="8381" width="9" style="9" bestFit="1" customWidth="1"/>
    <col min="8382" max="8382" width="5.33203125" style="9" customWidth="1"/>
    <col min="8383" max="8383" width="9" style="9" bestFit="1" customWidth="1"/>
    <col min="8384" max="8384" width="5.33203125" style="9" customWidth="1"/>
    <col min="8385" max="8385" width="9" style="9" bestFit="1" customWidth="1"/>
    <col min="8386" max="8386" width="5" style="9" customWidth="1"/>
    <col min="8387" max="8387" width="9" style="9" bestFit="1" customWidth="1"/>
    <col min="8388" max="8388" width="5.1640625" style="9" customWidth="1"/>
    <col min="8389" max="8389" width="8.83203125" style="9"/>
    <col min="8390" max="8390" width="6" style="9" customWidth="1"/>
    <col min="8391" max="8391" width="8.83203125" style="9"/>
    <col min="8392" max="8392" width="6" style="9" customWidth="1"/>
    <col min="8393" max="8394" width="10.1640625" style="9" customWidth="1"/>
    <col min="8395" max="8395" width="10" style="9" customWidth="1"/>
    <col min="8396" max="8396" width="10.33203125" style="9" customWidth="1"/>
    <col min="8397" max="8401" width="9.1640625" style="9" customWidth="1"/>
    <col min="8402" max="8407" width="8.83203125" style="9"/>
    <col min="8408" max="8427" width="0" style="9" hidden="1" customWidth="1"/>
    <col min="8428" max="8430" width="9.1640625" style="9" customWidth="1"/>
    <col min="8431" max="8635" width="8.83203125" style="9"/>
    <col min="8636" max="8636" width="28.6640625" style="9" customWidth="1"/>
    <col min="8637" max="8637" width="9" style="9" bestFit="1" customWidth="1"/>
    <col min="8638" max="8638" width="5.33203125" style="9" customWidth="1"/>
    <col min="8639" max="8639" width="9" style="9" bestFit="1" customWidth="1"/>
    <col min="8640" max="8640" width="5.33203125" style="9" customWidth="1"/>
    <col min="8641" max="8641" width="9" style="9" bestFit="1" customWidth="1"/>
    <col min="8642" max="8642" width="5" style="9" customWidth="1"/>
    <col min="8643" max="8643" width="9" style="9" bestFit="1" customWidth="1"/>
    <col min="8644" max="8644" width="5.1640625" style="9" customWidth="1"/>
    <col min="8645" max="8645" width="8.83203125" style="9"/>
    <col min="8646" max="8646" width="6" style="9" customWidth="1"/>
    <col min="8647" max="8647" width="8.83203125" style="9"/>
    <col min="8648" max="8648" width="6" style="9" customWidth="1"/>
    <col min="8649" max="8650" width="10.1640625" style="9" customWidth="1"/>
    <col min="8651" max="8651" width="10" style="9" customWidth="1"/>
    <col min="8652" max="8652" width="10.33203125" style="9" customWidth="1"/>
    <col min="8653" max="8657" width="9.1640625" style="9" customWidth="1"/>
    <col min="8658" max="8663" width="8.83203125" style="9"/>
    <col min="8664" max="8683" width="0" style="9" hidden="1" customWidth="1"/>
    <col min="8684" max="8686" width="9.1640625" style="9" customWidth="1"/>
    <col min="8687" max="8891" width="8.83203125" style="9"/>
    <col min="8892" max="8892" width="28.6640625" style="9" customWidth="1"/>
    <col min="8893" max="8893" width="9" style="9" bestFit="1" customWidth="1"/>
    <col min="8894" max="8894" width="5.33203125" style="9" customWidth="1"/>
    <col min="8895" max="8895" width="9" style="9" bestFit="1" customWidth="1"/>
    <col min="8896" max="8896" width="5.33203125" style="9" customWidth="1"/>
    <col min="8897" max="8897" width="9" style="9" bestFit="1" customWidth="1"/>
    <col min="8898" max="8898" width="5" style="9" customWidth="1"/>
    <col min="8899" max="8899" width="9" style="9" bestFit="1" customWidth="1"/>
    <col min="8900" max="8900" width="5.1640625" style="9" customWidth="1"/>
    <col min="8901" max="8901" width="8.83203125" style="9"/>
    <col min="8902" max="8902" width="6" style="9" customWidth="1"/>
    <col min="8903" max="8903" width="8.83203125" style="9"/>
    <col min="8904" max="8904" width="6" style="9" customWidth="1"/>
    <col min="8905" max="8906" width="10.1640625" style="9" customWidth="1"/>
    <col min="8907" max="8907" width="10" style="9" customWidth="1"/>
    <col min="8908" max="8908" width="10.33203125" style="9" customWidth="1"/>
    <col min="8909" max="8913" width="9.1640625" style="9" customWidth="1"/>
    <col min="8914" max="8919" width="8.83203125" style="9"/>
    <col min="8920" max="8939" width="0" style="9" hidden="1" customWidth="1"/>
    <col min="8940" max="8942" width="9.1640625" style="9" customWidth="1"/>
    <col min="8943" max="9147" width="8.83203125" style="9"/>
    <col min="9148" max="9148" width="28.6640625" style="9" customWidth="1"/>
    <col min="9149" max="9149" width="9" style="9" bestFit="1" customWidth="1"/>
    <col min="9150" max="9150" width="5.33203125" style="9" customWidth="1"/>
    <col min="9151" max="9151" width="9" style="9" bestFit="1" customWidth="1"/>
    <col min="9152" max="9152" width="5.33203125" style="9" customWidth="1"/>
    <col min="9153" max="9153" width="9" style="9" bestFit="1" customWidth="1"/>
    <col min="9154" max="9154" width="5" style="9" customWidth="1"/>
    <col min="9155" max="9155" width="9" style="9" bestFit="1" customWidth="1"/>
    <col min="9156" max="9156" width="5.1640625" style="9" customWidth="1"/>
    <col min="9157" max="9157" width="8.83203125" style="9"/>
    <col min="9158" max="9158" width="6" style="9" customWidth="1"/>
    <col min="9159" max="9159" width="8.83203125" style="9"/>
    <col min="9160" max="9160" width="6" style="9" customWidth="1"/>
    <col min="9161" max="9162" width="10.1640625" style="9" customWidth="1"/>
    <col min="9163" max="9163" width="10" style="9" customWidth="1"/>
    <col min="9164" max="9164" width="10.33203125" style="9" customWidth="1"/>
    <col min="9165" max="9169" width="9.1640625" style="9" customWidth="1"/>
    <col min="9170" max="9175" width="8.83203125" style="9"/>
    <col min="9176" max="9195" width="0" style="9" hidden="1" customWidth="1"/>
    <col min="9196" max="9198" width="9.1640625" style="9" customWidth="1"/>
    <col min="9199" max="9403" width="8.83203125" style="9"/>
    <col min="9404" max="9404" width="28.6640625" style="9" customWidth="1"/>
    <col min="9405" max="9405" width="9" style="9" bestFit="1" customWidth="1"/>
    <col min="9406" max="9406" width="5.33203125" style="9" customWidth="1"/>
    <col min="9407" max="9407" width="9" style="9" bestFit="1" customWidth="1"/>
    <col min="9408" max="9408" width="5.33203125" style="9" customWidth="1"/>
    <col min="9409" max="9409" width="9" style="9" bestFit="1" customWidth="1"/>
    <col min="9410" max="9410" width="5" style="9" customWidth="1"/>
    <col min="9411" max="9411" width="9" style="9" bestFit="1" customWidth="1"/>
    <col min="9412" max="9412" width="5.1640625" style="9" customWidth="1"/>
    <col min="9413" max="9413" width="8.83203125" style="9"/>
    <col min="9414" max="9414" width="6" style="9" customWidth="1"/>
    <col min="9415" max="9415" width="8.83203125" style="9"/>
    <col min="9416" max="9416" width="6" style="9" customWidth="1"/>
    <col min="9417" max="9418" width="10.1640625" style="9" customWidth="1"/>
    <col min="9419" max="9419" width="10" style="9" customWidth="1"/>
    <col min="9420" max="9420" width="10.33203125" style="9" customWidth="1"/>
    <col min="9421" max="9425" width="9.1640625" style="9" customWidth="1"/>
    <col min="9426" max="9431" width="8.83203125" style="9"/>
    <col min="9432" max="9451" width="0" style="9" hidden="1" customWidth="1"/>
    <col min="9452" max="9454" width="9.1640625" style="9" customWidth="1"/>
    <col min="9455" max="9659" width="8.83203125" style="9"/>
    <col min="9660" max="9660" width="28.6640625" style="9" customWidth="1"/>
    <col min="9661" max="9661" width="9" style="9" bestFit="1" customWidth="1"/>
    <col min="9662" max="9662" width="5.33203125" style="9" customWidth="1"/>
    <col min="9663" max="9663" width="9" style="9" bestFit="1" customWidth="1"/>
    <col min="9664" max="9664" width="5.33203125" style="9" customWidth="1"/>
    <col min="9665" max="9665" width="9" style="9" bestFit="1" customWidth="1"/>
    <col min="9666" max="9666" width="5" style="9" customWidth="1"/>
    <col min="9667" max="9667" width="9" style="9" bestFit="1" customWidth="1"/>
    <col min="9668" max="9668" width="5.1640625" style="9" customWidth="1"/>
    <col min="9669" max="9669" width="8.83203125" style="9"/>
    <col min="9670" max="9670" width="6" style="9" customWidth="1"/>
    <col min="9671" max="9671" width="8.83203125" style="9"/>
    <col min="9672" max="9672" width="6" style="9" customWidth="1"/>
    <col min="9673" max="9674" width="10.1640625" style="9" customWidth="1"/>
    <col min="9675" max="9675" width="10" style="9" customWidth="1"/>
    <col min="9676" max="9676" width="10.33203125" style="9" customWidth="1"/>
    <col min="9677" max="9681" width="9.1640625" style="9" customWidth="1"/>
    <col min="9682" max="9687" width="8.83203125" style="9"/>
    <col min="9688" max="9707" width="0" style="9" hidden="1" customWidth="1"/>
    <col min="9708" max="9710" width="9.1640625" style="9" customWidth="1"/>
    <col min="9711" max="9915" width="8.83203125" style="9"/>
    <col min="9916" max="9916" width="28.6640625" style="9" customWidth="1"/>
    <col min="9917" max="9917" width="9" style="9" bestFit="1" customWidth="1"/>
    <col min="9918" max="9918" width="5.33203125" style="9" customWidth="1"/>
    <col min="9919" max="9919" width="9" style="9" bestFit="1" customWidth="1"/>
    <col min="9920" max="9920" width="5.33203125" style="9" customWidth="1"/>
    <col min="9921" max="9921" width="9" style="9" bestFit="1" customWidth="1"/>
    <col min="9922" max="9922" width="5" style="9" customWidth="1"/>
    <col min="9923" max="9923" width="9" style="9" bestFit="1" customWidth="1"/>
    <col min="9924" max="9924" width="5.1640625" style="9" customWidth="1"/>
    <col min="9925" max="9925" width="8.83203125" style="9"/>
    <col min="9926" max="9926" width="6" style="9" customWidth="1"/>
    <col min="9927" max="9927" width="8.83203125" style="9"/>
    <col min="9928" max="9928" width="6" style="9" customWidth="1"/>
    <col min="9929" max="9930" width="10.1640625" style="9" customWidth="1"/>
    <col min="9931" max="9931" width="10" style="9" customWidth="1"/>
    <col min="9932" max="9932" width="10.33203125" style="9" customWidth="1"/>
    <col min="9933" max="9937" width="9.1640625" style="9" customWidth="1"/>
    <col min="9938" max="9943" width="8.83203125" style="9"/>
    <col min="9944" max="9963" width="0" style="9" hidden="1" customWidth="1"/>
    <col min="9964" max="9966" width="9.1640625" style="9" customWidth="1"/>
    <col min="9967" max="10171" width="8.83203125" style="9"/>
    <col min="10172" max="10172" width="28.6640625" style="9" customWidth="1"/>
    <col min="10173" max="10173" width="9" style="9" bestFit="1" customWidth="1"/>
    <col min="10174" max="10174" width="5.33203125" style="9" customWidth="1"/>
    <col min="10175" max="10175" width="9" style="9" bestFit="1" customWidth="1"/>
    <col min="10176" max="10176" width="5.33203125" style="9" customWidth="1"/>
    <col min="10177" max="10177" width="9" style="9" bestFit="1" customWidth="1"/>
    <col min="10178" max="10178" width="5" style="9" customWidth="1"/>
    <col min="10179" max="10179" width="9" style="9" bestFit="1" customWidth="1"/>
    <col min="10180" max="10180" width="5.1640625" style="9" customWidth="1"/>
    <col min="10181" max="10181" width="8.83203125" style="9"/>
    <col min="10182" max="10182" width="6" style="9" customWidth="1"/>
    <col min="10183" max="10183" width="8.83203125" style="9"/>
    <col min="10184" max="10184" width="6" style="9" customWidth="1"/>
    <col min="10185" max="10186" width="10.1640625" style="9" customWidth="1"/>
    <col min="10187" max="10187" width="10" style="9" customWidth="1"/>
    <col min="10188" max="10188" width="10.33203125" style="9" customWidth="1"/>
    <col min="10189" max="10193" width="9.1640625" style="9" customWidth="1"/>
    <col min="10194" max="10199" width="8.83203125" style="9"/>
    <col min="10200" max="10219" width="0" style="9" hidden="1" customWidth="1"/>
    <col min="10220" max="10222" width="9.1640625" style="9" customWidth="1"/>
    <col min="10223" max="10427" width="8.83203125" style="9"/>
    <col min="10428" max="10428" width="28.6640625" style="9" customWidth="1"/>
    <col min="10429" max="10429" width="9" style="9" bestFit="1" customWidth="1"/>
    <col min="10430" max="10430" width="5.33203125" style="9" customWidth="1"/>
    <col min="10431" max="10431" width="9" style="9" bestFit="1" customWidth="1"/>
    <col min="10432" max="10432" width="5.33203125" style="9" customWidth="1"/>
    <col min="10433" max="10433" width="9" style="9" bestFit="1" customWidth="1"/>
    <col min="10434" max="10434" width="5" style="9" customWidth="1"/>
    <col min="10435" max="10435" width="9" style="9" bestFit="1" customWidth="1"/>
    <col min="10436" max="10436" width="5.1640625" style="9" customWidth="1"/>
    <col min="10437" max="10437" width="8.83203125" style="9"/>
    <col min="10438" max="10438" width="6" style="9" customWidth="1"/>
    <col min="10439" max="10439" width="8.83203125" style="9"/>
    <col min="10440" max="10440" width="6" style="9" customWidth="1"/>
    <col min="10441" max="10442" width="10.1640625" style="9" customWidth="1"/>
    <col min="10443" max="10443" width="10" style="9" customWidth="1"/>
    <col min="10444" max="10444" width="10.33203125" style="9" customWidth="1"/>
    <col min="10445" max="10449" width="9.1640625" style="9" customWidth="1"/>
    <col min="10450" max="10455" width="8.83203125" style="9"/>
    <col min="10456" max="10475" width="0" style="9" hidden="1" customWidth="1"/>
    <col min="10476" max="10478" width="9.1640625" style="9" customWidth="1"/>
    <col min="10479" max="10683" width="8.83203125" style="9"/>
    <col min="10684" max="10684" width="28.6640625" style="9" customWidth="1"/>
    <col min="10685" max="10685" width="9" style="9" bestFit="1" customWidth="1"/>
    <col min="10686" max="10686" width="5.33203125" style="9" customWidth="1"/>
    <col min="10687" max="10687" width="9" style="9" bestFit="1" customWidth="1"/>
    <col min="10688" max="10688" width="5.33203125" style="9" customWidth="1"/>
    <col min="10689" max="10689" width="9" style="9" bestFit="1" customWidth="1"/>
    <col min="10690" max="10690" width="5" style="9" customWidth="1"/>
    <col min="10691" max="10691" width="9" style="9" bestFit="1" customWidth="1"/>
    <col min="10692" max="10692" width="5.1640625" style="9" customWidth="1"/>
    <col min="10693" max="10693" width="8.83203125" style="9"/>
    <col min="10694" max="10694" width="6" style="9" customWidth="1"/>
    <col min="10695" max="10695" width="8.83203125" style="9"/>
    <col min="10696" max="10696" width="6" style="9" customWidth="1"/>
    <col min="10697" max="10698" width="10.1640625" style="9" customWidth="1"/>
    <col min="10699" max="10699" width="10" style="9" customWidth="1"/>
    <col min="10700" max="10700" width="10.33203125" style="9" customWidth="1"/>
    <col min="10701" max="10705" width="9.1640625" style="9" customWidth="1"/>
    <col min="10706" max="10711" width="8.83203125" style="9"/>
    <col min="10712" max="10731" width="0" style="9" hidden="1" customWidth="1"/>
    <col min="10732" max="10734" width="9.1640625" style="9" customWidth="1"/>
    <col min="10735" max="10939" width="8.83203125" style="9"/>
    <col min="10940" max="10940" width="28.6640625" style="9" customWidth="1"/>
    <col min="10941" max="10941" width="9" style="9" bestFit="1" customWidth="1"/>
    <col min="10942" max="10942" width="5.33203125" style="9" customWidth="1"/>
    <col min="10943" max="10943" width="9" style="9" bestFit="1" customWidth="1"/>
    <col min="10944" max="10944" width="5.33203125" style="9" customWidth="1"/>
    <col min="10945" max="10945" width="9" style="9" bestFit="1" customWidth="1"/>
    <col min="10946" max="10946" width="5" style="9" customWidth="1"/>
    <col min="10947" max="10947" width="9" style="9" bestFit="1" customWidth="1"/>
    <col min="10948" max="10948" width="5.1640625" style="9" customWidth="1"/>
    <col min="10949" max="10949" width="8.83203125" style="9"/>
    <col min="10950" max="10950" width="6" style="9" customWidth="1"/>
    <col min="10951" max="10951" width="8.83203125" style="9"/>
    <col min="10952" max="10952" width="6" style="9" customWidth="1"/>
    <col min="10953" max="10954" width="10.1640625" style="9" customWidth="1"/>
    <col min="10955" max="10955" width="10" style="9" customWidth="1"/>
    <col min="10956" max="10956" width="10.33203125" style="9" customWidth="1"/>
    <col min="10957" max="10961" width="9.1640625" style="9" customWidth="1"/>
    <col min="10962" max="10967" width="8.83203125" style="9"/>
    <col min="10968" max="10987" width="0" style="9" hidden="1" customWidth="1"/>
    <col min="10988" max="10990" width="9.1640625" style="9" customWidth="1"/>
    <col min="10991" max="11195" width="8.83203125" style="9"/>
    <col min="11196" max="11196" width="28.6640625" style="9" customWidth="1"/>
    <col min="11197" max="11197" width="9" style="9" bestFit="1" customWidth="1"/>
    <col min="11198" max="11198" width="5.33203125" style="9" customWidth="1"/>
    <col min="11199" max="11199" width="9" style="9" bestFit="1" customWidth="1"/>
    <col min="11200" max="11200" width="5.33203125" style="9" customWidth="1"/>
    <col min="11201" max="11201" width="9" style="9" bestFit="1" customWidth="1"/>
    <col min="11202" max="11202" width="5" style="9" customWidth="1"/>
    <col min="11203" max="11203" width="9" style="9" bestFit="1" customWidth="1"/>
    <col min="11204" max="11204" width="5.1640625" style="9" customWidth="1"/>
    <col min="11205" max="11205" width="8.83203125" style="9"/>
    <col min="11206" max="11206" width="6" style="9" customWidth="1"/>
    <col min="11207" max="11207" width="8.83203125" style="9"/>
    <col min="11208" max="11208" width="6" style="9" customWidth="1"/>
    <col min="11209" max="11210" width="10.1640625" style="9" customWidth="1"/>
    <col min="11211" max="11211" width="10" style="9" customWidth="1"/>
    <col min="11212" max="11212" width="10.33203125" style="9" customWidth="1"/>
    <col min="11213" max="11217" width="9.1640625" style="9" customWidth="1"/>
    <col min="11218" max="11223" width="8.83203125" style="9"/>
    <col min="11224" max="11243" width="0" style="9" hidden="1" customWidth="1"/>
    <col min="11244" max="11246" width="9.1640625" style="9" customWidth="1"/>
    <col min="11247" max="11451" width="8.83203125" style="9"/>
    <col min="11452" max="11452" width="28.6640625" style="9" customWidth="1"/>
    <col min="11453" max="11453" width="9" style="9" bestFit="1" customWidth="1"/>
    <col min="11454" max="11454" width="5.33203125" style="9" customWidth="1"/>
    <col min="11455" max="11455" width="9" style="9" bestFit="1" customWidth="1"/>
    <col min="11456" max="11456" width="5.33203125" style="9" customWidth="1"/>
    <col min="11457" max="11457" width="9" style="9" bestFit="1" customWidth="1"/>
    <col min="11458" max="11458" width="5" style="9" customWidth="1"/>
    <col min="11459" max="11459" width="9" style="9" bestFit="1" customWidth="1"/>
    <col min="11460" max="11460" width="5.1640625" style="9" customWidth="1"/>
    <col min="11461" max="11461" width="8.83203125" style="9"/>
    <col min="11462" max="11462" width="6" style="9" customWidth="1"/>
    <col min="11463" max="11463" width="8.83203125" style="9"/>
    <col min="11464" max="11464" width="6" style="9" customWidth="1"/>
    <col min="11465" max="11466" width="10.1640625" style="9" customWidth="1"/>
    <col min="11467" max="11467" width="10" style="9" customWidth="1"/>
    <col min="11468" max="11468" width="10.33203125" style="9" customWidth="1"/>
    <col min="11469" max="11473" width="9.1640625" style="9" customWidth="1"/>
    <col min="11474" max="11479" width="8.83203125" style="9"/>
    <col min="11480" max="11499" width="0" style="9" hidden="1" customWidth="1"/>
    <col min="11500" max="11502" width="9.1640625" style="9" customWidth="1"/>
    <col min="11503" max="11707" width="8.83203125" style="9"/>
    <col min="11708" max="11708" width="28.6640625" style="9" customWidth="1"/>
    <col min="11709" max="11709" width="9" style="9" bestFit="1" customWidth="1"/>
    <col min="11710" max="11710" width="5.33203125" style="9" customWidth="1"/>
    <col min="11711" max="11711" width="9" style="9" bestFit="1" customWidth="1"/>
    <col min="11712" max="11712" width="5.33203125" style="9" customWidth="1"/>
    <col min="11713" max="11713" width="9" style="9" bestFit="1" customWidth="1"/>
    <col min="11714" max="11714" width="5" style="9" customWidth="1"/>
    <col min="11715" max="11715" width="9" style="9" bestFit="1" customWidth="1"/>
    <col min="11716" max="11716" width="5.1640625" style="9" customWidth="1"/>
    <col min="11717" max="11717" width="8.83203125" style="9"/>
    <col min="11718" max="11718" width="6" style="9" customWidth="1"/>
    <col min="11719" max="11719" width="8.83203125" style="9"/>
    <col min="11720" max="11720" width="6" style="9" customWidth="1"/>
    <col min="11721" max="11722" width="10.1640625" style="9" customWidth="1"/>
    <col min="11723" max="11723" width="10" style="9" customWidth="1"/>
    <col min="11724" max="11724" width="10.33203125" style="9" customWidth="1"/>
    <col min="11725" max="11729" width="9.1640625" style="9" customWidth="1"/>
    <col min="11730" max="11735" width="8.83203125" style="9"/>
    <col min="11736" max="11755" width="0" style="9" hidden="1" customWidth="1"/>
    <col min="11756" max="11758" width="9.1640625" style="9" customWidth="1"/>
    <col min="11759" max="11963" width="8.83203125" style="9"/>
    <col min="11964" max="11964" width="28.6640625" style="9" customWidth="1"/>
    <col min="11965" max="11965" width="9" style="9" bestFit="1" customWidth="1"/>
    <col min="11966" max="11966" width="5.33203125" style="9" customWidth="1"/>
    <col min="11967" max="11967" width="9" style="9" bestFit="1" customWidth="1"/>
    <col min="11968" max="11968" width="5.33203125" style="9" customWidth="1"/>
    <col min="11969" max="11969" width="9" style="9" bestFit="1" customWidth="1"/>
    <col min="11970" max="11970" width="5" style="9" customWidth="1"/>
    <col min="11971" max="11971" width="9" style="9" bestFit="1" customWidth="1"/>
    <col min="11972" max="11972" width="5.1640625" style="9" customWidth="1"/>
    <col min="11973" max="11973" width="8.83203125" style="9"/>
    <col min="11974" max="11974" width="6" style="9" customWidth="1"/>
    <col min="11975" max="11975" width="8.83203125" style="9"/>
    <col min="11976" max="11976" width="6" style="9" customWidth="1"/>
    <col min="11977" max="11978" width="10.1640625" style="9" customWidth="1"/>
    <col min="11979" max="11979" width="10" style="9" customWidth="1"/>
    <col min="11980" max="11980" width="10.33203125" style="9" customWidth="1"/>
    <col min="11981" max="11985" width="9.1640625" style="9" customWidth="1"/>
    <col min="11986" max="11991" width="8.83203125" style="9"/>
    <col min="11992" max="12011" width="0" style="9" hidden="1" customWidth="1"/>
    <col min="12012" max="12014" width="9.1640625" style="9" customWidth="1"/>
    <col min="12015" max="12219" width="8.83203125" style="9"/>
    <col min="12220" max="12220" width="28.6640625" style="9" customWidth="1"/>
    <col min="12221" max="12221" width="9" style="9" bestFit="1" customWidth="1"/>
    <col min="12222" max="12222" width="5.33203125" style="9" customWidth="1"/>
    <col min="12223" max="12223" width="9" style="9" bestFit="1" customWidth="1"/>
    <col min="12224" max="12224" width="5.33203125" style="9" customWidth="1"/>
    <col min="12225" max="12225" width="9" style="9" bestFit="1" customWidth="1"/>
    <col min="12226" max="12226" width="5" style="9" customWidth="1"/>
    <col min="12227" max="12227" width="9" style="9" bestFit="1" customWidth="1"/>
    <col min="12228" max="12228" width="5.1640625" style="9" customWidth="1"/>
    <col min="12229" max="12229" width="8.83203125" style="9"/>
    <col min="12230" max="12230" width="6" style="9" customWidth="1"/>
    <col min="12231" max="12231" width="8.83203125" style="9"/>
    <col min="12232" max="12232" width="6" style="9" customWidth="1"/>
    <col min="12233" max="12234" width="10.1640625" style="9" customWidth="1"/>
    <col min="12235" max="12235" width="10" style="9" customWidth="1"/>
    <col min="12236" max="12236" width="10.33203125" style="9" customWidth="1"/>
    <col min="12237" max="12241" width="9.1640625" style="9" customWidth="1"/>
    <col min="12242" max="12247" width="8.83203125" style="9"/>
    <col min="12248" max="12267" width="0" style="9" hidden="1" customWidth="1"/>
    <col min="12268" max="12270" width="9.1640625" style="9" customWidth="1"/>
    <col min="12271" max="12475" width="8.83203125" style="9"/>
    <col min="12476" max="12476" width="28.6640625" style="9" customWidth="1"/>
    <col min="12477" max="12477" width="9" style="9" bestFit="1" customWidth="1"/>
    <col min="12478" max="12478" width="5.33203125" style="9" customWidth="1"/>
    <col min="12479" max="12479" width="9" style="9" bestFit="1" customWidth="1"/>
    <col min="12480" max="12480" width="5.33203125" style="9" customWidth="1"/>
    <col min="12481" max="12481" width="9" style="9" bestFit="1" customWidth="1"/>
    <col min="12482" max="12482" width="5" style="9" customWidth="1"/>
    <col min="12483" max="12483" width="9" style="9" bestFit="1" customWidth="1"/>
    <col min="12484" max="12484" width="5.1640625" style="9" customWidth="1"/>
    <col min="12485" max="12485" width="8.83203125" style="9"/>
    <col min="12486" max="12486" width="6" style="9" customWidth="1"/>
    <col min="12487" max="12487" width="8.83203125" style="9"/>
    <col min="12488" max="12488" width="6" style="9" customWidth="1"/>
    <col min="12489" max="12490" width="10.1640625" style="9" customWidth="1"/>
    <col min="12491" max="12491" width="10" style="9" customWidth="1"/>
    <col min="12492" max="12492" width="10.33203125" style="9" customWidth="1"/>
    <col min="12493" max="12497" width="9.1640625" style="9" customWidth="1"/>
    <col min="12498" max="12503" width="8.83203125" style="9"/>
    <col min="12504" max="12523" width="0" style="9" hidden="1" customWidth="1"/>
    <col min="12524" max="12526" width="9.1640625" style="9" customWidth="1"/>
    <col min="12527" max="12731" width="8.83203125" style="9"/>
    <col min="12732" max="12732" width="28.6640625" style="9" customWidth="1"/>
    <col min="12733" max="12733" width="9" style="9" bestFit="1" customWidth="1"/>
    <col min="12734" max="12734" width="5.33203125" style="9" customWidth="1"/>
    <col min="12735" max="12735" width="9" style="9" bestFit="1" customWidth="1"/>
    <col min="12736" max="12736" width="5.33203125" style="9" customWidth="1"/>
    <col min="12737" max="12737" width="9" style="9" bestFit="1" customWidth="1"/>
    <col min="12738" max="12738" width="5" style="9" customWidth="1"/>
    <col min="12739" max="12739" width="9" style="9" bestFit="1" customWidth="1"/>
    <col min="12740" max="12740" width="5.1640625" style="9" customWidth="1"/>
    <col min="12741" max="12741" width="8.83203125" style="9"/>
    <col min="12742" max="12742" width="6" style="9" customWidth="1"/>
    <col min="12743" max="12743" width="8.83203125" style="9"/>
    <col min="12744" max="12744" width="6" style="9" customWidth="1"/>
    <col min="12745" max="12746" width="10.1640625" style="9" customWidth="1"/>
    <col min="12747" max="12747" width="10" style="9" customWidth="1"/>
    <col min="12748" max="12748" width="10.33203125" style="9" customWidth="1"/>
    <col min="12749" max="12753" width="9.1640625" style="9" customWidth="1"/>
    <col min="12754" max="12759" width="8.83203125" style="9"/>
    <col min="12760" max="12779" width="0" style="9" hidden="1" customWidth="1"/>
    <col min="12780" max="12782" width="9.1640625" style="9" customWidth="1"/>
    <col min="12783" max="12987" width="8.83203125" style="9"/>
    <col min="12988" max="12988" width="28.6640625" style="9" customWidth="1"/>
    <col min="12989" max="12989" width="9" style="9" bestFit="1" customWidth="1"/>
    <col min="12990" max="12990" width="5.33203125" style="9" customWidth="1"/>
    <col min="12991" max="12991" width="9" style="9" bestFit="1" customWidth="1"/>
    <col min="12992" max="12992" width="5.33203125" style="9" customWidth="1"/>
    <col min="12993" max="12993" width="9" style="9" bestFit="1" customWidth="1"/>
    <col min="12994" max="12994" width="5" style="9" customWidth="1"/>
    <col min="12995" max="12995" width="9" style="9" bestFit="1" customWidth="1"/>
    <col min="12996" max="12996" width="5.1640625" style="9" customWidth="1"/>
    <col min="12997" max="12997" width="8.83203125" style="9"/>
    <col min="12998" max="12998" width="6" style="9" customWidth="1"/>
    <col min="12999" max="12999" width="8.83203125" style="9"/>
    <col min="13000" max="13000" width="6" style="9" customWidth="1"/>
    <col min="13001" max="13002" width="10.1640625" style="9" customWidth="1"/>
    <col min="13003" max="13003" width="10" style="9" customWidth="1"/>
    <col min="13004" max="13004" width="10.33203125" style="9" customWidth="1"/>
    <col min="13005" max="13009" width="9.1640625" style="9" customWidth="1"/>
    <col min="13010" max="13015" width="8.83203125" style="9"/>
    <col min="13016" max="13035" width="0" style="9" hidden="1" customWidth="1"/>
    <col min="13036" max="13038" width="9.1640625" style="9" customWidth="1"/>
    <col min="13039" max="13243" width="8.83203125" style="9"/>
    <col min="13244" max="13244" width="28.6640625" style="9" customWidth="1"/>
    <col min="13245" max="13245" width="9" style="9" bestFit="1" customWidth="1"/>
    <col min="13246" max="13246" width="5.33203125" style="9" customWidth="1"/>
    <col min="13247" max="13247" width="9" style="9" bestFit="1" customWidth="1"/>
    <col min="13248" max="13248" width="5.33203125" style="9" customWidth="1"/>
    <col min="13249" max="13249" width="9" style="9" bestFit="1" customWidth="1"/>
    <col min="13250" max="13250" width="5" style="9" customWidth="1"/>
    <col min="13251" max="13251" width="9" style="9" bestFit="1" customWidth="1"/>
    <col min="13252" max="13252" width="5.1640625" style="9" customWidth="1"/>
    <col min="13253" max="13253" width="8.83203125" style="9"/>
    <col min="13254" max="13254" width="6" style="9" customWidth="1"/>
    <col min="13255" max="13255" width="8.83203125" style="9"/>
    <col min="13256" max="13256" width="6" style="9" customWidth="1"/>
    <col min="13257" max="13258" width="10.1640625" style="9" customWidth="1"/>
    <col min="13259" max="13259" width="10" style="9" customWidth="1"/>
    <col min="13260" max="13260" width="10.33203125" style="9" customWidth="1"/>
    <col min="13261" max="13265" width="9.1640625" style="9" customWidth="1"/>
    <col min="13266" max="13271" width="8.83203125" style="9"/>
    <col min="13272" max="13291" width="0" style="9" hidden="1" customWidth="1"/>
    <col min="13292" max="13294" width="9.1640625" style="9" customWidth="1"/>
    <col min="13295" max="13499" width="8.83203125" style="9"/>
    <col min="13500" max="13500" width="28.6640625" style="9" customWidth="1"/>
    <col min="13501" max="13501" width="9" style="9" bestFit="1" customWidth="1"/>
    <col min="13502" max="13502" width="5.33203125" style="9" customWidth="1"/>
    <col min="13503" max="13503" width="9" style="9" bestFit="1" customWidth="1"/>
    <col min="13504" max="13504" width="5.33203125" style="9" customWidth="1"/>
    <col min="13505" max="13505" width="9" style="9" bestFit="1" customWidth="1"/>
    <col min="13506" max="13506" width="5" style="9" customWidth="1"/>
    <col min="13507" max="13507" width="9" style="9" bestFit="1" customWidth="1"/>
    <col min="13508" max="13508" width="5.1640625" style="9" customWidth="1"/>
    <col min="13509" max="13509" width="8.83203125" style="9"/>
    <col min="13510" max="13510" width="6" style="9" customWidth="1"/>
    <col min="13511" max="13511" width="8.83203125" style="9"/>
    <col min="13512" max="13512" width="6" style="9" customWidth="1"/>
    <col min="13513" max="13514" width="10.1640625" style="9" customWidth="1"/>
    <col min="13515" max="13515" width="10" style="9" customWidth="1"/>
    <col min="13516" max="13516" width="10.33203125" style="9" customWidth="1"/>
    <col min="13517" max="13521" width="9.1640625" style="9" customWidth="1"/>
    <col min="13522" max="13527" width="8.83203125" style="9"/>
    <col min="13528" max="13547" width="0" style="9" hidden="1" customWidth="1"/>
    <col min="13548" max="13550" width="9.1640625" style="9" customWidth="1"/>
    <col min="13551" max="13755" width="8.83203125" style="9"/>
    <col min="13756" max="13756" width="28.6640625" style="9" customWidth="1"/>
    <col min="13757" max="13757" width="9" style="9" bestFit="1" customWidth="1"/>
    <col min="13758" max="13758" width="5.33203125" style="9" customWidth="1"/>
    <col min="13759" max="13759" width="9" style="9" bestFit="1" customWidth="1"/>
    <col min="13760" max="13760" width="5.33203125" style="9" customWidth="1"/>
    <col min="13761" max="13761" width="9" style="9" bestFit="1" customWidth="1"/>
    <col min="13762" max="13762" width="5" style="9" customWidth="1"/>
    <col min="13763" max="13763" width="9" style="9" bestFit="1" customWidth="1"/>
    <col min="13764" max="13764" width="5.1640625" style="9" customWidth="1"/>
    <col min="13765" max="13765" width="8.83203125" style="9"/>
    <col min="13766" max="13766" width="6" style="9" customWidth="1"/>
    <col min="13767" max="13767" width="8.83203125" style="9"/>
    <col min="13768" max="13768" width="6" style="9" customWidth="1"/>
    <col min="13769" max="13770" width="10.1640625" style="9" customWidth="1"/>
    <col min="13771" max="13771" width="10" style="9" customWidth="1"/>
    <col min="13772" max="13772" width="10.33203125" style="9" customWidth="1"/>
    <col min="13773" max="13777" width="9.1640625" style="9" customWidth="1"/>
    <col min="13778" max="13783" width="8.83203125" style="9"/>
    <col min="13784" max="13803" width="0" style="9" hidden="1" customWidth="1"/>
    <col min="13804" max="13806" width="9.1640625" style="9" customWidth="1"/>
    <col min="13807" max="14011" width="8.83203125" style="9"/>
    <col min="14012" max="14012" width="28.6640625" style="9" customWidth="1"/>
    <col min="14013" max="14013" width="9" style="9" bestFit="1" customWidth="1"/>
    <col min="14014" max="14014" width="5.33203125" style="9" customWidth="1"/>
    <col min="14015" max="14015" width="9" style="9" bestFit="1" customWidth="1"/>
    <col min="14016" max="14016" width="5.33203125" style="9" customWidth="1"/>
    <col min="14017" max="14017" width="9" style="9" bestFit="1" customWidth="1"/>
    <col min="14018" max="14018" width="5" style="9" customWidth="1"/>
    <col min="14019" max="14019" width="9" style="9" bestFit="1" customWidth="1"/>
    <col min="14020" max="14020" width="5.1640625" style="9" customWidth="1"/>
    <col min="14021" max="14021" width="8.83203125" style="9"/>
    <col min="14022" max="14022" width="6" style="9" customWidth="1"/>
    <col min="14023" max="14023" width="8.83203125" style="9"/>
    <col min="14024" max="14024" width="6" style="9" customWidth="1"/>
    <col min="14025" max="14026" width="10.1640625" style="9" customWidth="1"/>
    <col min="14027" max="14027" width="10" style="9" customWidth="1"/>
    <col min="14028" max="14028" width="10.33203125" style="9" customWidth="1"/>
    <col min="14029" max="14033" width="9.1640625" style="9" customWidth="1"/>
    <col min="14034" max="14039" width="8.83203125" style="9"/>
    <col min="14040" max="14059" width="0" style="9" hidden="1" customWidth="1"/>
    <col min="14060" max="14062" width="9.1640625" style="9" customWidth="1"/>
    <col min="14063" max="14267" width="8.83203125" style="9"/>
    <col min="14268" max="14268" width="28.6640625" style="9" customWidth="1"/>
    <col min="14269" max="14269" width="9" style="9" bestFit="1" customWidth="1"/>
    <col min="14270" max="14270" width="5.33203125" style="9" customWidth="1"/>
    <col min="14271" max="14271" width="9" style="9" bestFit="1" customWidth="1"/>
    <col min="14272" max="14272" width="5.33203125" style="9" customWidth="1"/>
    <col min="14273" max="14273" width="9" style="9" bestFit="1" customWidth="1"/>
    <col min="14274" max="14274" width="5" style="9" customWidth="1"/>
    <col min="14275" max="14275" width="9" style="9" bestFit="1" customWidth="1"/>
    <col min="14276" max="14276" width="5.1640625" style="9" customWidth="1"/>
    <col min="14277" max="14277" width="8.83203125" style="9"/>
    <col min="14278" max="14278" width="6" style="9" customWidth="1"/>
    <col min="14279" max="14279" width="8.83203125" style="9"/>
    <col min="14280" max="14280" width="6" style="9" customWidth="1"/>
    <col min="14281" max="14282" width="10.1640625" style="9" customWidth="1"/>
    <col min="14283" max="14283" width="10" style="9" customWidth="1"/>
    <col min="14284" max="14284" width="10.33203125" style="9" customWidth="1"/>
    <col min="14285" max="14289" width="9.1640625" style="9" customWidth="1"/>
    <col min="14290" max="14295" width="8.83203125" style="9"/>
    <col min="14296" max="14315" width="0" style="9" hidden="1" customWidth="1"/>
    <col min="14316" max="14318" width="9.1640625" style="9" customWidth="1"/>
    <col min="14319" max="14523" width="8.83203125" style="9"/>
    <col min="14524" max="14524" width="28.6640625" style="9" customWidth="1"/>
    <col min="14525" max="14525" width="9" style="9" bestFit="1" customWidth="1"/>
    <col min="14526" max="14526" width="5.33203125" style="9" customWidth="1"/>
    <col min="14527" max="14527" width="9" style="9" bestFit="1" customWidth="1"/>
    <col min="14528" max="14528" width="5.33203125" style="9" customWidth="1"/>
    <col min="14529" max="14529" width="9" style="9" bestFit="1" customWidth="1"/>
    <col min="14530" max="14530" width="5" style="9" customWidth="1"/>
    <col min="14531" max="14531" width="9" style="9" bestFit="1" customWidth="1"/>
    <col min="14532" max="14532" width="5.1640625" style="9" customWidth="1"/>
    <col min="14533" max="14533" width="8.83203125" style="9"/>
    <col min="14534" max="14534" width="6" style="9" customWidth="1"/>
    <col min="14535" max="14535" width="8.83203125" style="9"/>
    <col min="14536" max="14536" width="6" style="9" customWidth="1"/>
    <col min="14537" max="14538" width="10.1640625" style="9" customWidth="1"/>
    <col min="14539" max="14539" width="10" style="9" customWidth="1"/>
    <col min="14540" max="14540" width="10.33203125" style="9" customWidth="1"/>
    <col min="14541" max="14545" width="9.1640625" style="9" customWidth="1"/>
    <col min="14546" max="14551" width="8.83203125" style="9"/>
    <col min="14552" max="14571" width="0" style="9" hidden="1" customWidth="1"/>
    <col min="14572" max="14574" width="9.1640625" style="9" customWidth="1"/>
    <col min="14575" max="14779" width="8.83203125" style="9"/>
    <col min="14780" max="14780" width="28.6640625" style="9" customWidth="1"/>
    <col min="14781" max="14781" width="9" style="9" bestFit="1" customWidth="1"/>
    <col min="14782" max="14782" width="5.33203125" style="9" customWidth="1"/>
    <col min="14783" max="14783" width="9" style="9" bestFit="1" customWidth="1"/>
    <col min="14784" max="14784" width="5.33203125" style="9" customWidth="1"/>
    <col min="14785" max="14785" width="9" style="9" bestFit="1" customWidth="1"/>
    <col min="14786" max="14786" width="5" style="9" customWidth="1"/>
    <col min="14787" max="14787" width="9" style="9" bestFit="1" customWidth="1"/>
    <col min="14788" max="14788" width="5.1640625" style="9" customWidth="1"/>
    <col min="14789" max="14789" width="8.83203125" style="9"/>
    <col min="14790" max="14790" width="6" style="9" customWidth="1"/>
    <col min="14791" max="14791" width="8.83203125" style="9"/>
    <col min="14792" max="14792" width="6" style="9" customWidth="1"/>
    <col min="14793" max="14794" width="10.1640625" style="9" customWidth="1"/>
    <col min="14795" max="14795" width="10" style="9" customWidth="1"/>
    <col min="14796" max="14796" width="10.33203125" style="9" customWidth="1"/>
    <col min="14797" max="14801" width="9.1640625" style="9" customWidth="1"/>
    <col min="14802" max="14807" width="8.83203125" style="9"/>
    <col min="14808" max="14827" width="0" style="9" hidden="1" customWidth="1"/>
    <col min="14828" max="14830" width="9.1640625" style="9" customWidth="1"/>
    <col min="14831" max="15035" width="8.83203125" style="9"/>
    <col min="15036" max="15036" width="28.6640625" style="9" customWidth="1"/>
    <col min="15037" max="15037" width="9" style="9" bestFit="1" customWidth="1"/>
    <col min="15038" max="15038" width="5.33203125" style="9" customWidth="1"/>
    <col min="15039" max="15039" width="9" style="9" bestFit="1" customWidth="1"/>
    <col min="15040" max="15040" width="5.33203125" style="9" customWidth="1"/>
    <col min="15041" max="15041" width="9" style="9" bestFit="1" customWidth="1"/>
    <col min="15042" max="15042" width="5" style="9" customWidth="1"/>
    <col min="15043" max="15043" width="9" style="9" bestFit="1" customWidth="1"/>
    <col min="15044" max="15044" width="5.1640625" style="9" customWidth="1"/>
    <col min="15045" max="15045" width="8.83203125" style="9"/>
    <col min="15046" max="15046" width="6" style="9" customWidth="1"/>
    <col min="15047" max="15047" width="8.83203125" style="9"/>
    <col min="15048" max="15048" width="6" style="9" customWidth="1"/>
    <col min="15049" max="15050" width="10.1640625" style="9" customWidth="1"/>
    <col min="15051" max="15051" width="10" style="9" customWidth="1"/>
    <col min="15052" max="15052" width="10.33203125" style="9" customWidth="1"/>
    <col min="15053" max="15057" width="9.1640625" style="9" customWidth="1"/>
    <col min="15058" max="15063" width="8.83203125" style="9"/>
    <col min="15064" max="15083" width="0" style="9" hidden="1" customWidth="1"/>
    <col min="15084" max="15086" width="9.1640625" style="9" customWidth="1"/>
    <col min="15087" max="15291" width="8.83203125" style="9"/>
    <col min="15292" max="15292" width="28.6640625" style="9" customWidth="1"/>
    <col min="15293" max="15293" width="9" style="9" bestFit="1" customWidth="1"/>
    <col min="15294" max="15294" width="5.33203125" style="9" customWidth="1"/>
    <col min="15295" max="15295" width="9" style="9" bestFit="1" customWidth="1"/>
    <col min="15296" max="15296" width="5.33203125" style="9" customWidth="1"/>
    <col min="15297" max="15297" width="9" style="9" bestFit="1" customWidth="1"/>
    <col min="15298" max="15298" width="5" style="9" customWidth="1"/>
    <col min="15299" max="15299" width="9" style="9" bestFit="1" customWidth="1"/>
    <col min="15300" max="15300" width="5.1640625" style="9" customWidth="1"/>
    <col min="15301" max="15301" width="8.83203125" style="9"/>
    <col min="15302" max="15302" width="6" style="9" customWidth="1"/>
    <col min="15303" max="15303" width="8.83203125" style="9"/>
    <col min="15304" max="15304" width="6" style="9" customWidth="1"/>
    <col min="15305" max="15306" width="10.1640625" style="9" customWidth="1"/>
    <col min="15307" max="15307" width="10" style="9" customWidth="1"/>
    <col min="15308" max="15308" width="10.33203125" style="9" customWidth="1"/>
    <col min="15309" max="15313" width="9.1640625" style="9" customWidth="1"/>
    <col min="15314" max="15319" width="8.83203125" style="9"/>
    <col min="15320" max="15339" width="0" style="9" hidden="1" customWidth="1"/>
    <col min="15340" max="15342" width="9.1640625" style="9" customWidth="1"/>
    <col min="15343" max="15547" width="8.83203125" style="9"/>
    <col min="15548" max="15548" width="28.6640625" style="9" customWidth="1"/>
    <col min="15549" max="15549" width="9" style="9" bestFit="1" customWidth="1"/>
    <col min="15550" max="15550" width="5.33203125" style="9" customWidth="1"/>
    <col min="15551" max="15551" width="9" style="9" bestFit="1" customWidth="1"/>
    <col min="15552" max="15552" width="5.33203125" style="9" customWidth="1"/>
    <col min="15553" max="15553" width="9" style="9" bestFit="1" customWidth="1"/>
    <col min="15554" max="15554" width="5" style="9" customWidth="1"/>
    <col min="15555" max="15555" width="9" style="9" bestFit="1" customWidth="1"/>
    <col min="15556" max="15556" width="5.1640625" style="9" customWidth="1"/>
    <col min="15557" max="15557" width="8.83203125" style="9"/>
    <col min="15558" max="15558" width="6" style="9" customWidth="1"/>
    <col min="15559" max="15559" width="8.83203125" style="9"/>
    <col min="15560" max="15560" width="6" style="9" customWidth="1"/>
    <col min="15561" max="15562" width="10.1640625" style="9" customWidth="1"/>
    <col min="15563" max="15563" width="10" style="9" customWidth="1"/>
    <col min="15564" max="15564" width="10.33203125" style="9" customWidth="1"/>
    <col min="15565" max="15569" width="9.1640625" style="9" customWidth="1"/>
    <col min="15570" max="15575" width="8.83203125" style="9"/>
    <col min="15576" max="15595" width="0" style="9" hidden="1" customWidth="1"/>
    <col min="15596" max="15598" width="9.1640625" style="9" customWidth="1"/>
    <col min="15599" max="15803" width="8.83203125" style="9"/>
    <col min="15804" max="15804" width="28.6640625" style="9" customWidth="1"/>
    <col min="15805" max="15805" width="9" style="9" bestFit="1" customWidth="1"/>
    <col min="15806" max="15806" width="5.33203125" style="9" customWidth="1"/>
    <col min="15807" max="15807" width="9" style="9" bestFit="1" customWidth="1"/>
    <col min="15808" max="15808" width="5.33203125" style="9" customWidth="1"/>
    <col min="15809" max="15809" width="9" style="9" bestFit="1" customWidth="1"/>
    <col min="15810" max="15810" width="5" style="9" customWidth="1"/>
    <col min="15811" max="15811" width="9" style="9" bestFit="1" customWidth="1"/>
    <col min="15812" max="15812" width="5.1640625" style="9" customWidth="1"/>
    <col min="15813" max="15813" width="8.83203125" style="9"/>
    <col min="15814" max="15814" width="6" style="9" customWidth="1"/>
    <col min="15815" max="15815" width="8.83203125" style="9"/>
    <col min="15816" max="15816" width="6" style="9" customWidth="1"/>
    <col min="15817" max="15818" width="10.1640625" style="9" customWidth="1"/>
    <col min="15819" max="15819" width="10" style="9" customWidth="1"/>
    <col min="15820" max="15820" width="10.33203125" style="9" customWidth="1"/>
    <col min="15821" max="15825" width="9.1640625" style="9" customWidth="1"/>
    <col min="15826" max="15831" width="8.83203125" style="9"/>
    <col min="15832" max="15851" width="0" style="9" hidden="1" customWidth="1"/>
    <col min="15852" max="15854" width="9.1640625" style="9" customWidth="1"/>
    <col min="15855" max="16059" width="8.83203125" style="9"/>
    <col min="16060" max="16060" width="28.6640625" style="9" customWidth="1"/>
    <col min="16061" max="16061" width="9" style="9" bestFit="1" customWidth="1"/>
    <col min="16062" max="16062" width="5.33203125" style="9" customWidth="1"/>
    <col min="16063" max="16063" width="9" style="9" bestFit="1" customWidth="1"/>
    <col min="16064" max="16064" width="5.33203125" style="9" customWidth="1"/>
    <col min="16065" max="16065" width="9" style="9" bestFit="1" customWidth="1"/>
    <col min="16066" max="16066" width="5" style="9" customWidth="1"/>
    <col min="16067" max="16067" width="9" style="9" bestFit="1" customWidth="1"/>
    <col min="16068" max="16068" width="5.1640625" style="9" customWidth="1"/>
    <col min="16069" max="16069" width="8.83203125" style="9"/>
    <col min="16070" max="16070" width="6" style="9" customWidth="1"/>
    <col min="16071" max="16071" width="8.83203125" style="9"/>
    <col min="16072" max="16072" width="6" style="9" customWidth="1"/>
    <col min="16073" max="16074" width="10.1640625" style="9" customWidth="1"/>
    <col min="16075" max="16075" width="10" style="9" customWidth="1"/>
    <col min="16076" max="16076" width="10.33203125" style="9" customWidth="1"/>
    <col min="16077" max="16081" width="9.1640625" style="9" customWidth="1"/>
    <col min="16082" max="16087" width="8.83203125" style="9"/>
    <col min="16088" max="16107" width="0" style="9" hidden="1" customWidth="1"/>
    <col min="16108" max="16110" width="9.1640625" style="9" customWidth="1"/>
    <col min="16111" max="16384" width="8.83203125" style="9"/>
  </cols>
  <sheetData>
    <row r="2" spans="2:18" ht="20" customHeight="1">
      <c r="C2" s="52"/>
      <c r="D2" s="52"/>
      <c r="E2" s="52"/>
      <c r="F2" s="52"/>
      <c r="G2" s="52"/>
      <c r="H2" s="52"/>
      <c r="I2" s="52"/>
      <c r="J2" s="52"/>
      <c r="K2" s="51" t="s">
        <v>149</v>
      </c>
      <c r="L2" s="52"/>
      <c r="M2" s="52"/>
      <c r="N2" s="52"/>
      <c r="O2" s="51" t="s">
        <v>149</v>
      </c>
      <c r="P2" s="52"/>
      <c r="Q2" s="52"/>
      <c r="R2" s="52"/>
    </row>
    <row r="3" spans="2:18" ht="20" customHeight="1">
      <c r="B3" s="79" t="s">
        <v>248</v>
      </c>
      <c r="C3" s="86">
        <v>43101</v>
      </c>
      <c r="D3" s="86">
        <v>43132</v>
      </c>
      <c r="E3" s="86">
        <v>43160</v>
      </c>
      <c r="F3" s="86">
        <v>43191</v>
      </c>
      <c r="G3" s="86">
        <v>43221</v>
      </c>
      <c r="H3" s="86">
        <v>43252</v>
      </c>
      <c r="I3" s="86">
        <v>43282</v>
      </c>
      <c r="J3" s="86">
        <v>43313</v>
      </c>
      <c r="K3" s="86">
        <v>43344</v>
      </c>
      <c r="L3" s="86">
        <v>43374</v>
      </c>
      <c r="M3" s="86">
        <v>43405</v>
      </c>
      <c r="N3" s="86">
        <v>43435</v>
      </c>
      <c r="O3" s="86">
        <v>43466</v>
      </c>
      <c r="P3" s="86">
        <v>43497</v>
      </c>
      <c r="Q3" s="86">
        <v>43525</v>
      </c>
      <c r="R3" s="86">
        <v>43556</v>
      </c>
    </row>
    <row r="4" spans="2:18" ht="20" customHeight="1">
      <c r="B4" s="80"/>
      <c r="C4" s="87"/>
      <c r="D4" s="87"/>
      <c r="E4" s="87"/>
      <c r="F4" s="87"/>
      <c r="G4" s="87"/>
      <c r="H4" s="87"/>
      <c r="I4" s="87"/>
      <c r="J4" s="87"/>
      <c r="K4" s="87"/>
      <c r="L4" s="87"/>
      <c r="M4" s="87"/>
      <c r="N4" s="87"/>
      <c r="O4" s="87"/>
      <c r="P4" s="87"/>
      <c r="Q4" s="87"/>
      <c r="R4" s="87"/>
    </row>
    <row r="5" spans="2:18" ht="20" customHeight="1">
      <c r="B5" s="11"/>
      <c r="C5" s="12"/>
      <c r="D5" s="12"/>
      <c r="E5" s="12"/>
      <c r="F5" s="12"/>
      <c r="G5" s="12"/>
      <c r="H5" s="12"/>
      <c r="I5" s="12"/>
      <c r="J5" s="12"/>
      <c r="K5" s="12"/>
      <c r="L5" s="12"/>
      <c r="M5" s="12"/>
      <c r="N5" s="12"/>
      <c r="O5" s="12"/>
      <c r="P5" s="12"/>
      <c r="Q5" s="12"/>
      <c r="R5" s="12"/>
    </row>
    <row r="6" spans="2:18" ht="20" customHeight="1">
      <c r="B6" s="13" t="s">
        <v>30</v>
      </c>
      <c r="C6" s="14">
        <v>16</v>
      </c>
      <c r="D6" s="14">
        <v>10</v>
      </c>
      <c r="E6" s="14">
        <v>13</v>
      </c>
      <c r="F6" s="14">
        <v>8</v>
      </c>
      <c r="G6" s="14">
        <v>11</v>
      </c>
      <c r="H6" s="14">
        <v>10</v>
      </c>
      <c r="I6" s="14">
        <v>6</v>
      </c>
      <c r="J6" s="14">
        <v>9</v>
      </c>
      <c r="K6" s="14">
        <v>9</v>
      </c>
      <c r="L6" s="14">
        <v>10</v>
      </c>
      <c r="M6" s="14">
        <v>5</v>
      </c>
      <c r="N6" s="14">
        <v>7</v>
      </c>
      <c r="O6" s="14">
        <v>9</v>
      </c>
      <c r="P6" s="14">
        <v>5</v>
      </c>
      <c r="Q6" s="14">
        <v>3</v>
      </c>
      <c r="R6" s="14">
        <v>1</v>
      </c>
    </row>
    <row r="7" spans="2:18" ht="20" customHeight="1">
      <c r="B7" s="13" t="s">
        <v>31</v>
      </c>
      <c r="C7" s="14">
        <v>15</v>
      </c>
      <c r="D7" s="14">
        <v>6</v>
      </c>
      <c r="E7" s="14">
        <v>12</v>
      </c>
      <c r="F7" s="14">
        <v>15</v>
      </c>
      <c r="G7" s="14">
        <v>7</v>
      </c>
      <c r="H7" s="14">
        <v>7</v>
      </c>
      <c r="I7" s="14">
        <v>10</v>
      </c>
      <c r="J7" s="14">
        <v>14</v>
      </c>
      <c r="K7" s="14">
        <v>16</v>
      </c>
      <c r="L7" s="14">
        <v>12</v>
      </c>
      <c r="M7" s="14">
        <v>8</v>
      </c>
      <c r="N7" s="14">
        <v>13</v>
      </c>
      <c r="O7" s="14">
        <v>7</v>
      </c>
      <c r="P7" s="14">
        <v>13</v>
      </c>
      <c r="Q7" s="14">
        <v>14</v>
      </c>
      <c r="R7" s="14">
        <v>12</v>
      </c>
    </row>
    <row r="8" spans="2:18" ht="20" customHeight="1">
      <c r="B8" s="13" t="s">
        <v>32</v>
      </c>
      <c r="C8" s="14">
        <v>14</v>
      </c>
      <c r="D8" s="14">
        <v>5</v>
      </c>
      <c r="E8" s="14">
        <v>3</v>
      </c>
      <c r="F8" s="14">
        <v>14</v>
      </c>
      <c r="G8" s="14">
        <v>12</v>
      </c>
      <c r="H8" s="14">
        <v>2</v>
      </c>
      <c r="I8" s="14">
        <v>8</v>
      </c>
      <c r="J8" s="14">
        <v>12</v>
      </c>
      <c r="K8" s="14">
        <v>13</v>
      </c>
      <c r="L8" s="14">
        <v>8</v>
      </c>
      <c r="M8" s="14">
        <v>1</v>
      </c>
      <c r="N8" s="14">
        <v>11</v>
      </c>
      <c r="O8" s="14">
        <v>-2</v>
      </c>
      <c r="P8" s="14">
        <v>0</v>
      </c>
      <c r="Q8" s="14">
        <v>11</v>
      </c>
      <c r="R8" s="14">
        <v>-1</v>
      </c>
    </row>
    <row r="9" spans="2:18" ht="20" customHeight="1">
      <c r="B9" s="13" t="s">
        <v>33</v>
      </c>
      <c r="C9" s="14">
        <v>13</v>
      </c>
      <c r="D9" s="14">
        <v>8</v>
      </c>
      <c r="E9" s="14">
        <v>-2</v>
      </c>
      <c r="F9" s="14">
        <v>-1</v>
      </c>
      <c r="G9" s="14">
        <v>1</v>
      </c>
      <c r="H9" s="14">
        <v>0</v>
      </c>
      <c r="I9" s="14">
        <v>0</v>
      </c>
      <c r="J9" s="14">
        <v>15</v>
      </c>
      <c r="K9" s="14">
        <v>15</v>
      </c>
      <c r="L9" s="14">
        <v>9</v>
      </c>
      <c r="M9" s="14">
        <v>11</v>
      </c>
      <c r="N9" s="14">
        <v>3</v>
      </c>
      <c r="O9" s="14">
        <v>10</v>
      </c>
      <c r="P9" s="14">
        <v>0</v>
      </c>
      <c r="Q9" s="14">
        <v>0</v>
      </c>
      <c r="R9" s="14">
        <v>-2</v>
      </c>
    </row>
    <row r="10" spans="2:18" ht="20" customHeight="1">
      <c r="B10" s="13" t="s">
        <v>34</v>
      </c>
      <c r="C10" s="14">
        <v>12</v>
      </c>
      <c r="D10" s="14">
        <v>-4</v>
      </c>
      <c r="E10" s="14">
        <v>15</v>
      </c>
      <c r="F10" s="14">
        <v>13</v>
      </c>
      <c r="G10" s="14">
        <v>3</v>
      </c>
      <c r="H10" s="14">
        <v>13</v>
      </c>
      <c r="I10" s="14">
        <v>13</v>
      </c>
      <c r="J10" s="14">
        <v>11</v>
      </c>
      <c r="K10" s="14">
        <v>1</v>
      </c>
      <c r="L10" s="14">
        <v>0</v>
      </c>
      <c r="M10" s="14">
        <v>3</v>
      </c>
      <c r="N10" s="14">
        <v>-3</v>
      </c>
      <c r="O10" s="14">
        <v>-6</v>
      </c>
      <c r="P10" s="14">
        <v>9</v>
      </c>
      <c r="Q10" s="14">
        <v>16</v>
      </c>
      <c r="R10" s="14">
        <v>16</v>
      </c>
    </row>
    <row r="11" spans="2:18" ht="20" customHeight="1">
      <c r="B11" s="13" t="s">
        <v>35</v>
      </c>
      <c r="C11" s="14">
        <v>11</v>
      </c>
      <c r="D11" s="14">
        <v>11</v>
      </c>
      <c r="E11" s="14">
        <v>14</v>
      </c>
      <c r="F11" s="14">
        <v>1</v>
      </c>
      <c r="G11" s="14">
        <v>10</v>
      </c>
      <c r="H11" s="14">
        <v>1</v>
      </c>
      <c r="I11" s="14">
        <v>5</v>
      </c>
      <c r="J11" s="14">
        <v>-1</v>
      </c>
      <c r="K11" s="14">
        <v>-1</v>
      </c>
      <c r="L11" s="14">
        <v>-1</v>
      </c>
      <c r="M11" s="14">
        <v>-3</v>
      </c>
      <c r="N11" s="14">
        <v>-1</v>
      </c>
      <c r="O11" s="14">
        <v>1</v>
      </c>
      <c r="P11" s="14">
        <v>8</v>
      </c>
      <c r="Q11" s="14">
        <v>9</v>
      </c>
      <c r="R11" s="14">
        <v>2</v>
      </c>
    </row>
    <row r="12" spans="2:18" ht="20" customHeight="1">
      <c r="B12" s="13" t="s">
        <v>36</v>
      </c>
      <c r="C12" s="14">
        <v>10</v>
      </c>
      <c r="D12" s="14">
        <v>-1</v>
      </c>
      <c r="E12" s="14">
        <v>10</v>
      </c>
      <c r="F12" s="14">
        <v>12</v>
      </c>
      <c r="G12" s="14">
        <v>9</v>
      </c>
      <c r="H12" s="14">
        <v>15</v>
      </c>
      <c r="I12" s="14">
        <v>15</v>
      </c>
      <c r="J12" s="14">
        <v>10</v>
      </c>
      <c r="K12" s="14">
        <v>8</v>
      </c>
      <c r="L12" s="14">
        <v>1</v>
      </c>
      <c r="M12" s="14">
        <v>-2</v>
      </c>
      <c r="N12" s="14">
        <v>-2</v>
      </c>
      <c r="O12" s="14">
        <v>-4</v>
      </c>
      <c r="P12" s="14">
        <v>-1</v>
      </c>
      <c r="Q12" s="14">
        <v>-1</v>
      </c>
      <c r="R12" s="14">
        <v>6</v>
      </c>
    </row>
    <row r="13" spans="2:18" ht="20" customHeight="1">
      <c r="B13" s="13" t="s">
        <v>37</v>
      </c>
      <c r="C13" s="14">
        <v>9</v>
      </c>
      <c r="D13" s="14">
        <v>4</v>
      </c>
      <c r="E13" s="14">
        <v>11</v>
      </c>
      <c r="F13" s="14">
        <v>10</v>
      </c>
      <c r="G13" s="14">
        <v>6</v>
      </c>
      <c r="H13" s="14">
        <v>6</v>
      </c>
      <c r="I13" s="14">
        <v>2</v>
      </c>
      <c r="J13" s="14">
        <v>13</v>
      </c>
      <c r="K13" s="14">
        <v>5</v>
      </c>
      <c r="L13" s="14">
        <v>5</v>
      </c>
      <c r="M13" s="14">
        <v>0</v>
      </c>
      <c r="N13" s="14">
        <v>1</v>
      </c>
      <c r="O13" s="14">
        <v>-3</v>
      </c>
      <c r="P13" s="14">
        <v>3</v>
      </c>
      <c r="Q13" s="14">
        <v>5</v>
      </c>
      <c r="R13" s="14">
        <v>13</v>
      </c>
    </row>
    <row r="14" spans="2:18" ht="20" customHeight="1">
      <c r="B14" s="13" t="s">
        <v>38</v>
      </c>
      <c r="C14" s="14">
        <v>8</v>
      </c>
      <c r="D14" s="14">
        <v>12</v>
      </c>
      <c r="E14" s="14">
        <v>9</v>
      </c>
      <c r="F14" s="14">
        <v>16</v>
      </c>
      <c r="G14" s="14">
        <v>4</v>
      </c>
      <c r="H14" s="14">
        <v>5</v>
      </c>
      <c r="I14" s="14">
        <v>1</v>
      </c>
      <c r="J14" s="14">
        <v>8</v>
      </c>
      <c r="K14" s="14">
        <v>4</v>
      </c>
      <c r="L14" s="14">
        <v>13</v>
      </c>
      <c r="M14" s="14">
        <v>10</v>
      </c>
      <c r="N14" s="14">
        <v>12</v>
      </c>
      <c r="O14" s="14">
        <v>-1</v>
      </c>
      <c r="P14" s="14">
        <v>12</v>
      </c>
      <c r="Q14" s="14">
        <v>1</v>
      </c>
      <c r="R14" s="14">
        <v>8</v>
      </c>
    </row>
    <row r="15" spans="2:18" ht="20" customHeight="1">
      <c r="B15" s="13" t="s">
        <v>39</v>
      </c>
      <c r="C15" s="14">
        <v>7</v>
      </c>
      <c r="D15" s="14">
        <v>2</v>
      </c>
      <c r="E15" s="14">
        <v>4</v>
      </c>
      <c r="F15" s="14">
        <v>3</v>
      </c>
      <c r="G15" s="14">
        <v>2</v>
      </c>
      <c r="H15" s="14">
        <v>4</v>
      </c>
      <c r="I15" s="14">
        <v>4</v>
      </c>
      <c r="J15" s="14">
        <v>7</v>
      </c>
      <c r="K15" s="14">
        <v>12</v>
      </c>
      <c r="L15" s="14">
        <v>14</v>
      </c>
      <c r="M15" s="14">
        <v>6</v>
      </c>
      <c r="N15" s="14">
        <v>8</v>
      </c>
      <c r="O15" s="14">
        <v>3</v>
      </c>
      <c r="P15" s="14">
        <v>11</v>
      </c>
      <c r="Q15" s="14">
        <v>6</v>
      </c>
      <c r="R15" s="14">
        <v>4</v>
      </c>
    </row>
    <row r="16" spans="2:18" ht="20" customHeight="1">
      <c r="B16" s="13" t="s">
        <v>40</v>
      </c>
      <c r="C16" s="14">
        <v>6</v>
      </c>
      <c r="D16" s="14">
        <v>1</v>
      </c>
      <c r="E16" s="14">
        <v>1</v>
      </c>
      <c r="F16" s="14">
        <v>2</v>
      </c>
      <c r="G16" s="14">
        <v>5</v>
      </c>
      <c r="H16" s="14">
        <v>8</v>
      </c>
      <c r="I16" s="14">
        <v>9</v>
      </c>
      <c r="J16" s="14">
        <v>5</v>
      </c>
      <c r="K16" s="14">
        <v>6</v>
      </c>
      <c r="L16" s="14">
        <v>11</v>
      </c>
      <c r="M16" s="14">
        <v>9</v>
      </c>
      <c r="N16" s="14">
        <v>4</v>
      </c>
      <c r="O16" s="14">
        <v>4</v>
      </c>
      <c r="P16" s="14">
        <v>2</v>
      </c>
      <c r="Q16" s="14">
        <v>7</v>
      </c>
      <c r="R16" s="14">
        <v>14</v>
      </c>
    </row>
    <row r="17" spans="2:18" ht="20" customHeight="1">
      <c r="B17" s="13" t="s">
        <v>41</v>
      </c>
      <c r="C17" s="14">
        <v>5</v>
      </c>
      <c r="D17" s="14">
        <v>-2</v>
      </c>
      <c r="E17" s="14">
        <v>-1</v>
      </c>
      <c r="F17" s="14">
        <v>4</v>
      </c>
      <c r="G17" s="14">
        <v>13</v>
      </c>
      <c r="H17" s="14">
        <v>11</v>
      </c>
      <c r="I17" s="14">
        <v>-6</v>
      </c>
      <c r="J17" s="14">
        <v>4</v>
      </c>
      <c r="K17" s="14">
        <v>10</v>
      </c>
      <c r="L17" s="14">
        <v>3</v>
      </c>
      <c r="M17" s="14">
        <v>7</v>
      </c>
      <c r="N17" s="14">
        <v>2</v>
      </c>
      <c r="O17" s="14">
        <v>0</v>
      </c>
      <c r="P17" s="14">
        <v>10</v>
      </c>
      <c r="Q17" s="14">
        <v>2</v>
      </c>
      <c r="R17" s="14">
        <v>10</v>
      </c>
    </row>
    <row r="18" spans="2:18" ht="20" customHeight="1">
      <c r="B18" s="13" t="s">
        <v>42</v>
      </c>
      <c r="C18" s="14">
        <v>4</v>
      </c>
      <c r="D18" s="14">
        <v>9</v>
      </c>
      <c r="E18" s="14">
        <v>6</v>
      </c>
      <c r="F18" s="14">
        <v>11</v>
      </c>
      <c r="G18" s="14">
        <v>14</v>
      </c>
      <c r="H18" s="14">
        <v>3</v>
      </c>
      <c r="I18" s="14">
        <v>7</v>
      </c>
      <c r="J18" s="14">
        <v>1</v>
      </c>
      <c r="K18" s="14">
        <v>7</v>
      </c>
      <c r="L18" s="14">
        <v>4</v>
      </c>
      <c r="M18" s="14">
        <v>4</v>
      </c>
      <c r="N18" s="14">
        <v>6</v>
      </c>
      <c r="O18" s="14">
        <v>8</v>
      </c>
      <c r="P18" s="14">
        <v>6</v>
      </c>
      <c r="Q18" s="14">
        <v>4</v>
      </c>
      <c r="R18" s="14">
        <v>5</v>
      </c>
    </row>
    <row r="19" spans="2:18" ht="20" customHeight="1">
      <c r="B19" s="13" t="s">
        <v>43</v>
      </c>
      <c r="C19" s="14">
        <v>3</v>
      </c>
      <c r="D19" s="14">
        <v>7</v>
      </c>
      <c r="E19" s="14">
        <v>7</v>
      </c>
      <c r="F19" s="14">
        <v>7</v>
      </c>
      <c r="G19" s="14">
        <v>8</v>
      </c>
      <c r="H19" s="14">
        <v>9</v>
      </c>
      <c r="I19" s="14">
        <v>3</v>
      </c>
      <c r="J19" s="14">
        <v>3</v>
      </c>
      <c r="K19" s="14">
        <v>2</v>
      </c>
      <c r="L19" s="14">
        <v>6</v>
      </c>
      <c r="M19" s="14">
        <v>2</v>
      </c>
      <c r="N19" s="14">
        <v>5</v>
      </c>
      <c r="O19" s="14">
        <v>5</v>
      </c>
      <c r="P19" s="14">
        <v>7</v>
      </c>
      <c r="Q19" s="14">
        <v>8</v>
      </c>
      <c r="R19" s="14">
        <v>9</v>
      </c>
    </row>
    <row r="20" spans="2:18" ht="20" customHeight="1">
      <c r="B20" s="13" t="s">
        <v>44</v>
      </c>
      <c r="C20" s="14">
        <v>2</v>
      </c>
      <c r="D20" s="14">
        <v>13</v>
      </c>
      <c r="E20" s="14">
        <v>8</v>
      </c>
      <c r="F20" s="14">
        <v>17</v>
      </c>
      <c r="G20" s="14">
        <v>15</v>
      </c>
      <c r="H20" s="14">
        <v>12</v>
      </c>
      <c r="I20" s="14">
        <v>11</v>
      </c>
      <c r="J20" s="14">
        <v>6</v>
      </c>
      <c r="K20" s="14">
        <v>3</v>
      </c>
      <c r="L20" s="14">
        <v>2</v>
      </c>
      <c r="M20" s="14">
        <v>-1</v>
      </c>
      <c r="N20" s="14">
        <v>0</v>
      </c>
      <c r="O20" s="14">
        <v>-5</v>
      </c>
      <c r="P20" s="14">
        <v>4</v>
      </c>
      <c r="Q20" s="14">
        <v>12</v>
      </c>
      <c r="R20" s="14">
        <v>3</v>
      </c>
    </row>
    <row r="21" spans="2:18" ht="20" customHeight="1">
      <c r="B21" s="13" t="s">
        <v>45</v>
      </c>
      <c r="C21" s="14">
        <v>1</v>
      </c>
      <c r="D21" s="14">
        <v>3</v>
      </c>
      <c r="E21" s="14">
        <v>2</v>
      </c>
      <c r="F21" s="14">
        <v>5</v>
      </c>
      <c r="G21" s="14">
        <v>16</v>
      </c>
      <c r="H21" s="14">
        <v>14</v>
      </c>
      <c r="I21" s="14">
        <v>12</v>
      </c>
      <c r="J21" s="14">
        <v>16</v>
      </c>
      <c r="K21" s="14">
        <v>11</v>
      </c>
      <c r="L21" s="14">
        <v>7</v>
      </c>
      <c r="M21" s="14">
        <v>12</v>
      </c>
      <c r="N21" s="14">
        <v>9</v>
      </c>
      <c r="O21" s="14">
        <v>2</v>
      </c>
      <c r="P21" s="14">
        <v>1</v>
      </c>
      <c r="Q21" s="14">
        <v>13</v>
      </c>
      <c r="R21" s="14">
        <v>11</v>
      </c>
    </row>
    <row r="22" spans="2:18" ht="20" customHeight="1">
      <c r="B22" s="13" t="s">
        <v>28</v>
      </c>
      <c r="C22" s="14">
        <v>-1</v>
      </c>
      <c r="D22" s="14">
        <v>14</v>
      </c>
      <c r="E22" s="14">
        <v>5</v>
      </c>
      <c r="F22" s="14">
        <v>6</v>
      </c>
      <c r="G22" s="14">
        <v>0</v>
      </c>
      <c r="H22" s="14">
        <v>16</v>
      </c>
      <c r="I22" s="14">
        <v>17</v>
      </c>
      <c r="J22" s="14">
        <v>17</v>
      </c>
      <c r="K22" s="14">
        <v>14</v>
      </c>
      <c r="L22" s="14">
        <v>15</v>
      </c>
      <c r="M22" s="14">
        <v>13</v>
      </c>
      <c r="N22" s="14">
        <v>10</v>
      </c>
      <c r="O22" s="14">
        <v>11</v>
      </c>
      <c r="P22" s="14">
        <v>14</v>
      </c>
      <c r="Q22" s="14">
        <v>15</v>
      </c>
      <c r="R22" s="14">
        <v>15</v>
      </c>
    </row>
    <row r="23" spans="2:18" ht="20" customHeight="1">
      <c r="B23" s="15" t="s">
        <v>29</v>
      </c>
      <c r="C23" s="14">
        <v>-1</v>
      </c>
      <c r="D23" s="14">
        <v>-3</v>
      </c>
      <c r="E23" s="14">
        <v>0</v>
      </c>
      <c r="F23" s="14">
        <v>9</v>
      </c>
      <c r="G23" s="14">
        <v>17</v>
      </c>
      <c r="H23" s="14">
        <v>0</v>
      </c>
      <c r="I23" s="14">
        <v>16</v>
      </c>
      <c r="J23" s="14">
        <v>2</v>
      </c>
      <c r="K23" s="14">
        <v>-2</v>
      </c>
      <c r="L23" s="14">
        <v>0</v>
      </c>
      <c r="M23" s="14">
        <v>-4</v>
      </c>
      <c r="N23" s="14">
        <v>0</v>
      </c>
      <c r="O23" s="14">
        <v>6</v>
      </c>
      <c r="P23" s="14">
        <v>6</v>
      </c>
      <c r="Q23" s="14">
        <v>10</v>
      </c>
      <c r="R23" s="14">
        <v>7</v>
      </c>
    </row>
    <row r="26" spans="2:18" ht="20" customHeight="1">
      <c r="B26" s="79" t="s">
        <v>46</v>
      </c>
      <c r="C26" s="86">
        <v>43101</v>
      </c>
      <c r="D26" s="86">
        <v>43132</v>
      </c>
      <c r="E26" s="86">
        <v>43160</v>
      </c>
      <c r="F26" s="86">
        <v>43191</v>
      </c>
      <c r="G26" s="86">
        <v>43221</v>
      </c>
      <c r="H26" s="86">
        <v>43252</v>
      </c>
      <c r="I26" s="86">
        <v>43282</v>
      </c>
      <c r="J26" s="86">
        <v>43313</v>
      </c>
      <c r="K26" s="86">
        <v>43344</v>
      </c>
      <c r="L26" s="86">
        <v>43374</v>
      </c>
      <c r="M26" s="86">
        <v>43405</v>
      </c>
      <c r="N26" s="86">
        <v>43435</v>
      </c>
      <c r="O26" s="86">
        <v>43466</v>
      </c>
      <c r="P26" s="86">
        <v>43497</v>
      </c>
      <c r="Q26" s="86">
        <v>43525</v>
      </c>
      <c r="R26" s="86">
        <v>43556</v>
      </c>
    </row>
    <row r="27" spans="2:18" ht="20" customHeight="1">
      <c r="B27" s="80"/>
      <c r="C27" s="87"/>
      <c r="D27" s="87"/>
      <c r="E27" s="87"/>
      <c r="F27" s="87"/>
      <c r="G27" s="87"/>
      <c r="H27" s="87"/>
      <c r="I27" s="87"/>
      <c r="J27" s="87"/>
      <c r="K27" s="87"/>
      <c r="L27" s="87"/>
      <c r="M27" s="87"/>
      <c r="N27" s="87"/>
      <c r="O27" s="87"/>
      <c r="P27" s="87"/>
      <c r="Q27" s="87"/>
      <c r="R27" s="87"/>
    </row>
    <row r="28" spans="2:18" ht="20" customHeight="1">
      <c r="B28" s="11"/>
      <c r="C28" s="12"/>
      <c r="D28" s="12"/>
      <c r="E28" s="12"/>
      <c r="F28" s="12"/>
      <c r="G28" s="12"/>
      <c r="H28" s="12"/>
      <c r="I28" s="12"/>
      <c r="J28" s="12"/>
      <c r="K28" s="12"/>
      <c r="L28" s="12"/>
      <c r="M28" s="12"/>
      <c r="N28" s="12"/>
      <c r="O28" s="12"/>
      <c r="P28" s="12"/>
      <c r="Q28" s="12"/>
      <c r="R28" s="12"/>
    </row>
    <row r="29" spans="2:18" ht="20" customHeight="1">
      <c r="B29" s="13" t="s">
        <v>30</v>
      </c>
      <c r="C29" s="14">
        <v>15</v>
      </c>
      <c r="D29" s="14">
        <v>10</v>
      </c>
      <c r="E29" s="14">
        <v>6</v>
      </c>
      <c r="F29" s="14">
        <v>1</v>
      </c>
      <c r="G29" s="14">
        <v>1</v>
      </c>
      <c r="H29" s="14">
        <v>6</v>
      </c>
      <c r="I29" s="14">
        <v>4</v>
      </c>
      <c r="J29" s="14">
        <v>10</v>
      </c>
      <c r="K29" s="14">
        <v>3</v>
      </c>
      <c r="L29" s="14">
        <v>5</v>
      </c>
      <c r="M29" s="14">
        <v>6</v>
      </c>
      <c r="N29" s="14">
        <v>4</v>
      </c>
      <c r="O29" s="14">
        <v>6</v>
      </c>
      <c r="P29" s="14">
        <v>-1</v>
      </c>
      <c r="Q29" s="14">
        <v>1</v>
      </c>
      <c r="R29" s="14">
        <v>2</v>
      </c>
    </row>
    <row r="30" spans="2:18" ht="20" customHeight="1">
      <c r="B30" s="13" t="s">
        <v>31</v>
      </c>
      <c r="C30" s="14">
        <v>12</v>
      </c>
      <c r="D30" s="14">
        <v>8</v>
      </c>
      <c r="E30" s="14">
        <v>10</v>
      </c>
      <c r="F30" s="14">
        <v>13</v>
      </c>
      <c r="G30" s="14">
        <v>8</v>
      </c>
      <c r="H30" s="14">
        <v>14</v>
      </c>
      <c r="I30" s="14">
        <v>9</v>
      </c>
      <c r="J30" s="14">
        <v>12</v>
      </c>
      <c r="K30" s="14">
        <v>12</v>
      </c>
      <c r="L30" s="14">
        <v>9</v>
      </c>
      <c r="M30" s="14">
        <v>2</v>
      </c>
      <c r="N30" s="14">
        <v>10</v>
      </c>
      <c r="O30" s="14">
        <v>2</v>
      </c>
      <c r="P30" s="14">
        <v>4</v>
      </c>
      <c r="Q30" s="14">
        <v>12</v>
      </c>
      <c r="R30" s="14">
        <v>7</v>
      </c>
    </row>
    <row r="31" spans="2:18" ht="20" customHeight="1">
      <c r="B31" s="13" t="s">
        <v>32</v>
      </c>
      <c r="C31" s="14">
        <v>8</v>
      </c>
      <c r="D31" s="14">
        <v>3</v>
      </c>
      <c r="E31" s="14">
        <v>14</v>
      </c>
      <c r="F31" s="14">
        <v>12</v>
      </c>
      <c r="G31" s="14">
        <v>10</v>
      </c>
      <c r="H31" s="14">
        <v>0</v>
      </c>
      <c r="I31" s="14">
        <v>1</v>
      </c>
      <c r="J31" s="14">
        <v>6</v>
      </c>
      <c r="K31" s="14">
        <v>11</v>
      </c>
      <c r="L31" s="14">
        <v>6</v>
      </c>
      <c r="M31" s="14">
        <v>-1</v>
      </c>
      <c r="N31" s="14">
        <v>6</v>
      </c>
      <c r="O31" s="14">
        <v>0</v>
      </c>
      <c r="P31" s="14">
        <v>0</v>
      </c>
      <c r="Q31" s="14">
        <v>4</v>
      </c>
      <c r="R31" s="14">
        <v>-1</v>
      </c>
    </row>
    <row r="32" spans="2:18" ht="20" customHeight="1">
      <c r="B32" s="13" t="s">
        <v>33</v>
      </c>
      <c r="C32" s="14">
        <v>14</v>
      </c>
      <c r="D32" s="14">
        <v>11</v>
      </c>
      <c r="E32" s="14">
        <v>-1</v>
      </c>
      <c r="F32" s="14">
        <v>-1</v>
      </c>
      <c r="G32" s="14">
        <v>-1</v>
      </c>
      <c r="H32" s="14">
        <v>-1</v>
      </c>
      <c r="I32" s="14">
        <v>0</v>
      </c>
      <c r="J32" s="14">
        <v>15</v>
      </c>
      <c r="K32" s="14">
        <v>0</v>
      </c>
      <c r="L32" s="14">
        <v>0</v>
      </c>
      <c r="M32" s="14">
        <v>10</v>
      </c>
      <c r="N32" s="14">
        <v>0</v>
      </c>
      <c r="O32" s="14">
        <v>0</v>
      </c>
      <c r="P32" s="14">
        <v>11</v>
      </c>
      <c r="Q32" s="14">
        <v>0</v>
      </c>
      <c r="R32" s="14">
        <v>-2</v>
      </c>
    </row>
    <row r="33" spans="2:18" ht="20" customHeight="1">
      <c r="B33" s="13" t="s">
        <v>34</v>
      </c>
      <c r="C33" s="14">
        <v>9</v>
      </c>
      <c r="D33" s="14">
        <v>-2</v>
      </c>
      <c r="E33" s="14">
        <v>13</v>
      </c>
      <c r="F33" s="14">
        <v>8</v>
      </c>
      <c r="G33" s="14">
        <v>0</v>
      </c>
      <c r="H33" s="14">
        <v>8</v>
      </c>
      <c r="I33" s="14">
        <v>13</v>
      </c>
      <c r="J33" s="14">
        <v>16</v>
      </c>
      <c r="K33" s="14">
        <v>0</v>
      </c>
      <c r="L33" s="14">
        <v>8</v>
      </c>
      <c r="M33" s="14">
        <v>7</v>
      </c>
      <c r="N33" s="14">
        <v>-3</v>
      </c>
      <c r="O33" s="14">
        <v>0</v>
      </c>
      <c r="P33" s="14">
        <v>10</v>
      </c>
      <c r="Q33" s="14">
        <v>11</v>
      </c>
      <c r="R33" s="14">
        <v>13</v>
      </c>
    </row>
    <row r="34" spans="2:18" ht="20" customHeight="1">
      <c r="B34" s="13" t="s">
        <v>35</v>
      </c>
      <c r="C34" s="14">
        <v>13</v>
      </c>
      <c r="D34" s="14">
        <v>9</v>
      </c>
      <c r="E34" s="14">
        <v>12</v>
      </c>
      <c r="F34" s="14">
        <v>6</v>
      </c>
      <c r="G34" s="14">
        <v>11</v>
      </c>
      <c r="H34" s="14">
        <v>1</v>
      </c>
      <c r="I34" s="14">
        <v>3</v>
      </c>
      <c r="J34" s="14">
        <v>4</v>
      </c>
      <c r="K34" s="14">
        <v>-1</v>
      </c>
      <c r="L34" s="14">
        <v>-2</v>
      </c>
      <c r="M34" s="14">
        <v>-3</v>
      </c>
      <c r="N34" s="14">
        <v>0</v>
      </c>
      <c r="O34" s="14">
        <v>4</v>
      </c>
      <c r="P34" s="14">
        <v>7</v>
      </c>
      <c r="Q34" s="14">
        <v>9</v>
      </c>
      <c r="R34" s="14">
        <v>9</v>
      </c>
    </row>
    <row r="35" spans="2:18" ht="20" customHeight="1">
      <c r="B35" s="13" t="s">
        <v>36</v>
      </c>
      <c r="C35" s="14">
        <v>4</v>
      </c>
      <c r="D35" s="14">
        <v>-3</v>
      </c>
      <c r="E35" s="14">
        <v>7</v>
      </c>
      <c r="F35" s="14">
        <v>14</v>
      </c>
      <c r="G35" s="14">
        <v>13</v>
      </c>
      <c r="H35" s="14">
        <v>15</v>
      </c>
      <c r="I35" s="14">
        <v>11</v>
      </c>
      <c r="J35" s="14">
        <v>0</v>
      </c>
      <c r="K35" s="14">
        <v>10</v>
      </c>
      <c r="L35" s="14">
        <v>-3</v>
      </c>
      <c r="M35" s="14">
        <v>-4</v>
      </c>
      <c r="N35" s="14">
        <v>-4</v>
      </c>
      <c r="O35" s="14">
        <v>-2</v>
      </c>
      <c r="P35" s="14">
        <v>0</v>
      </c>
      <c r="Q35" s="14">
        <v>-1</v>
      </c>
      <c r="R35" s="14">
        <v>0</v>
      </c>
    </row>
    <row r="36" spans="2:18" ht="20" customHeight="1">
      <c r="B36" s="13" t="s">
        <v>37</v>
      </c>
      <c r="C36" s="14">
        <v>1</v>
      </c>
      <c r="D36" s="14">
        <v>-1</v>
      </c>
      <c r="E36" s="14">
        <v>3</v>
      </c>
      <c r="F36" s="14">
        <v>3</v>
      </c>
      <c r="G36" s="14">
        <v>6</v>
      </c>
      <c r="H36" s="14">
        <v>3</v>
      </c>
      <c r="I36" s="14">
        <v>0</v>
      </c>
      <c r="J36" s="14">
        <v>8</v>
      </c>
      <c r="K36" s="14">
        <v>2</v>
      </c>
      <c r="L36" s="14">
        <v>0</v>
      </c>
      <c r="M36" s="14">
        <v>-5</v>
      </c>
      <c r="N36" s="14">
        <v>-2</v>
      </c>
      <c r="O36" s="14">
        <v>-5</v>
      </c>
      <c r="P36" s="14">
        <v>5</v>
      </c>
      <c r="Q36" s="14">
        <v>0</v>
      </c>
      <c r="R36" s="14">
        <v>11</v>
      </c>
    </row>
    <row r="37" spans="2:18" ht="20" customHeight="1">
      <c r="B37" s="13" t="s">
        <v>38</v>
      </c>
      <c r="C37" s="14">
        <v>11</v>
      </c>
      <c r="D37" s="14">
        <v>6</v>
      </c>
      <c r="E37" s="14">
        <v>5</v>
      </c>
      <c r="F37" s="14">
        <v>10</v>
      </c>
      <c r="G37" s="14">
        <v>14</v>
      </c>
      <c r="H37" s="14">
        <v>2</v>
      </c>
      <c r="I37" s="14">
        <v>10</v>
      </c>
      <c r="J37" s="14">
        <v>14</v>
      </c>
      <c r="K37" s="14">
        <v>1</v>
      </c>
      <c r="L37" s="14">
        <v>10</v>
      </c>
      <c r="M37" s="14">
        <v>11</v>
      </c>
      <c r="N37" s="14">
        <v>8</v>
      </c>
      <c r="O37" s="14">
        <v>-1</v>
      </c>
      <c r="P37" s="14">
        <v>8</v>
      </c>
      <c r="Q37" s="14">
        <v>7</v>
      </c>
      <c r="R37" s="14">
        <v>6</v>
      </c>
    </row>
    <row r="38" spans="2:18" ht="20" customHeight="1">
      <c r="B38" s="13" t="s">
        <v>39</v>
      </c>
      <c r="C38" s="14">
        <v>10</v>
      </c>
      <c r="D38" s="14">
        <v>5</v>
      </c>
      <c r="E38" s="14">
        <v>4</v>
      </c>
      <c r="F38" s="14">
        <v>5</v>
      </c>
      <c r="G38" s="14">
        <v>3</v>
      </c>
      <c r="H38" s="14">
        <v>10</v>
      </c>
      <c r="I38" s="14">
        <v>2</v>
      </c>
      <c r="J38" s="14">
        <v>2</v>
      </c>
      <c r="K38" s="14">
        <v>5</v>
      </c>
      <c r="L38" s="14">
        <v>11</v>
      </c>
      <c r="M38" s="14">
        <v>5</v>
      </c>
      <c r="N38" s="14">
        <v>9</v>
      </c>
      <c r="O38" s="14">
        <v>0</v>
      </c>
      <c r="P38" s="14">
        <v>9</v>
      </c>
      <c r="Q38" s="14">
        <v>5</v>
      </c>
      <c r="R38" s="14">
        <v>1</v>
      </c>
    </row>
    <row r="39" spans="2:18" ht="20" customHeight="1">
      <c r="B39" s="13" t="s">
        <v>40</v>
      </c>
      <c r="C39" s="14">
        <v>6</v>
      </c>
      <c r="D39" s="14">
        <v>2</v>
      </c>
      <c r="E39" s="14">
        <v>1</v>
      </c>
      <c r="F39" s="14">
        <v>4</v>
      </c>
      <c r="G39" s="14">
        <v>2</v>
      </c>
      <c r="H39" s="14">
        <v>4</v>
      </c>
      <c r="I39" s="14">
        <v>7</v>
      </c>
      <c r="J39" s="14">
        <v>1</v>
      </c>
      <c r="K39" s="14">
        <v>9</v>
      </c>
      <c r="L39" s="14">
        <v>3</v>
      </c>
      <c r="M39" s="14">
        <v>4</v>
      </c>
      <c r="N39" s="14">
        <v>1</v>
      </c>
      <c r="O39" s="14">
        <v>3</v>
      </c>
      <c r="P39" s="14">
        <v>1</v>
      </c>
      <c r="Q39" s="14">
        <v>3</v>
      </c>
      <c r="R39" s="14">
        <v>12</v>
      </c>
    </row>
    <row r="40" spans="2:18" ht="20" customHeight="1">
      <c r="B40" s="13" t="s">
        <v>41</v>
      </c>
      <c r="C40" s="14">
        <v>0</v>
      </c>
      <c r="D40" s="14">
        <v>-4</v>
      </c>
      <c r="E40" s="14">
        <v>0</v>
      </c>
      <c r="F40" s="14">
        <v>0</v>
      </c>
      <c r="G40" s="14">
        <v>15</v>
      </c>
      <c r="H40" s="14">
        <v>11</v>
      </c>
      <c r="I40" s="14">
        <v>15</v>
      </c>
      <c r="J40" s="14">
        <v>9</v>
      </c>
      <c r="K40" s="14">
        <v>0</v>
      </c>
      <c r="L40" s="14">
        <v>2</v>
      </c>
      <c r="M40" s="14">
        <v>0</v>
      </c>
      <c r="N40" s="14">
        <v>11</v>
      </c>
      <c r="O40" s="14">
        <v>0</v>
      </c>
      <c r="P40" s="14">
        <v>0</v>
      </c>
      <c r="Q40" s="14">
        <v>8</v>
      </c>
      <c r="R40" s="14">
        <v>0</v>
      </c>
    </row>
    <row r="41" spans="2:18" ht="20" customHeight="1">
      <c r="B41" s="13" t="s">
        <v>42</v>
      </c>
      <c r="C41" s="14">
        <v>2</v>
      </c>
      <c r="D41" s="14">
        <v>7</v>
      </c>
      <c r="E41" s="14">
        <v>8</v>
      </c>
      <c r="F41" s="14">
        <v>11</v>
      </c>
      <c r="G41" s="14">
        <v>12</v>
      </c>
      <c r="H41" s="14">
        <v>5</v>
      </c>
      <c r="I41" s="14">
        <v>12</v>
      </c>
      <c r="J41" s="14">
        <v>3</v>
      </c>
      <c r="K41" s="14">
        <v>8</v>
      </c>
      <c r="L41" s="14">
        <v>1</v>
      </c>
      <c r="M41" s="14">
        <v>3</v>
      </c>
      <c r="N41" s="14">
        <v>2</v>
      </c>
      <c r="O41" s="14">
        <v>1</v>
      </c>
      <c r="P41" s="14">
        <v>0</v>
      </c>
      <c r="Q41" s="14">
        <v>0</v>
      </c>
      <c r="R41" s="14">
        <v>5</v>
      </c>
    </row>
    <row r="42" spans="2:18" ht="20" customHeight="1">
      <c r="B42" s="13" t="s">
        <v>43</v>
      </c>
      <c r="C42" s="14">
        <v>5</v>
      </c>
      <c r="D42" s="14">
        <v>4</v>
      </c>
      <c r="E42" s="14">
        <v>11</v>
      </c>
      <c r="F42" s="14">
        <v>9</v>
      </c>
      <c r="G42" s="14">
        <v>4</v>
      </c>
      <c r="H42" s="14">
        <v>7</v>
      </c>
      <c r="I42" s="14">
        <v>6</v>
      </c>
      <c r="J42" s="14">
        <v>7</v>
      </c>
      <c r="K42" s="14">
        <v>7</v>
      </c>
      <c r="L42" s="14">
        <v>7</v>
      </c>
      <c r="M42" s="14">
        <v>1</v>
      </c>
      <c r="N42" s="14">
        <v>3</v>
      </c>
      <c r="O42" s="14">
        <v>0</v>
      </c>
      <c r="P42" s="14">
        <v>3</v>
      </c>
      <c r="Q42" s="14">
        <v>6</v>
      </c>
      <c r="R42" s="14">
        <v>8</v>
      </c>
    </row>
    <row r="43" spans="2:18" ht="20" customHeight="1">
      <c r="B43" s="13" t="s">
        <v>44</v>
      </c>
      <c r="C43" s="14">
        <v>7</v>
      </c>
      <c r="D43" s="14">
        <v>12</v>
      </c>
      <c r="E43" s="14">
        <v>9</v>
      </c>
      <c r="F43" s="14">
        <v>7</v>
      </c>
      <c r="G43" s="14">
        <v>7</v>
      </c>
      <c r="H43" s="14">
        <v>13</v>
      </c>
      <c r="I43" s="14">
        <v>8</v>
      </c>
      <c r="J43" s="14">
        <v>5</v>
      </c>
      <c r="K43" s="14">
        <v>6</v>
      </c>
      <c r="L43" s="14">
        <v>-1</v>
      </c>
      <c r="M43" s="14">
        <v>-2</v>
      </c>
      <c r="N43" s="14">
        <v>-1</v>
      </c>
      <c r="O43" s="14">
        <v>-3</v>
      </c>
      <c r="P43" s="14">
        <v>2</v>
      </c>
      <c r="Q43" s="14">
        <v>10</v>
      </c>
      <c r="R43" s="14">
        <v>4</v>
      </c>
    </row>
    <row r="44" spans="2:18" ht="20" customHeight="1">
      <c r="B44" s="13" t="s">
        <v>45</v>
      </c>
      <c r="C44" s="14">
        <v>3</v>
      </c>
      <c r="D44" s="14">
        <v>1</v>
      </c>
      <c r="E44" s="14">
        <v>2</v>
      </c>
      <c r="F44" s="14">
        <v>2</v>
      </c>
      <c r="G44" s="14">
        <v>9</v>
      </c>
      <c r="H44" s="14">
        <v>12</v>
      </c>
      <c r="I44" s="14">
        <v>5</v>
      </c>
      <c r="J44" s="14">
        <v>13</v>
      </c>
      <c r="K44" s="14">
        <v>4</v>
      </c>
      <c r="L44" s="14">
        <v>4</v>
      </c>
      <c r="M44" s="14">
        <v>9</v>
      </c>
      <c r="N44" s="14">
        <v>7</v>
      </c>
      <c r="O44" s="14">
        <v>5</v>
      </c>
      <c r="P44" s="14">
        <v>6</v>
      </c>
      <c r="Q44" s="14">
        <v>2</v>
      </c>
      <c r="R44" s="14">
        <v>3</v>
      </c>
    </row>
    <row r="45" spans="2:18" ht="20" customHeight="1">
      <c r="B45" s="13" t="s">
        <v>28</v>
      </c>
      <c r="C45" s="14">
        <v>0</v>
      </c>
      <c r="D45" s="14">
        <v>13</v>
      </c>
      <c r="E45" s="14">
        <v>15</v>
      </c>
      <c r="F45" s="14">
        <v>0</v>
      </c>
      <c r="G45" s="14">
        <v>5</v>
      </c>
      <c r="H45" s="14">
        <v>9</v>
      </c>
      <c r="I45" s="14">
        <v>16</v>
      </c>
      <c r="J45" s="14">
        <v>11</v>
      </c>
      <c r="K45" s="14">
        <v>13</v>
      </c>
      <c r="L45" s="14">
        <v>12</v>
      </c>
      <c r="M45" s="14">
        <v>8</v>
      </c>
      <c r="N45" s="14">
        <v>5</v>
      </c>
      <c r="O45" s="14">
        <v>0</v>
      </c>
      <c r="P45" s="14">
        <v>0</v>
      </c>
      <c r="Q45" s="14">
        <v>0</v>
      </c>
      <c r="R45" s="14">
        <v>10</v>
      </c>
    </row>
    <row r="46" spans="2:18" ht="20" customHeight="1">
      <c r="B46" s="15" t="s">
        <v>29</v>
      </c>
      <c r="C46" s="14">
        <v>-1</v>
      </c>
      <c r="D46" s="14">
        <v>-5</v>
      </c>
      <c r="E46" s="14">
        <v>0</v>
      </c>
      <c r="F46" s="14">
        <v>15</v>
      </c>
      <c r="G46" s="14">
        <v>16</v>
      </c>
      <c r="H46" s="14">
        <v>0</v>
      </c>
      <c r="I46" s="14">
        <v>14</v>
      </c>
      <c r="J46" s="14">
        <v>0</v>
      </c>
      <c r="K46" s="14">
        <v>0</v>
      </c>
      <c r="L46" s="14">
        <v>0</v>
      </c>
      <c r="M46" s="14">
        <v>0</v>
      </c>
      <c r="N46" s="14">
        <v>0</v>
      </c>
      <c r="O46" s="14">
        <v>0</v>
      </c>
      <c r="P46" s="14">
        <v>0</v>
      </c>
      <c r="Q46" s="14">
        <v>13</v>
      </c>
      <c r="R46" s="14">
        <v>14</v>
      </c>
    </row>
    <row r="49" spans="2:18" ht="20" customHeight="1">
      <c r="B49" s="79" t="s">
        <v>47</v>
      </c>
      <c r="C49" s="86">
        <v>43101</v>
      </c>
      <c r="D49" s="86">
        <v>43132</v>
      </c>
      <c r="E49" s="86">
        <v>43160</v>
      </c>
      <c r="F49" s="86">
        <v>43191</v>
      </c>
      <c r="G49" s="86">
        <v>43221</v>
      </c>
      <c r="H49" s="86">
        <v>43252</v>
      </c>
      <c r="I49" s="86">
        <v>43282</v>
      </c>
      <c r="J49" s="86">
        <v>43313</v>
      </c>
      <c r="K49" s="86">
        <v>43344</v>
      </c>
      <c r="L49" s="86">
        <v>43374</v>
      </c>
      <c r="M49" s="86">
        <v>43405</v>
      </c>
      <c r="N49" s="86">
        <v>43435</v>
      </c>
      <c r="O49" s="86">
        <v>43466</v>
      </c>
      <c r="P49" s="86">
        <v>43497</v>
      </c>
      <c r="Q49" s="86">
        <v>43525</v>
      </c>
      <c r="R49" s="86">
        <v>43556</v>
      </c>
    </row>
    <row r="50" spans="2:18" ht="20" customHeight="1">
      <c r="B50" s="80"/>
      <c r="C50" s="87"/>
      <c r="D50" s="87"/>
      <c r="E50" s="87"/>
      <c r="F50" s="87"/>
      <c r="G50" s="87"/>
      <c r="H50" s="87"/>
      <c r="I50" s="87"/>
      <c r="J50" s="87"/>
      <c r="K50" s="87"/>
      <c r="L50" s="87"/>
      <c r="M50" s="87"/>
      <c r="N50" s="87"/>
      <c r="O50" s="87"/>
      <c r="P50" s="87"/>
      <c r="Q50" s="87"/>
      <c r="R50" s="87"/>
    </row>
    <row r="51" spans="2:18" ht="20" customHeight="1">
      <c r="B51" s="11"/>
      <c r="C51" s="12"/>
      <c r="D51" s="12"/>
      <c r="E51" s="12"/>
      <c r="F51" s="12"/>
      <c r="G51" s="12"/>
      <c r="H51" s="12"/>
      <c r="I51" s="12"/>
      <c r="J51" s="12"/>
      <c r="K51" s="12"/>
      <c r="L51" s="12"/>
      <c r="M51" s="12"/>
      <c r="N51" s="12"/>
      <c r="O51" s="12"/>
      <c r="P51" s="12"/>
      <c r="Q51" s="12"/>
      <c r="R51" s="12"/>
    </row>
    <row r="52" spans="2:18" ht="20" customHeight="1">
      <c r="B52" s="13" t="s">
        <v>30</v>
      </c>
      <c r="C52" s="14">
        <v>12</v>
      </c>
      <c r="D52" s="14">
        <v>2</v>
      </c>
      <c r="E52" s="14">
        <v>9</v>
      </c>
      <c r="F52" s="14">
        <v>5</v>
      </c>
      <c r="G52" s="14">
        <v>5</v>
      </c>
      <c r="H52" s="14">
        <v>8</v>
      </c>
      <c r="I52" s="14">
        <v>2</v>
      </c>
      <c r="J52" s="14">
        <v>5</v>
      </c>
      <c r="K52" s="14">
        <v>4</v>
      </c>
      <c r="L52" s="14">
        <v>6</v>
      </c>
      <c r="M52" s="14">
        <v>5</v>
      </c>
      <c r="N52" s="14">
        <v>5</v>
      </c>
      <c r="O52" s="14">
        <v>6</v>
      </c>
      <c r="P52" s="14">
        <v>1</v>
      </c>
      <c r="Q52" s="14">
        <v>1</v>
      </c>
      <c r="R52" s="14">
        <v>-2</v>
      </c>
    </row>
    <row r="53" spans="2:18" ht="20" customHeight="1">
      <c r="B53" s="13" t="s">
        <v>31</v>
      </c>
      <c r="C53" s="14">
        <v>10</v>
      </c>
      <c r="D53" s="14">
        <v>4</v>
      </c>
      <c r="E53" s="14">
        <v>5</v>
      </c>
      <c r="F53" s="14">
        <v>11</v>
      </c>
      <c r="G53" s="14">
        <v>4</v>
      </c>
      <c r="H53" s="14">
        <v>5</v>
      </c>
      <c r="I53" s="14">
        <v>5</v>
      </c>
      <c r="J53" s="14">
        <v>10</v>
      </c>
      <c r="K53" s="14">
        <v>15</v>
      </c>
      <c r="L53" s="14">
        <v>9</v>
      </c>
      <c r="M53" s="14">
        <v>4</v>
      </c>
      <c r="N53" s="14">
        <v>9</v>
      </c>
      <c r="O53" s="14">
        <v>4</v>
      </c>
      <c r="P53" s="14">
        <v>3</v>
      </c>
      <c r="Q53" s="14">
        <v>8</v>
      </c>
      <c r="R53" s="14">
        <v>5</v>
      </c>
    </row>
    <row r="54" spans="2:18" ht="20" customHeight="1">
      <c r="B54" s="13" t="s">
        <v>32</v>
      </c>
      <c r="C54" s="14">
        <v>11</v>
      </c>
      <c r="D54" s="14">
        <v>6</v>
      </c>
      <c r="E54" s="14">
        <v>12</v>
      </c>
      <c r="F54" s="14">
        <v>12</v>
      </c>
      <c r="G54" s="14">
        <v>-1</v>
      </c>
      <c r="H54" s="14">
        <v>1</v>
      </c>
      <c r="I54" s="14">
        <v>1</v>
      </c>
      <c r="J54" s="14">
        <v>3</v>
      </c>
      <c r="K54" s="14">
        <v>10</v>
      </c>
      <c r="L54" s="14">
        <v>3</v>
      </c>
      <c r="M54" s="14">
        <v>1</v>
      </c>
      <c r="N54" s="14">
        <v>8</v>
      </c>
      <c r="O54" s="14">
        <v>-1</v>
      </c>
      <c r="P54" s="14">
        <v>8</v>
      </c>
      <c r="Q54" s="14">
        <v>4</v>
      </c>
      <c r="R54" s="14">
        <v>-3</v>
      </c>
    </row>
    <row r="55" spans="2:18" ht="20" customHeight="1">
      <c r="B55" s="13" t="s">
        <v>33</v>
      </c>
      <c r="C55" s="14">
        <v>13</v>
      </c>
      <c r="D55" s="14">
        <v>11</v>
      </c>
      <c r="E55" s="14">
        <v>-2</v>
      </c>
      <c r="F55" s="14">
        <v>-2</v>
      </c>
      <c r="G55" s="14">
        <v>14</v>
      </c>
      <c r="H55" s="14">
        <v>-1</v>
      </c>
      <c r="I55" s="14">
        <v>-1</v>
      </c>
      <c r="J55" s="14">
        <v>14</v>
      </c>
      <c r="K55" s="14">
        <v>14</v>
      </c>
      <c r="L55" s="14">
        <v>12</v>
      </c>
      <c r="M55" s="14">
        <v>11</v>
      </c>
      <c r="N55" s="14">
        <v>10</v>
      </c>
      <c r="O55" s="14">
        <v>10</v>
      </c>
      <c r="P55" s="14">
        <v>0</v>
      </c>
      <c r="Q55" s="14">
        <v>0</v>
      </c>
      <c r="R55" s="14">
        <v>-4</v>
      </c>
    </row>
    <row r="56" spans="2:18" ht="20" customHeight="1">
      <c r="B56" s="13" t="s">
        <v>34</v>
      </c>
      <c r="C56" s="14">
        <v>7</v>
      </c>
      <c r="D56" s="14">
        <v>-1</v>
      </c>
      <c r="E56" s="14">
        <v>14</v>
      </c>
      <c r="F56" s="14">
        <v>14</v>
      </c>
      <c r="G56" s="14">
        <v>11</v>
      </c>
      <c r="H56" s="14">
        <v>9</v>
      </c>
      <c r="I56" s="14">
        <v>13</v>
      </c>
      <c r="J56" s="14">
        <v>0</v>
      </c>
      <c r="K56" s="14">
        <v>16</v>
      </c>
      <c r="L56" s="14">
        <v>14</v>
      </c>
      <c r="M56" s="14">
        <v>9</v>
      </c>
      <c r="N56" s="14">
        <v>-3</v>
      </c>
      <c r="O56" s="14">
        <v>0</v>
      </c>
      <c r="P56" s="14">
        <v>13</v>
      </c>
      <c r="Q56" s="14">
        <v>12</v>
      </c>
      <c r="R56" s="14">
        <v>8</v>
      </c>
    </row>
    <row r="57" spans="2:18" ht="20" customHeight="1">
      <c r="B57" s="13" t="s">
        <v>35</v>
      </c>
      <c r="C57" s="14">
        <v>8</v>
      </c>
      <c r="D57" s="14">
        <v>8</v>
      </c>
      <c r="E57" s="14">
        <v>13</v>
      </c>
      <c r="F57" s="14">
        <v>6</v>
      </c>
      <c r="G57" s="14">
        <v>7</v>
      </c>
      <c r="H57" s="14">
        <v>0</v>
      </c>
      <c r="I57" s="14">
        <v>7</v>
      </c>
      <c r="J57" s="14">
        <v>-1</v>
      </c>
      <c r="K57" s="14">
        <v>-1</v>
      </c>
      <c r="L57" s="14">
        <v>0</v>
      </c>
      <c r="M57" s="14">
        <v>-1</v>
      </c>
      <c r="N57" s="14">
        <v>1</v>
      </c>
      <c r="O57" s="14">
        <v>8</v>
      </c>
      <c r="P57" s="14">
        <v>0</v>
      </c>
      <c r="Q57" s="14">
        <v>5</v>
      </c>
      <c r="R57" s="14">
        <v>0</v>
      </c>
    </row>
    <row r="58" spans="2:18" ht="20" customHeight="1">
      <c r="B58" s="13" t="s">
        <v>36</v>
      </c>
      <c r="C58" s="14">
        <v>-1</v>
      </c>
      <c r="D58" s="14">
        <v>-2</v>
      </c>
      <c r="E58" s="14">
        <v>4</v>
      </c>
      <c r="F58" s="14">
        <v>4</v>
      </c>
      <c r="G58" s="14">
        <v>10</v>
      </c>
      <c r="H58" s="14">
        <v>12</v>
      </c>
      <c r="I58" s="14">
        <v>14</v>
      </c>
      <c r="J58" s="14">
        <v>8</v>
      </c>
      <c r="K58" s="14">
        <v>12</v>
      </c>
      <c r="L58" s="14">
        <v>0</v>
      </c>
      <c r="M58" s="14">
        <v>-2</v>
      </c>
      <c r="N58" s="14">
        <v>-2</v>
      </c>
      <c r="O58" s="14">
        <v>-2</v>
      </c>
      <c r="P58" s="14">
        <v>0</v>
      </c>
      <c r="Q58" s="14">
        <v>-3</v>
      </c>
      <c r="R58" s="14">
        <v>7</v>
      </c>
    </row>
    <row r="59" spans="2:18" ht="20" customHeight="1">
      <c r="B59" s="13" t="s">
        <v>37</v>
      </c>
      <c r="C59" s="14">
        <v>9</v>
      </c>
      <c r="D59" s="14">
        <v>0</v>
      </c>
      <c r="E59" s="14">
        <v>11</v>
      </c>
      <c r="F59" s="14">
        <v>8</v>
      </c>
      <c r="G59" s="14">
        <v>2</v>
      </c>
      <c r="H59" s="14">
        <v>3</v>
      </c>
      <c r="I59" s="14">
        <v>4</v>
      </c>
      <c r="J59" s="14">
        <v>11</v>
      </c>
      <c r="K59" s="14">
        <v>3</v>
      </c>
      <c r="L59" s="14">
        <v>0</v>
      </c>
      <c r="M59" s="14">
        <v>0</v>
      </c>
      <c r="N59" s="14">
        <v>0</v>
      </c>
      <c r="O59" s="14">
        <v>0</v>
      </c>
      <c r="P59" s="14">
        <v>6</v>
      </c>
      <c r="Q59" s="14">
        <v>7</v>
      </c>
      <c r="R59" s="14">
        <v>2</v>
      </c>
    </row>
    <row r="60" spans="2:18" ht="20" customHeight="1">
      <c r="B60" s="13" t="s">
        <v>38</v>
      </c>
      <c r="C60" s="14">
        <v>0</v>
      </c>
      <c r="D60" s="14">
        <v>10</v>
      </c>
      <c r="E60" s="14">
        <v>10</v>
      </c>
      <c r="F60" s="14">
        <v>13</v>
      </c>
      <c r="G60" s="14">
        <v>1</v>
      </c>
      <c r="H60" s="14">
        <v>11</v>
      </c>
      <c r="I60" s="14">
        <v>0</v>
      </c>
      <c r="J60" s="14">
        <v>1</v>
      </c>
      <c r="K60" s="14">
        <v>1</v>
      </c>
      <c r="L60" s="14">
        <v>10</v>
      </c>
      <c r="M60" s="14">
        <v>12</v>
      </c>
      <c r="N60" s="14">
        <v>11</v>
      </c>
      <c r="O60" s="14">
        <v>-3</v>
      </c>
      <c r="P60" s="14">
        <v>10</v>
      </c>
      <c r="Q60" s="14">
        <v>-1</v>
      </c>
      <c r="R60" s="14">
        <v>0</v>
      </c>
    </row>
    <row r="61" spans="2:18" ht="20" customHeight="1">
      <c r="B61" s="13" t="s">
        <v>39</v>
      </c>
      <c r="C61" s="14">
        <v>2</v>
      </c>
      <c r="D61" s="14">
        <v>1</v>
      </c>
      <c r="E61" s="14">
        <v>3</v>
      </c>
      <c r="F61" s="14">
        <v>1</v>
      </c>
      <c r="G61" s="14">
        <v>6</v>
      </c>
      <c r="H61" s="14">
        <v>4</v>
      </c>
      <c r="I61" s="14">
        <v>3</v>
      </c>
      <c r="J61" s="14">
        <v>4</v>
      </c>
      <c r="K61" s="14">
        <v>13</v>
      </c>
      <c r="L61" s="14">
        <v>13</v>
      </c>
      <c r="M61" s="14">
        <v>7</v>
      </c>
      <c r="N61" s="14">
        <v>6</v>
      </c>
      <c r="O61" s="14">
        <v>3</v>
      </c>
      <c r="P61" s="14">
        <v>9</v>
      </c>
      <c r="Q61" s="14">
        <v>10</v>
      </c>
      <c r="R61" s="14">
        <v>-1</v>
      </c>
    </row>
    <row r="62" spans="2:18" ht="20" customHeight="1">
      <c r="B62" s="13" t="s">
        <v>40</v>
      </c>
      <c r="C62" s="14">
        <v>3</v>
      </c>
      <c r="D62" s="14">
        <v>0</v>
      </c>
      <c r="E62" s="14">
        <v>1</v>
      </c>
      <c r="F62" s="14">
        <v>3</v>
      </c>
      <c r="G62" s="14">
        <v>3</v>
      </c>
      <c r="H62" s="14">
        <v>6</v>
      </c>
      <c r="I62" s="14">
        <v>8</v>
      </c>
      <c r="J62" s="14">
        <v>2</v>
      </c>
      <c r="K62" s="14">
        <v>5</v>
      </c>
      <c r="L62" s="14">
        <v>7</v>
      </c>
      <c r="M62" s="14">
        <v>8</v>
      </c>
      <c r="N62" s="14">
        <v>2</v>
      </c>
      <c r="O62" s="14">
        <v>2</v>
      </c>
      <c r="P62" s="14">
        <v>5</v>
      </c>
      <c r="Q62" s="14">
        <v>2</v>
      </c>
      <c r="R62" s="14">
        <v>9</v>
      </c>
    </row>
    <row r="63" spans="2:18" ht="20" customHeight="1">
      <c r="B63" s="13" t="s">
        <v>41</v>
      </c>
      <c r="C63" s="14">
        <v>6</v>
      </c>
      <c r="D63" s="14">
        <v>0</v>
      </c>
      <c r="E63" s="14">
        <v>-1</v>
      </c>
      <c r="F63" s="14">
        <v>0</v>
      </c>
      <c r="G63" s="14">
        <v>15</v>
      </c>
      <c r="H63" s="14">
        <v>14</v>
      </c>
      <c r="I63" s="14">
        <v>15</v>
      </c>
      <c r="J63" s="14">
        <v>9</v>
      </c>
      <c r="K63" s="14">
        <v>8</v>
      </c>
      <c r="L63" s="14">
        <v>4</v>
      </c>
      <c r="M63" s="14">
        <v>0</v>
      </c>
      <c r="N63" s="14">
        <v>0</v>
      </c>
      <c r="O63" s="14">
        <v>9</v>
      </c>
      <c r="P63" s="14">
        <v>12</v>
      </c>
      <c r="Q63" s="14">
        <v>-2</v>
      </c>
      <c r="R63" s="14">
        <v>0</v>
      </c>
    </row>
    <row r="64" spans="2:18" ht="20" customHeight="1">
      <c r="B64" s="13" t="s">
        <v>42</v>
      </c>
      <c r="C64" s="14">
        <v>5</v>
      </c>
      <c r="D64" s="14">
        <v>5</v>
      </c>
      <c r="E64" s="14">
        <v>8</v>
      </c>
      <c r="F64" s="14">
        <v>9</v>
      </c>
      <c r="G64" s="14">
        <v>12</v>
      </c>
      <c r="H64" s="14">
        <v>2</v>
      </c>
      <c r="I64" s="14">
        <v>6</v>
      </c>
      <c r="J64" s="14">
        <v>0</v>
      </c>
      <c r="K64" s="14">
        <v>7</v>
      </c>
      <c r="L64" s="14">
        <v>1</v>
      </c>
      <c r="M64" s="14">
        <v>3</v>
      </c>
      <c r="N64" s="14">
        <v>4</v>
      </c>
      <c r="O64" s="14">
        <v>5</v>
      </c>
      <c r="P64" s="14">
        <v>2</v>
      </c>
      <c r="Q64" s="14">
        <v>3</v>
      </c>
      <c r="R64" s="14">
        <v>0</v>
      </c>
    </row>
    <row r="65" spans="2:18" ht="20" customHeight="1">
      <c r="B65" s="13" t="s">
        <v>43</v>
      </c>
      <c r="C65" s="14">
        <v>4</v>
      </c>
      <c r="D65" s="14">
        <v>7</v>
      </c>
      <c r="E65" s="14">
        <v>7</v>
      </c>
      <c r="F65" s="14">
        <v>7</v>
      </c>
      <c r="G65" s="14">
        <v>8</v>
      </c>
      <c r="H65" s="14">
        <v>7</v>
      </c>
      <c r="I65" s="14">
        <v>11</v>
      </c>
      <c r="J65" s="14">
        <v>7</v>
      </c>
      <c r="K65" s="14">
        <v>2</v>
      </c>
      <c r="L65" s="14">
        <v>5</v>
      </c>
      <c r="M65" s="14">
        <v>2</v>
      </c>
      <c r="N65" s="14">
        <v>3</v>
      </c>
      <c r="O65" s="14">
        <v>1</v>
      </c>
      <c r="P65" s="14">
        <v>4</v>
      </c>
      <c r="Q65" s="14">
        <v>11</v>
      </c>
      <c r="R65" s="14">
        <v>3</v>
      </c>
    </row>
    <row r="66" spans="2:18" ht="20" customHeight="1">
      <c r="B66" s="13" t="s">
        <v>44</v>
      </c>
      <c r="C66" s="14">
        <v>0</v>
      </c>
      <c r="D66" s="14">
        <v>9</v>
      </c>
      <c r="E66" s="14">
        <v>2</v>
      </c>
      <c r="F66" s="14">
        <v>10</v>
      </c>
      <c r="G66" s="14">
        <v>9</v>
      </c>
      <c r="H66" s="14">
        <v>10</v>
      </c>
      <c r="I66" s="14">
        <v>9</v>
      </c>
      <c r="J66" s="14">
        <v>6</v>
      </c>
      <c r="K66" s="14">
        <v>6</v>
      </c>
      <c r="L66" s="14">
        <v>2</v>
      </c>
      <c r="M66" s="14">
        <v>6</v>
      </c>
      <c r="N66" s="14">
        <v>-1</v>
      </c>
      <c r="O66" s="14">
        <v>-4</v>
      </c>
      <c r="P66" s="14">
        <v>11</v>
      </c>
      <c r="Q66" s="14">
        <v>6</v>
      </c>
      <c r="R66" s="14">
        <v>1</v>
      </c>
    </row>
    <row r="67" spans="2:18" ht="20" customHeight="1">
      <c r="B67" s="13" t="s">
        <v>45</v>
      </c>
      <c r="C67" s="14">
        <v>1</v>
      </c>
      <c r="D67" s="14">
        <v>3</v>
      </c>
      <c r="E67" s="14">
        <v>6</v>
      </c>
      <c r="F67" s="14">
        <v>2</v>
      </c>
      <c r="G67" s="14">
        <v>13</v>
      </c>
      <c r="H67" s="14">
        <v>13</v>
      </c>
      <c r="I67" s="14">
        <v>10</v>
      </c>
      <c r="J67" s="14">
        <v>15</v>
      </c>
      <c r="K67" s="14">
        <v>9</v>
      </c>
      <c r="L67" s="14">
        <v>8</v>
      </c>
      <c r="M67" s="14">
        <v>10</v>
      </c>
      <c r="N67" s="14">
        <v>7</v>
      </c>
      <c r="O67" s="14">
        <v>0</v>
      </c>
      <c r="P67" s="14">
        <v>7</v>
      </c>
      <c r="Q67" s="14">
        <v>9</v>
      </c>
      <c r="R67" s="14">
        <v>4</v>
      </c>
    </row>
    <row r="68" spans="2:18" ht="20" customHeight="1">
      <c r="B68" s="13" t="s">
        <v>28</v>
      </c>
      <c r="C68" s="14">
        <v>0</v>
      </c>
      <c r="D68" s="14">
        <v>0</v>
      </c>
      <c r="E68" s="14">
        <v>0</v>
      </c>
      <c r="F68" s="14">
        <v>-1</v>
      </c>
      <c r="G68" s="14">
        <v>0</v>
      </c>
      <c r="H68" s="14">
        <v>15</v>
      </c>
      <c r="I68" s="14">
        <v>16</v>
      </c>
      <c r="J68" s="14">
        <v>12</v>
      </c>
      <c r="K68" s="14">
        <v>11</v>
      </c>
      <c r="L68" s="14">
        <v>11</v>
      </c>
      <c r="M68" s="14">
        <v>13</v>
      </c>
      <c r="N68" s="14">
        <v>0</v>
      </c>
      <c r="O68" s="14">
        <v>7</v>
      </c>
      <c r="P68" s="14">
        <v>-1</v>
      </c>
      <c r="Q68" s="14">
        <v>-4</v>
      </c>
      <c r="R68" s="14">
        <v>6</v>
      </c>
    </row>
    <row r="69" spans="2:18" ht="20" customHeight="1">
      <c r="B69" s="15" t="s">
        <v>29</v>
      </c>
      <c r="C69" s="14">
        <v>0</v>
      </c>
      <c r="D69" s="14">
        <v>0</v>
      </c>
      <c r="E69" s="14">
        <v>0</v>
      </c>
      <c r="F69" s="14">
        <v>0</v>
      </c>
      <c r="G69" s="14">
        <v>0</v>
      </c>
      <c r="H69" s="14">
        <v>0</v>
      </c>
      <c r="I69" s="14">
        <v>12</v>
      </c>
      <c r="J69" s="14">
        <v>13</v>
      </c>
      <c r="K69" s="14">
        <v>0</v>
      </c>
      <c r="L69" s="14">
        <v>0</v>
      </c>
      <c r="M69" s="14">
        <v>-3</v>
      </c>
      <c r="N69" s="14">
        <v>0</v>
      </c>
      <c r="O69" s="14">
        <v>0</v>
      </c>
      <c r="P69" s="14">
        <v>14</v>
      </c>
      <c r="Q69" s="14">
        <v>0</v>
      </c>
      <c r="R69" s="14">
        <v>0</v>
      </c>
    </row>
    <row r="72" spans="2:18" ht="20" customHeight="1">
      <c r="B72" s="79" t="s">
        <v>48</v>
      </c>
      <c r="C72" s="86">
        <v>43101</v>
      </c>
      <c r="D72" s="86">
        <v>43132</v>
      </c>
      <c r="E72" s="86">
        <v>43160</v>
      </c>
      <c r="F72" s="86">
        <v>43191</v>
      </c>
      <c r="G72" s="86">
        <v>43221</v>
      </c>
      <c r="H72" s="86">
        <v>43252</v>
      </c>
      <c r="I72" s="86">
        <v>43282</v>
      </c>
      <c r="J72" s="86">
        <v>43313</v>
      </c>
      <c r="K72" s="86">
        <v>43344</v>
      </c>
      <c r="L72" s="86">
        <v>43374</v>
      </c>
      <c r="M72" s="86">
        <v>43405</v>
      </c>
      <c r="N72" s="86">
        <v>43435</v>
      </c>
      <c r="O72" s="86">
        <v>43466</v>
      </c>
      <c r="P72" s="86">
        <v>43497</v>
      </c>
      <c r="Q72" s="86">
        <v>43525</v>
      </c>
      <c r="R72" s="86">
        <v>43556</v>
      </c>
    </row>
    <row r="73" spans="2:18" ht="20" customHeight="1">
      <c r="B73" s="80"/>
      <c r="C73" s="87"/>
      <c r="D73" s="87"/>
      <c r="E73" s="87"/>
      <c r="F73" s="87"/>
      <c r="G73" s="87"/>
      <c r="H73" s="87"/>
      <c r="I73" s="87"/>
      <c r="J73" s="87"/>
      <c r="K73" s="87"/>
      <c r="L73" s="87"/>
      <c r="M73" s="87"/>
      <c r="N73" s="87"/>
      <c r="O73" s="87"/>
      <c r="P73" s="87"/>
      <c r="Q73" s="87"/>
      <c r="R73" s="87"/>
    </row>
    <row r="74" spans="2:18" ht="20" customHeight="1">
      <c r="B74" s="11"/>
      <c r="C74" s="12"/>
      <c r="D74" s="12"/>
      <c r="E74" s="12"/>
      <c r="F74" s="12"/>
      <c r="G74" s="12"/>
      <c r="H74" s="12"/>
      <c r="I74" s="12"/>
      <c r="J74" s="12"/>
      <c r="K74" s="12"/>
      <c r="L74" s="12"/>
      <c r="M74" s="12"/>
      <c r="N74" s="12"/>
      <c r="O74" s="12"/>
      <c r="P74" s="12"/>
      <c r="Q74" s="12"/>
      <c r="R74" s="12"/>
    </row>
    <row r="75" spans="2:18" ht="20" customHeight="1">
      <c r="B75" s="13" t="s">
        <v>30</v>
      </c>
      <c r="C75" s="14">
        <v>10</v>
      </c>
      <c r="D75" s="14">
        <v>7</v>
      </c>
      <c r="E75" s="14">
        <v>8</v>
      </c>
      <c r="F75" s="14">
        <v>5</v>
      </c>
      <c r="G75" s="14">
        <v>5</v>
      </c>
      <c r="H75" s="14">
        <v>2</v>
      </c>
      <c r="I75" s="14">
        <v>7</v>
      </c>
      <c r="J75" s="14">
        <v>5</v>
      </c>
      <c r="K75" s="14">
        <v>3</v>
      </c>
      <c r="L75" s="14">
        <v>5</v>
      </c>
      <c r="M75" s="14">
        <v>3</v>
      </c>
      <c r="N75" s="14">
        <v>1</v>
      </c>
      <c r="O75" s="14">
        <v>2</v>
      </c>
      <c r="P75" s="14">
        <v>5</v>
      </c>
      <c r="Q75" s="14">
        <v>3</v>
      </c>
      <c r="R75" s="14">
        <v>-1</v>
      </c>
    </row>
    <row r="76" spans="2:18" ht="20" customHeight="1">
      <c r="B76" s="13" t="s">
        <v>31</v>
      </c>
      <c r="C76" s="14">
        <v>9</v>
      </c>
      <c r="D76" s="14">
        <v>2</v>
      </c>
      <c r="E76" s="14">
        <v>7</v>
      </c>
      <c r="F76" s="14">
        <v>3</v>
      </c>
      <c r="G76" s="14">
        <v>3</v>
      </c>
      <c r="H76" s="14">
        <v>3</v>
      </c>
      <c r="I76" s="14">
        <v>11</v>
      </c>
      <c r="J76" s="14">
        <v>9</v>
      </c>
      <c r="K76" s="14">
        <v>9</v>
      </c>
      <c r="L76" s="14">
        <v>6</v>
      </c>
      <c r="M76" s="14">
        <v>8</v>
      </c>
      <c r="N76" s="14">
        <v>10</v>
      </c>
      <c r="O76" s="14">
        <v>3</v>
      </c>
      <c r="P76" s="14">
        <v>8</v>
      </c>
      <c r="Q76" s="14">
        <v>4</v>
      </c>
      <c r="R76" s="14">
        <v>7</v>
      </c>
    </row>
    <row r="77" spans="2:18" ht="20" customHeight="1">
      <c r="B77" s="13" t="s">
        <v>32</v>
      </c>
      <c r="C77" s="14">
        <v>8</v>
      </c>
      <c r="D77" s="14">
        <v>0</v>
      </c>
      <c r="E77" s="14">
        <v>0</v>
      </c>
      <c r="F77" s="14">
        <v>12</v>
      </c>
      <c r="G77" s="14">
        <v>12</v>
      </c>
      <c r="H77" s="14">
        <v>1</v>
      </c>
      <c r="I77" s="14">
        <v>12</v>
      </c>
      <c r="J77" s="14">
        <v>3</v>
      </c>
      <c r="K77" s="14">
        <v>5</v>
      </c>
      <c r="L77" s="14">
        <v>9</v>
      </c>
      <c r="M77" s="14">
        <v>7</v>
      </c>
      <c r="N77" s="14">
        <v>8</v>
      </c>
      <c r="O77" s="14">
        <v>8</v>
      </c>
      <c r="P77" s="14">
        <v>4</v>
      </c>
      <c r="Q77" s="14">
        <v>0</v>
      </c>
      <c r="R77" s="14">
        <v>5</v>
      </c>
    </row>
    <row r="78" spans="2:18" ht="20" customHeight="1">
      <c r="B78" s="13" t="s">
        <v>33</v>
      </c>
      <c r="C78" s="14">
        <v>-2</v>
      </c>
      <c r="D78" s="14">
        <v>0</v>
      </c>
      <c r="E78" s="14">
        <v>0</v>
      </c>
      <c r="F78" s="14">
        <v>0</v>
      </c>
      <c r="G78" s="14">
        <v>0</v>
      </c>
      <c r="H78" s="14">
        <v>-3</v>
      </c>
      <c r="I78" s="14">
        <v>0</v>
      </c>
      <c r="J78" s="14">
        <v>13</v>
      </c>
      <c r="K78" s="14">
        <v>0</v>
      </c>
      <c r="L78" s="14">
        <v>-2</v>
      </c>
      <c r="M78" s="14">
        <v>-2</v>
      </c>
      <c r="N78" s="14">
        <v>-4</v>
      </c>
      <c r="O78" s="14">
        <v>0</v>
      </c>
      <c r="P78" s="14">
        <v>0</v>
      </c>
      <c r="Q78" s="14">
        <v>10</v>
      </c>
      <c r="R78" s="14">
        <v>-4</v>
      </c>
    </row>
    <row r="79" spans="2:18" ht="20" customHeight="1">
      <c r="B79" s="13" t="s">
        <v>34</v>
      </c>
      <c r="C79" s="14">
        <v>0</v>
      </c>
      <c r="D79" s="14">
        <v>-5</v>
      </c>
      <c r="E79" s="14">
        <v>11</v>
      </c>
      <c r="F79" s="14">
        <v>0</v>
      </c>
      <c r="G79" s="14">
        <v>0</v>
      </c>
      <c r="H79" s="14">
        <v>-2</v>
      </c>
      <c r="I79" s="14">
        <v>0</v>
      </c>
      <c r="J79" s="14">
        <v>0</v>
      </c>
      <c r="K79" s="14">
        <v>-4</v>
      </c>
      <c r="L79" s="14">
        <v>-3</v>
      </c>
      <c r="M79" s="14">
        <v>-1</v>
      </c>
      <c r="N79" s="14">
        <v>0</v>
      </c>
      <c r="O79" s="14">
        <v>-3</v>
      </c>
      <c r="P79" s="14">
        <v>-4</v>
      </c>
      <c r="Q79" s="14">
        <v>0</v>
      </c>
      <c r="R79" s="14">
        <v>10</v>
      </c>
    </row>
    <row r="80" spans="2:18" ht="20" customHeight="1">
      <c r="B80" s="13" t="s">
        <v>35</v>
      </c>
      <c r="C80" s="14">
        <v>11</v>
      </c>
      <c r="D80" s="14">
        <v>4</v>
      </c>
      <c r="E80" s="14">
        <v>9</v>
      </c>
      <c r="F80" s="14">
        <v>0</v>
      </c>
      <c r="G80" s="14">
        <v>0</v>
      </c>
      <c r="H80" s="14">
        <v>0</v>
      </c>
      <c r="I80" s="14">
        <v>8</v>
      </c>
      <c r="J80" s="14">
        <v>-2</v>
      </c>
      <c r="K80" s="14">
        <v>-1</v>
      </c>
      <c r="L80" s="14">
        <v>0</v>
      </c>
      <c r="M80" s="14">
        <v>4</v>
      </c>
      <c r="N80" s="14">
        <v>-2</v>
      </c>
      <c r="O80" s="14">
        <v>0</v>
      </c>
      <c r="P80" s="14">
        <v>7</v>
      </c>
      <c r="Q80" s="14">
        <v>5</v>
      </c>
      <c r="R80" s="14">
        <v>-3</v>
      </c>
    </row>
    <row r="81" spans="2:18" ht="20" customHeight="1">
      <c r="B81" s="13" t="s">
        <v>36</v>
      </c>
      <c r="C81" s="14">
        <v>2</v>
      </c>
      <c r="D81" s="14">
        <v>3</v>
      </c>
      <c r="E81" s="14">
        <v>0</v>
      </c>
      <c r="F81" s="14">
        <v>0</v>
      </c>
      <c r="G81" s="14">
        <v>0</v>
      </c>
      <c r="H81" s="14">
        <v>-1</v>
      </c>
      <c r="I81" s="14">
        <v>3</v>
      </c>
      <c r="J81" s="14">
        <v>6</v>
      </c>
      <c r="K81" s="14">
        <v>-3</v>
      </c>
      <c r="L81" s="14">
        <v>0</v>
      </c>
      <c r="M81" s="14">
        <v>0</v>
      </c>
      <c r="N81" s="14">
        <v>-3</v>
      </c>
      <c r="O81" s="14">
        <v>-2</v>
      </c>
      <c r="P81" s="14">
        <v>-2</v>
      </c>
      <c r="Q81" s="14">
        <v>9</v>
      </c>
      <c r="R81" s="14">
        <v>4</v>
      </c>
    </row>
    <row r="82" spans="2:18" ht="20" customHeight="1">
      <c r="B82" s="13" t="s">
        <v>37</v>
      </c>
      <c r="C82" s="14">
        <v>5</v>
      </c>
      <c r="D82" s="14">
        <v>5</v>
      </c>
      <c r="E82" s="14">
        <v>10</v>
      </c>
      <c r="F82" s="14">
        <v>7</v>
      </c>
      <c r="G82" s="14">
        <v>7</v>
      </c>
      <c r="H82" s="14">
        <v>12</v>
      </c>
      <c r="I82" s="14">
        <v>9</v>
      </c>
      <c r="J82" s="14">
        <v>7</v>
      </c>
      <c r="K82" s="14">
        <v>7</v>
      </c>
      <c r="L82" s="14">
        <v>10</v>
      </c>
      <c r="M82" s="14">
        <v>0</v>
      </c>
      <c r="N82" s="14">
        <v>5</v>
      </c>
      <c r="O82" s="14">
        <v>0</v>
      </c>
      <c r="P82" s="14">
        <v>0</v>
      </c>
      <c r="Q82" s="14">
        <v>0</v>
      </c>
      <c r="R82" s="14">
        <v>3</v>
      </c>
    </row>
    <row r="83" spans="2:18" ht="20" customHeight="1">
      <c r="B83" s="13" t="s">
        <v>38</v>
      </c>
      <c r="C83" s="14">
        <v>0</v>
      </c>
      <c r="D83" s="14">
        <v>0</v>
      </c>
      <c r="E83" s="14">
        <v>4</v>
      </c>
      <c r="F83" s="14">
        <v>2</v>
      </c>
      <c r="G83" s="14">
        <v>2</v>
      </c>
      <c r="H83" s="14">
        <v>5</v>
      </c>
      <c r="I83" s="14">
        <v>5</v>
      </c>
      <c r="J83" s="14">
        <v>-1</v>
      </c>
      <c r="K83" s="14">
        <v>4</v>
      </c>
      <c r="L83" s="14">
        <v>7</v>
      </c>
      <c r="M83" s="14">
        <v>6</v>
      </c>
      <c r="N83" s="14">
        <v>2</v>
      </c>
      <c r="O83" s="14">
        <v>0</v>
      </c>
      <c r="P83" s="14">
        <v>1</v>
      </c>
      <c r="Q83" s="14">
        <v>6</v>
      </c>
      <c r="R83" s="14">
        <v>2</v>
      </c>
    </row>
    <row r="84" spans="2:18" ht="20" customHeight="1">
      <c r="B84" s="13" t="s">
        <v>39</v>
      </c>
      <c r="C84" s="14">
        <v>3</v>
      </c>
      <c r="D84" s="14">
        <v>-2</v>
      </c>
      <c r="E84" s="14">
        <v>3</v>
      </c>
      <c r="F84" s="14">
        <v>9</v>
      </c>
      <c r="G84" s="14">
        <v>9</v>
      </c>
      <c r="H84" s="14">
        <v>7</v>
      </c>
      <c r="I84" s="14">
        <v>2</v>
      </c>
      <c r="J84" s="14">
        <v>11</v>
      </c>
      <c r="K84" s="14">
        <v>10</v>
      </c>
      <c r="L84" s="14">
        <v>11</v>
      </c>
      <c r="M84" s="14">
        <v>11</v>
      </c>
      <c r="N84" s="14">
        <v>4</v>
      </c>
      <c r="O84" s="14">
        <v>1</v>
      </c>
      <c r="P84" s="14">
        <v>0</v>
      </c>
      <c r="Q84" s="14">
        <v>0</v>
      </c>
      <c r="R84" s="14">
        <v>6</v>
      </c>
    </row>
    <row r="85" spans="2:18" ht="20" customHeight="1">
      <c r="B85" s="13" t="s">
        <v>40</v>
      </c>
      <c r="C85" s="14">
        <v>6</v>
      </c>
      <c r="D85" s="14">
        <v>-1</v>
      </c>
      <c r="E85" s="14">
        <v>2</v>
      </c>
      <c r="F85" s="14">
        <v>-1</v>
      </c>
      <c r="G85" s="14">
        <v>-1</v>
      </c>
      <c r="H85" s="14">
        <v>10</v>
      </c>
      <c r="I85" s="14">
        <v>6</v>
      </c>
      <c r="J85" s="14">
        <v>8</v>
      </c>
      <c r="K85" s="14">
        <v>8</v>
      </c>
      <c r="L85" s="14">
        <v>8</v>
      </c>
      <c r="M85" s="14">
        <v>9</v>
      </c>
      <c r="N85" s="14">
        <v>3</v>
      </c>
      <c r="O85" s="14">
        <v>6</v>
      </c>
      <c r="P85" s="14">
        <v>0</v>
      </c>
      <c r="Q85" s="14">
        <v>7</v>
      </c>
      <c r="R85" s="14">
        <v>9</v>
      </c>
    </row>
    <row r="86" spans="2:18" ht="20" customHeight="1">
      <c r="B86" s="13" t="s">
        <v>41</v>
      </c>
      <c r="C86" s="14">
        <v>0</v>
      </c>
      <c r="D86" s="14">
        <v>-6</v>
      </c>
      <c r="E86" s="14">
        <v>0</v>
      </c>
      <c r="F86" s="14">
        <v>4</v>
      </c>
      <c r="G86" s="14">
        <v>11</v>
      </c>
      <c r="H86" s="14">
        <v>8</v>
      </c>
      <c r="I86" s="14">
        <v>0</v>
      </c>
      <c r="J86" s="14">
        <v>0</v>
      </c>
      <c r="K86" s="14">
        <v>0</v>
      </c>
      <c r="L86" s="14">
        <v>-1</v>
      </c>
      <c r="M86" s="14">
        <v>10</v>
      </c>
      <c r="N86" s="14">
        <v>9</v>
      </c>
      <c r="O86" s="14">
        <v>0</v>
      </c>
      <c r="P86" s="14">
        <v>-3</v>
      </c>
      <c r="Q86" s="14">
        <v>0</v>
      </c>
      <c r="R86" s="14">
        <v>11</v>
      </c>
    </row>
    <row r="87" spans="2:18" ht="20" customHeight="1">
      <c r="B87" s="13" t="s">
        <v>42</v>
      </c>
      <c r="C87" s="14">
        <v>7</v>
      </c>
      <c r="D87" s="14">
        <v>1</v>
      </c>
      <c r="E87" s="14">
        <v>1</v>
      </c>
      <c r="F87" s="14">
        <v>1</v>
      </c>
      <c r="G87" s="14">
        <v>4</v>
      </c>
      <c r="H87" s="14">
        <v>4</v>
      </c>
      <c r="I87" s="14">
        <v>10</v>
      </c>
      <c r="J87" s="14">
        <v>2</v>
      </c>
      <c r="K87" s="14">
        <v>6</v>
      </c>
      <c r="L87" s="14">
        <v>4</v>
      </c>
      <c r="M87" s="14">
        <v>1</v>
      </c>
      <c r="N87" s="14">
        <v>6</v>
      </c>
      <c r="O87" s="14">
        <v>7</v>
      </c>
      <c r="P87" s="14">
        <v>6</v>
      </c>
      <c r="Q87" s="14">
        <v>2</v>
      </c>
      <c r="R87" s="14">
        <v>1</v>
      </c>
    </row>
    <row r="88" spans="2:18" ht="20" customHeight="1">
      <c r="B88" s="13" t="s">
        <v>43</v>
      </c>
      <c r="C88" s="14">
        <v>4</v>
      </c>
      <c r="D88" s="14">
        <v>-3</v>
      </c>
      <c r="E88" s="14">
        <v>0</v>
      </c>
      <c r="F88" s="14">
        <v>8</v>
      </c>
      <c r="G88" s="14">
        <v>1</v>
      </c>
      <c r="H88" s="14">
        <v>9</v>
      </c>
      <c r="I88" s="14">
        <v>1</v>
      </c>
      <c r="J88" s="14">
        <v>1</v>
      </c>
      <c r="K88" s="14">
        <v>2</v>
      </c>
      <c r="L88" s="14">
        <v>1</v>
      </c>
      <c r="M88" s="14">
        <v>5</v>
      </c>
      <c r="N88" s="14">
        <v>7</v>
      </c>
      <c r="O88" s="14">
        <v>5</v>
      </c>
      <c r="P88" s="14">
        <v>2</v>
      </c>
      <c r="Q88" s="14">
        <v>1</v>
      </c>
      <c r="R88" s="14">
        <v>0</v>
      </c>
    </row>
    <row r="89" spans="2:18" ht="20" customHeight="1">
      <c r="B89" s="13" t="s">
        <v>44</v>
      </c>
      <c r="C89" s="14">
        <v>-1</v>
      </c>
      <c r="D89" s="14">
        <v>6</v>
      </c>
      <c r="E89" s="14">
        <v>6</v>
      </c>
      <c r="F89" s="14">
        <v>6</v>
      </c>
      <c r="G89" s="14">
        <v>8</v>
      </c>
      <c r="H89" s="14">
        <v>6</v>
      </c>
      <c r="I89" s="14">
        <v>4</v>
      </c>
      <c r="J89" s="14">
        <v>4</v>
      </c>
      <c r="K89" s="14">
        <v>1</v>
      </c>
      <c r="L89" s="14">
        <v>3</v>
      </c>
      <c r="M89" s="14">
        <v>2</v>
      </c>
      <c r="N89" s="14">
        <v>-1</v>
      </c>
      <c r="O89" s="14">
        <v>-1</v>
      </c>
      <c r="P89" s="14">
        <v>-1</v>
      </c>
      <c r="Q89" s="14">
        <v>-1</v>
      </c>
      <c r="R89" s="14">
        <v>-2</v>
      </c>
    </row>
    <row r="90" spans="2:18" ht="20" customHeight="1">
      <c r="B90" s="13" t="s">
        <v>45</v>
      </c>
      <c r="C90" s="14">
        <v>1</v>
      </c>
      <c r="D90" s="14">
        <v>-4</v>
      </c>
      <c r="E90" s="14">
        <v>5</v>
      </c>
      <c r="F90" s="14">
        <v>0</v>
      </c>
      <c r="G90" s="14">
        <v>6</v>
      </c>
      <c r="H90" s="14">
        <v>11</v>
      </c>
      <c r="I90" s="14">
        <v>0</v>
      </c>
      <c r="J90" s="14">
        <v>10</v>
      </c>
      <c r="K90" s="14">
        <v>-2</v>
      </c>
      <c r="L90" s="14">
        <v>2</v>
      </c>
      <c r="M90" s="14">
        <v>0</v>
      </c>
      <c r="N90" s="14">
        <v>0</v>
      </c>
      <c r="O90" s="14">
        <v>4</v>
      </c>
      <c r="P90" s="14">
        <v>3</v>
      </c>
      <c r="Q90" s="14">
        <v>8</v>
      </c>
      <c r="R90" s="14">
        <v>8</v>
      </c>
    </row>
    <row r="91" spans="2:18" ht="20" customHeight="1">
      <c r="B91" s="13" t="s">
        <v>28</v>
      </c>
      <c r="C91" s="14">
        <v>0</v>
      </c>
      <c r="D91" s="14">
        <v>0</v>
      </c>
      <c r="E91" s="14">
        <v>0</v>
      </c>
      <c r="F91" s="14">
        <v>0</v>
      </c>
      <c r="G91" s="14">
        <v>10</v>
      </c>
      <c r="H91" s="14">
        <v>13</v>
      </c>
      <c r="I91" s="14">
        <v>13</v>
      </c>
      <c r="J91" s="14">
        <v>12</v>
      </c>
      <c r="K91" s="14">
        <v>0</v>
      </c>
      <c r="L91" s="14">
        <v>12</v>
      </c>
      <c r="M91" s="14">
        <v>0</v>
      </c>
      <c r="N91" s="14">
        <v>0</v>
      </c>
      <c r="O91" s="14">
        <v>9</v>
      </c>
      <c r="P91" s="14">
        <v>9</v>
      </c>
      <c r="Q91" s="14">
        <v>0</v>
      </c>
      <c r="R91" s="14">
        <v>13</v>
      </c>
    </row>
    <row r="92" spans="2:18" ht="20" customHeight="1">
      <c r="B92" s="15" t="s">
        <v>29</v>
      </c>
      <c r="C92" s="14">
        <v>0</v>
      </c>
      <c r="D92" s="14">
        <v>0</v>
      </c>
      <c r="E92" s="14">
        <v>0</v>
      </c>
      <c r="F92" s="14">
        <v>0</v>
      </c>
      <c r="G92" s="14">
        <v>0</v>
      </c>
      <c r="H92" s="14">
        <v>0</v>
      </c>
      <c r="I92" s="14">
        <v>0</v>
      </c>
      <c r="J92" s="14">
        <v>0</v>
      </c>
      <c r="K92" s="14">
        <v>0</v>
      </c>
      <c r="L92" s="14">
        <v>0</v>
      </c>
      <c r="M92" s="14">
        <v>0</v>
      </c>
      <c r="N92" s="14">
        <v>0</v>
      </c>
      <c r="O92" s="14">
        <v>0</v>
      </c>
      <c r="P92" s="14">
        <v>-5</v>
      </c>
      <c r="Q92" s="14">
        <v>-2</v>
      </c>
      <c r="R92" s="14">
        <v>12</v>
      </c>
    </row>
    <row r="95" spans="2:18" ht="20" customHeight="1">
      <c r="B95" s="79" t="s">
        <v>49</v>
      </c>
      <c r="C95" s="86">
        <v>43101</v>
      </c>
      <c r="D95" s="86">
        <v>43132</v>
      </c>
      <c r="E95" s="86">
        <v>43160</v>
      </c>
      <c r="F95" s="86">
        <v>43191</v>
      </c>
      <c r="G95" s="86">
        <v>43221</v>
      </c>
      <c r="H95" s="86">
        <v>43252</v>
      </c>
      <c r="I95" s="86">
        <v>43282</v>
      </c>
      <c r="J95" s="86">
        <v>43313</v>
      </c>
      <c r="K95" s="86">
        <v>43344</v>
      </c>
      <c r="L95" s="86">
        <v>43374</v>
      </c>
      <c r="M95" s="86">
        <v>43405</v>
      </c>
      <c r="N95" s="86">
        <v>43435</v>
      </c>
      <c r="O95" s="86">
        <v>43466</v>
      </c>
      <c r="P95" s="86">
        <v>43497</v>
      </c>
      <c r="Q95" s="86">
        <v>43525</v>
      </c>
      <c r="R95" s="86">
        <v>43556</v>
      </c>
    </row>
    <row r="96" spans="2:18" ht="20" customHeight="1">
      <c r="B96" s="80"/>
      <c r="C96" s="87"/>
      <c r="D96" s="87"/>
      <c r="E96" s="87"/>
      <c r="F96" s="87"/>
      <c r="G96" s="87"/>
      <c r="H96" s="87"/>
      <c r="I96" s="87"/>
      <c r="J96" s="87"/>
      <c r="K96" s="87"/>
      <c r="L96" s="87"/>
      <c r="M96" s="87"/>
      <c r="N96" s="87"/>
      <c r="O96" s="87"/>
      <c r="P96" s="87"/>
      <c r="Q96" s="87"/>
      <c r="R96" s="87"/>
    </row>
    <row r="97" spans="2:18" ht="20" customHeight="1">
      <c r="B97" s="11"/>
      <c r="C97" s="12"/>
      <c r="D97" s="12"/>
      <c r="E97" s="12"/>
      <c r="F97" s="12"/>
      <c r="G97" s="12"/>
      <c r="H97" s="12"/>
      <c r="I97" s="12"/>
      <c r="J97" s="12"/>
      <c r="K97" s="12"/>
      <c r="L97" s="12"/>
      <c r="M97" s="12"/>
      <c r="N97" s="12"/>
      <c r="O97" s="12"/>
      <c r="P97" s="12"/>
      <c r="Q97" s="12"/>
      <c r="R97" s="12"/>
    </row>
    <row r="98" spans="2:18" ht="20" customHeight="1">
      <c r="B98" s="13" t="s">
        <v>30</v>
      </c>
      <c r="C98" s="14">
        <v>10</v>
      </c>
      <c r="D98" s="14">
        <v>9</v>
      </c>
      <c r="E98" s="14">
        <v>11</v>
      </c>
      <c r="F98" s="14">
        <v>12</v>
      </c>
      <c r="G98" s="14">
        <v>12</v>
      </c>
      <c r="H98" s="14">
        <v>14</v>
      </c>
      <c r="I98" s="14">
        <v>11</v>
      </c>
      <c r="J98" s="14">
        <v>15</v>
      </c>
      <c r="K98" s="14">
        <v>15</v>
      </c>
      <c r="L98" s="14">
        <v>8</v>
      </c>
      <c r="M98" s="14">
        <v>9</v>
      </c>
      <c r="N98" s="14">
        <v>10</v>
      </c>
      <c r="O98" s="14">
        <v>7</v>
      </c>
      <c r="P98" s="14">
        <v>5</v>
      </c>
      <c r="Q98" s="14">
        <v>3</v>
      </c>
      <c r="R98" s="14">
        <v>7</v>
      </c>
    </row>
    <row r="99" spans="2:18" ht="20" customHeight="1">
      <c r="B99" s="13" t="s">
        <v>31</v>
      </c>
      <c r="C99" s="14">
        <v>6</v>
      </c>
      <c r="D99" s="14">
        <v>2</v>
      </c>
      <c r="E99" s="14">
        <v>8</v>
      </c>
      <c r="F99" s="14">
        <v>9</v>
      </c>
      <c r="G99" s="14">
        <v>9</v>
      </c>
      <c r="H99" s="14">
        <v>6</v>
      </c>
      <c r="I99" s="14">
        <v>13</v>
      </c>
      <c r="J99" s="14">
        <v>12</v>
      </c>
      <c r="K99" s="14">
        <v>12</v>
      </c>
      <c r="L99" s="14">
        <v>7</v>
      </c>
      <c r="M99" s="14">
        <v>10</v>
      </c>
      <c r="N99" s="14">
        <v>11</v>
      </c>
      <c r="O99" s="14">
        <v>8</v>
      </c>
      <c r="P99" s="14">
        <v>9</v>
      </c>
      <c r="Q99" s="14">
        <v>1</v>
      </c>
      <c r="R99" s="14">
        <v>8</v>
      </c>
    </row>
    <row r="100" spans="2:18" ht="20" customHeight="1">
      <c r="B100" s="13" t="s">
        <v>32</v>
      </c>
      <c r="C100" s="14">
        <v>8</v>
      </c>
      <c r="D100" s="14">
        <v>7</v>
      </c>
      <c r="E100" s="14">
        <v>-1</v>
      </c>
      <c r="F100" s="14">
        <v>1</v>
      </c>
      <c r="G100" s="14">
        <v>1</v>
      </c>
      <c r="H100" s="14">
        <v>9</v>
      </c>
      <c r="I100" s="14">
        <v>9</v>
      </c>
      <c r="J100" s="14">
        <v>13</v>
      </c>
      <c r="K100" s="14">
        <v>7</v>
      </c>
      <c r="L100" s="14">
        <v>3</v>
      </c>
      <c r="M100" s="14">
        <v>5</v>
      </c>
      <c r="N100" s="14">
        <v>1</v>
      </c>
      <c r="O100" s="14">
        <v>10</v>
      </c>
      <c r="P100" s="14">
        <v>-1</v>
      </c>
      <c r="Q100" s="14">
        <v>0</v>
      </c>
      <c r="R100" s="14">
        <v>5</v>
      </c>
    </row>
    <row r="101" spans="2:18" ht="20" customHeight="1">
      <c r="B101" s="13" t="s">
        <v>33</v>
      </c>
      <c r="C101" s="14">
        <v>12</v>
      </c>
      <c r="D101" s="14">
        <v>11</v>
      </c>
      <c r="E101" s="14">
        <v>0</v>
      </c>
      <c r="F101" s="14">
        <v>0</v>
      </c>
      <c r="G101" s="14">
        <v>0</v>
      </c>
      <c r="H101" s="14">
        <v>16</v>
      </c>
      <c r="I101" s="14">
        <v>10</v>
      </c>
      <c r="J101" s="14">
        <v>14</v>
      </c>
      <c r="K101" s="14">
        <v>17</v>
      </c>
      <c r="L101" s="14">
        <v>12</v>
      </c>
      <c r="M101" s="14">
        <v>14</v>
      </c>
      <c r="N101" s="14">
        <v>0</v>
      </c>
      <c r="O101" s="14">
        <v>12</v>
      </c>
      <c r="P101" s="14">
        <v>0</v>
      </c>
      <c r="Q101" s="14">
        <v>11</v>
      </c>
      <c r="R101" s="14">
        <v>0</v>
      </c>
    </row>
    <row r="102" spans="2:18" ht="20" customHeight="1">
      <c r="B102" s="13" t="s">
        <v>34</v>
      </c>
      <c r="C102" s="14">
        <v>0</v>
      </c>
      <c r="D102" s="14">
        <v>0</v>
      </c>
      <c r="E102" s="14">
        <v>10</v>
      </c>
      <c r="F102" s="14">
        <v>0</v>
      </c>
      <c r="G102" s="14">
        <v>0</v>
      </c>
      <c r="H102" s="14">
        <v>17</v>
      </c>
      <c r="I102" s="14">
        <v>8</v>
      </c>
      <c r="J102" s="14">
        <v>0</v>
      </c>
      <c r="K102" s="14">
        <v>0</v>
      </c>
      <c r="L102" s="14">
        <v>0</v>
      </c>
      <c r="M102" s="14">
        <v>0</v>
      </c>
      <c r="N102" s="14">
        <v>0</v>
      </c>
      <c r="O102" s="14">
        <v>0</v>
      </c>
      <c r="P102" s="14">
        <v>10</v>
      </c>
      <c r="Q102" s="14">
        <v>0</v>
      </c>
      <c r="R102" s="14">
        <v>0</v>
      </c>
    </row>
    <row r="103" spans="2:18" ht="20" customHeight="1">
      <c r="B103" s="13" t="s">
        <v>35</v>
      </c>
      <c r="C103" s="14">
        <v>2</v>
      </c>
      <c r="D103" s="14">
        <v>-1</v>
      </c>
      <c r="E103" s="14">
        <v>3</v>
      </c>
      <c r="F103" s="14">
        <v>-1</v>
      </c>
      <c r="G103" s="14">
        <v>-1</v>
      </c>
      <c r="H103" s="14">
        <v>4</v>
      </c>
      <c r="I103" s="14">
        <v>1</v>
      </c>
      <c r="J103" s="14">
        <v>-1</v>
      </c>
      <c r="K103" s="14">
        <v>2</v>
      </c>
      <c r="L103" s="14">
        <v>0</v>
      </c>
      <c r="M103" s="14">
        <v>0</v>
      </c>
      <c r="N103" s="14">
        <v>-1</v>
      </c>
      <c r="O103" s="14">
        <v>-1</v>
      </c>
      <c r="P103" s="14">
        <v>0</v>
      </c>
      <c r="Q103" s="14">
        <v>8</v>
      </c>
      <c r="R103" s="14">
        <v>0</v>
      </c>
    </row>
    <row r="104" spans="2:18" ht="20" customHeight="1">
      <c r="B104" s="13" t="s">
        <v>36</v>
      </c>
      <c r="C104" s="14">
        <v>11</v>
      </c>
      <c r="D104" s="14">
        <v>8</v>
      </c>
      <c r="E104" s="14">
        <v>12</v>
      </c>
      <c r="F104" s="14">
        <v>10</v>
      </c>
      <c r="G104" s="14">
        <v>10</v>
      </c>
      <c r="H104" s="14">
        <v>8</v>
      </c>
      <c r="I104" s="14">
        <v>3</v>
      </c>
      <c r="J104" s="14">
        <v>10</v>
      </c>
      <c r="K104" s="14">
        <v>16</v>
      </c>
      <c r="L104" s="14">
        <v>11</v>
      </c>
      <c r="M104" s="14">
        <v>7</v>
      </c>
      <c r="N104" s="14">
        <v>9</v>
      </c>
      <c r="O104" s="14">
        <v>6</v>
      </c>
      <c r="P104" s="14">
        <v>8</v>
      </c>
      <c r="Q104" s="14">
        <v>7</v>
      </c>
      <c r="R104" s="14">
        <v>0</v>
      </c>
    </row>
    <row r="105" spans="2:18" ht="20" customHeight="1">
      <c r="B105" s="13" t="s">
        <v>37</v>
      </c>
      <c r="C105" s="14">
        <v>4</v>
      </c>
      <c r="D105" s="14">
        <v>10</v>
      </c>
      <c r="E105" s="14">
        <v>6</v>
      </c>
      <c r="F105" s="14">
        <v>3</v>
      </c>
      <c r="G105" s="14">
        <v>3</v>
      </c>
      <c r="H105" s="14">
        <v>13</v>
      </c>
      <c r="I105" s="14">
        <v>8</v>
      </c>
      <c r="J105" s="14">
        <v>6</v>
      </c>
      <c r="K105" s="14">
        <v>4</v>
      </c>
      <c r="L105" s="14">
        <v>0</v>
      </c>
      <c r="M105" s="14">
        <v>4</v>
      </c>
      <c r="N105" s="14">
        <v>0</v>
      </c>
      <c r="O105" s="14">
        <v>0</v>
      </c>
      <c r="P105" s="14">
        <v>7</v>
      </c>
      <c r="Q105" s="14">
        <v>9</v>
      </c>
      <c r="R105" s="14">
        <v>0</v>
      </c>
    </row>
    <row r="106" spans="2:18" ht="20" customHeight="1">
      <c r="B106" s="13" t="s">
        <v>38</v>
      </c>
      <c r="C106" s="14">
        <v>7</v>
      </c>
      <c r="D106" s="14">
        <v>5</v>
      </c>
      <c r="E106" s="14">
        <v>7</v>
      </c>
      <c r="F106" s="14">
        <v>4</v>
      </c>
      <c r="G106" s="14">
        <v>4</v>
      </c>
      <c r="H106" s="14">
        <v>12</v>
      </c>
      <c r="I106" s="14">
        <v>0</v>
      </c>
      <c r="J106" s="14">
        <v>5</v>
      </c>
      <c r="K106" s="14">
        <v>10</v>
      </c>
      <c r="L106" s="14">
        <v>4</v>
      </c>
      <c r="M106" s="14">
        <v>2</v>
      </c>
      <c r="N106" s="14">
        <v>7</v>
      </c>
      <c r="O106" s="14">
        <v>1</v>
      </c>
      <c r="P106" s="14">
        <v>6</v>
      </c>
      <c r="Q106" s="14">
        <v>0</v>
      </c>
      <c r="R106" s="14">
        <v>0</v>
      </c>
    </row>
    <row r="107" spans="2:18" ht="20" customHeight="1">
      <c r="B107" s="13" t="s">
        <v>39</v>
      </c>
      <c r="C107" s="14">
        <v>1</v>
      </c>
      <c r="D107" s="14">
        <v>0</v>
      </c>
      <c r="E107" s="14">
        <v>1</v>
      </c>
      <c r="F107" s="14">
        <v>0</v>
      </c>
      <c r="G107" s="14">
        <v>0</v>
      </c>
      <c r="H107" s="14">
        <v>1</v>
      </c>
      <c r="I107" s="14">
        <v>5</v>
      </c>
      <c r="J107" s="14">
        <v>3</v>
      </c>
      <c r="K107" s="14">
        <v>8</v>
      </c>
      <c r="L107" s="14">
        <v>5</v>
      </c>
      <c r="M107" s="14">
        <v>0</v>
      </c>
      <c r="N107" s="14">
        <v>4</v>
      </c>
      <c r="O107" s="14">
        <v>5</v>
      </c>
      <c r="P107" s="14">
        <v>1</v>
      </c>
      <c r="Q107" s="14">
        <v>5</v>
      </c>
      <c r="R107" s="14">
        <v>2</v>
      </c>
    </row>
    <row r="108" spans="2:18" ht="20" customHeight="1">
      <c r="B108" s="13" t="s">
        <v>40</v>
      </c>
      <c r="C108" s="14">
        <v>3</v>
      </c>
      <c r="D108" s="14">
        <v>3</v>
      </c>
      <c r="E108" s="14">
        <v>5</v>
      </c>
      <c r="F108" s="14">
        <v>7</v>
      </c>
      <c r="G108" s="14">
        <v>7</v>
      </c>
      <c r="H108" s="14">
        <v>7</v>
      </c>
      <c r="I108" s="14">
        <v>6</v>
      </c>
      <c r="J108" s="14">
        <v>7</v>
      </c>
      <c r="K108" s="14">
        <v>5</v>
      </c>
      <c r="L108" s="14">
        <v>6</v>
      </c>
      <c r="M108" s="14">
        <v>8</v>
      </c>
      <c r="N108" s="14">
        <v>8</v>
      </c>
      <c r="O108" s="14">
        <v>0</v>
      </c>
      <c r="P108" s="14">
        <v>0</v>
      </c>
      <c r="Q108" s="14">
        <v>4</v>
      </c>
      <c r="R108" s="14">
        <v>3</v>
      </c>
    </row>
    <row r="109" spans="2:18" ht="20" customHeight="1">
      <c r="B109" s="13" t="s">
        <v>41</v>
      </c>
      <c r="C109" s="14">
        <v>0</v>
      </c>
      <c r="D109" s="14">
        <v>0</v>
      </c>
      <c r="E109" s="14">
        <v>0</v>
      </c>
      <c r="F109" s="14">
        <v>8</v>
      </c>
      <c r="G109" s="14">
        <v>8</v>
      </c>
      <c r="H109" s="14">
        <v>5</v>
      </c>
      <c r="I109" s="14">
        <v>0</v>
      </c>
      <c r="J109" s="14">
        <v>9</v>
      </c>
      <c r="K109" s="14">
        <v>14</v>
      </c>
      <c r="L109" s="14">
        <v>9</v>
      </c>
      <c r="M109" s="14">
        <v>13</v>
      </c>
      <c r="N109" s="14">
        <v>0</v>
      </c>
      <c r="O109" s="14">
        <v>0</v>
      </c>
      <c r="P109" s="14">
        <v>0</v>
      </c>
      <c r="Q109" s="14">
        <v>0</v>
      </c>
      <c r="R109" s="14">
        <v>9</v>
      </c>
    </row>
    <row r="110" spans="2:18" ht="20" customHeight="1">
      <c r="B110" s="13" t="s">
        <v>42</v>
      </c>
      <c r="C110" s="14">
        <v>-1</v>
      </c>
      <c r="D110" s="14">
        <v>1</v>
      </c>
      <c r="E110" s="14">
        <v>2</v>
      </c>
      <c r="F110" s="14">
        <v>2</v>
      </c>
      <c r="G110" s="14">
        <v>2</v>
      </c>
      <c r="H110" s="14">
        <v>3</v>
      </c>
      <c r="I110" s="14">
        <v>7</v>
      </c>
      <c r="J110" s="14">
        <v>1</v>
      </c>
      <c r="K110" s="14">
        <v>6</v>
      </c>
      <c r="L110" s="14">
        <v>1</v>
      </c>
      <c r="M110" s="14">
        <v>1</v>
      </c>
      <c r="N110" s="14">
        <v>5</v>
      </c>
      <c r="O110" s="14">
        <v>2</v>
      </c>
      <c r="P110" s="14">
        <v>4</v>
      </c>
      <c r="Q110" s="14">
        <v>6</v>
      </c>
      <c r="R110" s="14">
        <v>1</v>
      </c>
    </row>
    <row r="111" spans="2:18" ht="20" customHeight="1">
      <c r="B111" s="13" t="s">
        <v>43</v>
      </c>
      <c r="C111" s="14">
        <v>5</v>
      </c>
      <c r="D111" s="14">
        <v>6</v>
      </c>
      <c r="E111" s="14">
        <v>4</v>
      </c>
      <c r="F111" s="14">
        <v>5</v>
      </c>
      <c r="G111" s="14">
        <v>5</v>
      </c>
      <c r="H111" s="14">
        <v>2</v>
      </c>
      <c r="I111" s="14">
        <v>2</v>
      </c>
      <c r="J111" s="14">
        <v>2</v>
      </c>
      <c r="K111" s="14">
        <v>3</v>
      </c>
      <c r="L111" s="14">
        <v>2</v>
      </c>
      <c r="M111" s="14">
        <v>3</v>
      </c>
      <c r="N111" s="14">
        <v>2</v>
      </c>
      <c r="O111" s="14">
        <v>9</v>
      </c>
      <c r="P111" s="14">
        <v>3</v>
      </c>
      <c r="Q111" s="14">
        <v>2</v>
      </c>
      <c r="R111" s="14">
        <v>4</v>
      </c>
    </row>
    <row r="112" spans="2:18" ht="20" customHeight="1">
      <c r="B112" s="13" t="s">
        <v>44</v>
      </c>
      <c r="C112" s="14">
        <v>9</v>
      </c>
      <c r="D112" s="14">
        <v>4</v>
      </c>
      <c r="E112" s="14">
        <v>9</v>
      </c>
      <c r="F112" s="14">
        <v>11</v>
      </c>
      <c r="G112" s="14">
        <v>11</v>
      </c>
      <c r="H112" s="14">
        <v>15</v>
      </c>
      <c r="I112" s="14">
        <v>12</v>
      </c>
      <c r="J112" s="14">
        <v>8</v>
      </c>
      <c r="K112" s="14">
        <v>1</v>
      </c>
      <c r="L112" s="14">
        <v>10</v>
      </c>
      <c r="M112" s="14">
        <v>6</v>
      </c>
      <c r="N112" s="14">
        <v>3</v>
      </c>
      <c r="O112" s="14">
        <v>4</v>
      </c>
      <c r="P112" s="14">
        <v>2</v>
      </c>
      <c r="Q112" s="14">
        <v>10</v>
      </c>
      <c r="R112" s="14">
        <v>6</v>
      </c>
    </row>
    <row r="113" spans="2:18" ht="20" customHeight="1">
      <c r="B113" s="13" t="s">
        <v>45</v>
      </c>
      <c r="C113" s="14">
        <v>-2</v>
      </c>
      <c r="D113" s="14">
        <v>0</v>
      </c>
      <c r="E113" s="14">
        <v>-2</v>
      </c>
      <c r="F113" s="14">
        <v>6</v>
      </c>
      <c r="G113" s="14">
        <v>6</v>
      </c>
      <c r="H113" s="14">
        <v>10</v>
      </c>
      <c r="I113" s="14">
        <v>4</v>
      </c>
      <c r="J113" s="14">
        <v>4</v>
      </c>
      <c r="K113" s="14">
        <v>11</v>
      </c>
      <c r="L113" s="14">
        <v>0</v>
      </c>
      <c r="M113" s="14">
        <v>11</v>
      </c>
      <c r="N113" s="14">
        <v>6</v>
      </c>
      <c r="O113" s="14">
        <v>3</v>
      </c>
      <c r="P113" s="14">
        <v>0</v>
      </c>
      <c r="Q113" s="14">
        <v>0</v>
      </c>
      <c r="R113" s="14">
        <v>-1</v>
      </c>
    </row>
    <row r="114" spans="2:18" ht="20" customHeight="1">
      <c r="B114" s="13" t="s">
        <v>28</v>
      </c>
      <c r="C114" s="14">
        <v>0</v>
      </c>
      <c r="D114" s="14">
        <v>0</v>
      </c>
      <c r="E114" s="14">
        <v>0</v>
      </c>
      <c r="F114" s="14">
        <v>13</v>
      </c>
      <c r="G114" s="14">
        <v>13</v>
      </c>
      <c r="H114" s="14">
        <v>11</v>
      </c>
      <c r="I114" s="14">
        <v>14</v>
      </c>
      <c r="J114" s="14">
        <v>11</v>
      </c>
      <c r="K114" s="14">
        <v>9</v>
      </c>
      <c r="L114" s="14">
        <v>13</v>
      </c>
      <c r="M114" s="14">
        <v>12</v>
      </c>
      <c r="N114" s="14">
        <v>0</v>
      </c>
      <c r="O114" s="14">
        <v>11</v>
      </c>
      <c r="P114" s="14">
        <v>11</v>
      </c>
      <c r="Q114" s="14">
        <v>12</v>
      </c>
      <c r="R114" s="14">
        <v>10</v>
      </c>
    </row>
    <row r="115" spans="2:18" ht="20" customHeight="1">
      <c r="B115" s="15" t="s">
        <v>29</v>
      </c>
      <c r="C115" s="14">
        <v>0</v>
      </c>
      <c r="D115" s="14">
        <v>12</v>
      </c>
      <c r="E115" s="14">
        <v>0</v>
      </c>
      <c r="F115" s="14">
        <v>0</v>
      </c>
      <c r="G115" s="14">
        <v>0</v>
      </c>
      <c r="H115" s="14">
        <v>0</v>
      </c>
      <c r="I115" s="14">
        <v>15</v>
      </c>
      <c r="J115" s="14">
        <v>0</v>
      </c>
      <c r="K115" s="14">
        <v>13</v>
      </c>
      <c r="L115" s="14">
        <v>0</v>
      </c>
      <c r="M115" s="14">
        <v>0</v>
      </c>
      <c r="N115" s="14">
        <v>0</v>
      </c>
      <c r="O115" s="14">
        <v>0</v>
      </c>
      <c r="P115" s="14">
        <v>0</v>
      </c>
      <c r="Q115" s="14">
        <v>0</v>
      </c>
      <c r="R115" s="14">
        <v>-2</v>
      </c>
    </row>
    <row r="118" spans="2:18" ht="20" customHeight="1">
      <c r="B118" s="79" t="s">
        <v>50</v>
      </c>
      <c r="C118" s="86">
        <v>43101</v>
      </c>
      <c r="D118" s="86">
        <v>43132</v>
      </c>
      <c r="E118" s="86">
        <v>43160</v>
      </c>
      <c r="F118" s="86">
        <v>43191</v>
      </c>
      <c r="G118" s="86">
        <v>43221</v>
      </c>
      <c r="H118" s="86">
        <v>43252</v>
      </c>
      <c r="I118" s="86">
        <v>43282</v>
      </c>
      <c r="J118" s="86">
        <v>43313</v>
      </c>
      <c r="K118" s="86">
        <v>43344</v>
      </c>
      <c r="L118" s="86">
        <v>43374</v>
      </c>
      <c r="M118" s="86">
        <v>43405</v>
      </c>
      <c r="N118" s="86">
        <v>43435</v>
      </c>
      <c r="O118" s="86">
        <v>43466</v>
      </c>
      <c r="P118" s="86">
        <v>43497</v>
      </c>
      <c r="Q118" s="86">
        <v>43525</v>
      </c>
      <c r="R118" s="86">
        <v>43556</v>
      </c>
    </row>
    <row r="119" spans="2:18" ht="20" customHeight="1">
      <c r="B119" s="80"/>
      <c r="C119" s="87"/>
      <c r="D119" s="87"/>
      <c r="E119" s="87"/>
      <c r="F119" s="87"/>
      <c r="G119" s="87"/>
      <c r="H119" s="87"/>
      <c r="I119" s="87"/>
      <c r="J119" s="87"/>
      <c r="K119" s="87"/>
      <c r="L119" s="87"/>
      <c r="M119" s="87"/>
      <c r="N119" s="87"/>
      <c r="O119" s="87"/>
      <c r="P119" s="87"/>
      <c r="Q119" s="87"/>
      <c r="R119" s="87"/>
    </row>
    <row r="120" spans="2:18" ht="20" customHeight="1">
      <c r="B120" s="11"/>
      <c r="C120" s="12"/>
      <c r="D120" s="12"/>
      <c r="E120" s="12"/>
      <c r="F120" s="12"/>
      <c r="G120" s="12"/>
      <c r="H120" s="12"/>
      <c r="I120" s="12"/>
      <c r="J120" s="12"/>
      <c r="K120" s="12"/>
      <c r="L120" s="12"/>
      <c r="M120" s="12"/>
      <c r="N120" s="12"/>
      <c r="O120" s="12"/>
      <c r="P120" s="12"/>
      <c r="Q120" s="12"/>
      <c r="R120" s="12"/>
    </row>
    <row r="121" spans="2:18" ht="20" customHeight="1">
      <c r="B121" s="13" t="s">
        <v>30</v>
      </c>
      <c r="C121" s="14">
        <v>3</v>
      </c>
      <c r="D121" s="14">
        <v>-2</v>
      </c>
      <c r="E121" s="14">
        <v>4</v>
      </c>
      <c r="F121" s="14">
        <v>0</v>
      </c>
      <c r="G121" s="14">
        <v>0</v>
      </c>
      <c r="H121" s="14">
        <v>1</v>
      </c>
      <c r="I121" s="14">
        <v>1</v>
      </c>
      <c r="J121" s="14">
        <v>-2</v>
      </c>
      <c r="K121" s="14">
        <v>6</v>
      </c>
      <c r="L121" s="14">
        <v>1</v>
      </c>
      <c r="M121" s="14">
        <v>-1</v>
      </c>
      <c r="N121" s="14">
        <v>1</v>
      </c>
      <c r="O121" s="14">
        <v>3</v>
      </c>
      <c r="P121" s="14">
        <v>2</v>
      </c>
      <c r="Q121" s="14">
        <v>4</v>
      </c>
      <c r="R121" s="14">
        <v>-1</v>
      </c>
    </row>
    <row r="122" spans="2:18" ht="20" customHeight="1">
      <c r="B122" s="13" t="s">
        <v>31</v>
      </c>
      <c r="C122" s="14">
        <v>5</v>
      </c>
      <c r="D122" s="14">
        <v>2</v>
      </c>
      <c r="E122" s="14">
        <v>10</v>
      </c>
      <c r="F122" s="14">
        <v>2</v>
      </c>
      <c r="G122" s="14">
        <v>2</v>
      </c>
      <c r="H122" s="14">
        <v>-1</v>
      </c>
      <c r="I122" s="14">
        <v>-1</v>
      </c>
      <c r="J122" s="14">
        <v>-3</v>
      </c>
      <c r="K122" s="14">
        <v>5</v>
      </c>
      <c r="L122" s="14">
        <v>5</v>
      </c>
      <c r="M122" s="14">
        <v>4</v>
      </c>
      <c r="N122" s="14">
        <v>6</v>
      </c>
      <c r="O122" s="14">
        <v>4</v>
      </c>
      <c r="P122" s="14">
        <v>8</v>
      </c>
      <c r="Q122" s="14">
        <v>2</v>
      </c>
      <c r="R122" s="14">
        <v>-5</v>
      </c>
    </row>
    <row r="123" spans="2:18" ht="20" customHeight="1">
      <c r="B123" s="13" t="s">
        <v>32</v>
      </c>
      <c r="C123" s="14">
        <v>7</v>
      </c>
      <c r="D123" s="14">
        <v>-3</v>
      </c>
      <c r="E123" s="14">
        <v>-1</v>
      </c>
      <c r="F123" s="14">
        <v>-1</v>
      </c>
      <c r="G123" s="14">
        <v>-1</v>
      </c>
      <c r="H123" s="14">
        <v>-4</v>
      </c>
      <c r="I123" s="14">
        <v>4</v>
      </c>
      <c r="J123" s="14">
        <v>7</v>
      </c>
      <c r="K123" s="14">
        <v>9</v>
      </c>
      <c r="L123" s="14">
        <v>0</v>
      </c>
      <c r="M123" s="14">
        <v>-2</v>
      </c>
      <c r="N123" s="14">
        <v>4</v>
      </c>
      <c r="O123" s="14">
        <v>-7</v>
      </c>
      <c r="P123" s="14">
        <v>-4</v>
      </c>
      <c r="Q123" s="14">
        <v>7</v>
      </c>
      <c r="R123" s="14">
        <v>2</v>
      </c>
    </row>
    <row r="124" spans="2:18" ht="20" customHeight="1">
      <c r="B124" s="13" t="s">
        <v>33</v>
      </c>
      <c r="C124" s="14">
        <v>-6</v>
      </c>
      <c r="D124" s="14">
        <v>-7</v>
      </c>
      <c r="E124" s="14">
        <v>0</v>
      </c>
      <c r="F124" s="14">
        <v>9</v>
      </c>
      <c r="G124" s="14">
        <v>9</v>
      </c>
      <c r="H124" s="14">
        <v>8</v>
      </c>
      <c r="I124" s="14">
        <v>10</v>
      </c>
      <c r="J124" s="14">
        <v>-4</v>
      </c>
      <c r="K124" s="14">
        <v>14</v>
      </c>
      <c r="L124" s="14">
        <v>10</v>
      </c>
      <c r="M124" s="14">
        <v>0</v>
      </c>
      <c r="N124" s="14">
        <v>7</v>
      </c>
      <c r="O124" s="14">
        <v>-6</v>
      </c>
      <c r="P124" s="14">
        <v>-6</v>
      </c>
      <c r="Q124" s="14">
        <v>0</v>
      </c>
      <c r="R124" s="14">
        <v>7</v>
      </c>
    </row>
    <row r="125" spans="2:18" ht="20" customHeight="1">
      <c r="B125" s="13" t="s">
        <v>34</v>
      </c>
      <c r="C125" s="14">
        <v>10</v>
      </c>
      <c r="D125" s="14">
        <v>-8</v>
      </c>
      <c r="E125" s="14">
        <v>12</v>
      </c>
      <c r="F125" s="14">
        <v>7</v>
      </c>
      <c r="G125" s="14">
        <v>7</v>
      </c>
      <c r="H125" s="14">
        <v>7</v>
      </c>
      <c r="I125" s="14">
        <v>9</v>
      </c>
      <c r="J125" s="14">
        <v>11</v>
      </c>
      <c r="K125" s="14">
        <v>0</v>
      </c>
      <c r="L125" s="14">
        <v>-3</v>
      </c>
      <c r="M125" s="14">
        <v>0</v>
      </c>
      <c r="N125" s="14">
        <v>-5</v>
      </c>
      <c r="O125" s="14">
        <v>0</v>
      </c>
      <c r="P125" s="14">
        <v>0</v>
      </c>
      <c r="Q125" s="14">
        <v>8</v>
      </c>
      <c r="R125" s="14">
        <v>5</v>
      </c>
    </row>
    <row r="126" spans="2:18" ht="20" customHeight="1">
      <c r="B126" s="13" t="s">
        <v>35</v>
      </c>
      <c r="C126" s="14">
        <v>-5</v>
      </c>
      <c r="D126" s="14">
        <v>6</v>
      </c>
      <c r="E126" s="14">
        <v>9</v>
      </c>
      <c r="F126" s="14">
        <v>-2</v>
      </c>
      <c r="G126" s="14">
        <v>-2</v>
      </c>
      <c r="H126" s="14">
        <v>0</v>
      </c>
      <c r="I126" s="14">
        <v>2</v>
      </c>
      <c r="J126" s="14">
        <v>-1</v>
      </c>
      <c r="K126" s="14">
        <v>8</v>
      </c>
      <c r="L126" s="14">
        <v>3</v>
      </c>
      <c r="M126" s="14">
        <v>-4</v>
      </c>
      <c r="N126" s="14">
        <v>0</v>
      </c>
      <c r="O126" s="14">
        <v>-1</v>
      </c>
      <c r="P126" s="14">
        <v>5</v>
      </c>
      <c r="Q126" s="14">
        <v>-3</v>
      </c>
      <c r="R126" s="14">
        <v>0</v>
      </c>
    </row>
    <row r="127" spans="2:18" ht="20" customHeight="1">
      <c r="B127" s="13" t="s">
        <v>36</v>
      </c>
      <c r="C127" s="14">
        <v>9</v>
      </c>
      <c r="D127" s="14">
        <v>-6</v>
      </c>
      <c r="E127" s="14">
        <v>6</v>
      </c>
      <c r="F127" s="14">
        <v>4</v>
      </c>
      <c r="G127" s="14">
        <v>4</v>
      </c>
      <c r="H127" s="14">
        <v>5</v>
      </c>
      <c r="I127" s="14">
        <v>6</v>
      </c>
      <c r="J127" s="14">
        <v>10</v>
      </c>
      <c r="K127" s="14">
        <v>-1</v>
      </c>
      <c r="L127" s="14">
        <v>0</v>
      </c>
      <c r="M127" s="14">
        <v>-3</v>
      </c>
      <c r="N127" s="14">
        <v>-4</v>
      </c>
      <c r="O127" s="14">
        <v>-3</v>
      </c>
      <c r="P127" s="14">
        <v>-2</v>
      </c>
      <c r="Q127" s="14">
        <v>0</v>
      </c>
      <c r="R127" s="14">
        <v>0</v>
      </c>
    </row>
    <row r="128" spans="2:18" ht="20" customHeight="1">
      <c r="B128" s="13" t="s">
        <v>37</v>
      </c>
      <c r="C128" s="14">
        <v>4</v>
      </c>
      <c r="D128" s="14">
        <v>-1</v>
      </c>
      <c r="E128" s="14">
        <v>0</v>
      </c>
      <c r="F128" s="14">
        <v>3</v>
      </c>
      <c r="G128" s="14">
        <v>3</v>
      </c>
      <c r="H128" s="14">
        <v>-5</v>
      </c>
      <c r="I128" s="14">
        <v>0</v>
      </c>
      <c r="J128" s="14">
        <v>9</v>
      </c>
      <c r="K128" s="14">
        <v>0</v>
      </c>
      <c r="L128" s="14">
        <v>6</v>
      </c>
      <c r="M128" s="14">
        <v>5</v>
      </c>
      <c r="N128" s="14">
        <v>5</v>
      </c>
      <c r="O128" s="14">
        <v>7</v>
      </c>
      <c r="P128" s="14">
        <v>-3</v>
      </c>
      <c r="Q128" s="14">
        <v>0</v>
      </c>
      <c r="R128" s="14">
        <v>4</v>
      </c>
    </row>
    <row r="129" spans="2:18" ht="20" customHeight="1">
      <c r="B129" s="13" t="s">
        <v>38</v>
      </c>
      <c r="C129" s="14">
        <v>6</v>
      </c>
      <c r="D129" s="14">
        <v>7</v>
      </c>
      <c r="E129" s="14">
        <v>8</v>
      </c>
      <c r="F129" s="14">
        <v>8</v>
      </c>
      <c r="G129" s="14">
        <v>8</v>
      </c>
      <c r="H129" s="14">
        <v>-6</v>
      </c>
      <c r="I129" s="14">
        <v>0</v>
      </c>
      <c r="J129" s="14">
        <v>6</v>
      </c>
      <c r="K129" s="14">
        <v>0</v>
      </c>
      <c r="L129" s="14">
        <v>9</v>
      </c>
      <c r="M129" s="14">
        <v>0</v>
      </c>
      <c r="N129" s="14">
        <v>-2</v>
      </c>
      <c r="O129" s="14">
        <v>0</v>
      </c>
      <c r="P129" s="14">
        <v>3</v>
      </c>
      <c r="Q129" s="14">
        <v>-2</v>
      </c>
      <c r="R129" s="14">
        <v>3</v>
      </c>
    </row>
    <row r="130" spans="2:18" ht="20" customHeight="1">
      <c r="B130" s="13" t="s">
        <v>39</v>
      </c>
      <c r="C130" s="14">
        <v>1</v>
      </c>
      <c r="D130" s="14">
        <v>-4</v>
      </c>
      <c r="E130" s="14">
        <v>3</v>
      </c>
      <c r="F130" s="14">
        <v>0</v>
      </c>
      <c r="G130" s="14">
        <v>0</v>
      </c>
      <c r="H130" s="14">
        <v>-3</v>
      </c>
      <c r="I130" s="14">
        <v>3</v>
      </c>
      <c r="J130" s="14">
        <v>5</v>
      </c>
      <c r="K130" s="14">
        <v>3</v>
      </c>
      <c r="L130" s="14">
        <v>2</v>
      </c>
      <c r="M130" s="14">
        <v>0</v>
      </c>
      <c r="N130" s="14">
        <v>-1</v>
      </c>
      <c r="O130" s="14">
        <v>2</v>
      </c>
      <c r="P130" s="14">
        <v>7</v>
      </c>
      <c r="Q130" s="14">
        <v>-1</v>
      </c>
      <c r="R130" s="14">
        <v>-3</v>
      </c>
    </row>
    <row r="131" spans="2:18" ht="20" customHeight="1">
      <c r="B131" s="13" t="s">
        <v>40</v>
      </c>
      <c r="C131" s="14">
        <v>-2</v>
      </c>
      <c r="D131" s="14">
        <v>-5</v>
      </c>
      <c r="E131" s="14">
        <v>2</v>
      </c>
      <c r="F131" s="14">
        <v>0</v>
      </c>
      <c r="G131" s="14">
        <v>0</v>
      </c>
      <c r="H131" s="14">
        <v>0</v>
      </c>
      <c r="I131" s="14">
        <v>5</v>
      </c>
      <c r="J131" s="14">
        <v>3</v>
      </c>
      <c r="K131" s="14">
        <v>2</v>
      </c>
      <c r="L131" s="14">
        <v>7</v>
      </c>
      <c r="M131" s="14">
        <v>3</v>
      </c>
      <c r="N131" s="14">
        <v>0</v>
      </c>
      <c r="O131" s="14">
        <v>6</v>
      </c>
      <c r="P131" s="14">
        <v>1</v>
      </c>
      <c r="Q131" s="14">
        <v>0</v>
      </c>
      <c r="R131" s="14">
        <v>0</v>
      </c>
    </row>
    <row r="132" spans="2:18" ht="20" customHeight="1">
      <c r="B132" s="13" t="s">
        <v>41</v>
      </c>
      <c r="C132" s="14">
        <v>8</v>
      </c>
      <c r="D132" s="14">
        <v>0</v>
      </c>
      <c r="E132" s="14">
        <v>0</v>
      </c>
      <c r="F132" s="14">
        <v>0</v>
      </c>
      <c r="G132" s="14">
        <v>0</v>
      </c>
      <c r="H132" s="14">
        <v>0</v>
      </c>
      <c r="I132" s="14">
        <v>0</v>
      </c>
      <c r="J132" s="14">
        <v>0</v>
      </c>
      <c r="K132" s="14">
        <v>13</v>
      </c>
      <c r="L132" s="14">
        <v>-1</v>
      </c>
      <c r="M132" s="14">
        <v>0</v>
      </c>
      <c r="N132" s="14">
        <v>-3</v>
      </c>
      <c r="O132" s="14">
        <v>-5</v>
      </c>
      <c r="P132" s="14">
        <v>10</v>
      </c>
      <c r="Q132" s="14">
        <v>6</v>
      </c>
      <c r="R132" s="14">
        <v>0</v>
      </c>
    </row>
    <row r="133" spans="2:18" ht="20" customHeight="1">
      <c r="B133" s="13" t="s">
        <v>42</v>
      </c>
      <c r="C133" s="14">
        <v>-1</v>
      </c>
      <c r="D133" s="14">
        <v>4</v>
      </c>
      <c r="E133" s="14">
        <v>1</v>
      </c>
      <c r="F133" s="14">
        <v>5</v>
      </c>
      <c r="G133" s="14">
        <v>5</v>
      </c>
      <c r="H133" s="14">
        <v>-2</v>
      </c>
      <c r="I133" s="14">
        <v>-3</v>
      </c>
      <c r="J133" s="14">
        <v>2</v>
      </c>
      <c r="K133" s="14">
        <v>7</v>
      </c>
      <c r="L133" s="14">
        <v>4</v>
      </c>
      <c r="M133" s="14">
        <v>1</v>
      </c>
      <c r="N133" s="14">
        <v>0</v>
      </c>
      <c r="O133" s="14">
        <v>5</v>
      </c>
      <c r="P133" s="14">
        <v>6</v>
      </c>
      <c r="Q133" s="14">
        <v>5</v>
      </c>
      <c r="R133" s="14">
        <v>1</v>
      </c>
    </row>
    <row r="134" spans="2:18" ht="20" customHeight="1">
      <c r="B134" s="13" t="s">
        <v>43</v>
      </c>
      <c r="C134" s="14">
        <v>-3</v>
      </c>
      <c r="D134" s="14">
        <v>3</v>
      </c>
      <c r="E134" s="14">
        <v>5</v>
      </c>
      <c r="F134" s="14">
        <v>1</v>
      </c>
      <c r="G134" s="14">
        <v>1</v>
      </c>
      <c r="H134" s="14">
        <v>2</v>
      </c>
      <c r="I134" s="14">
        <v>-2</v>
      </c>
      <c r="J134" s="14">
        <v>4</v>
      </c>
      <c r="K134" s="14">
        <v>1</v>
      </c>
      <c r="L134" s="14">
        <v>0</v>
      </c>
      <c r="M134" s="14">
        <v>-5</v>
      </c>
      <c r="N134" s="14">
        <v>0</v>
      </c>
      <c r="O134" s="14">
        <v>1</v>
      </c>
      <c r="P134" s="14">
        <v>4</v>
      </c>
      <c r="Q134" s="14">
        <v>0</v>
      </c>
      <c r="R134" s="14">
        <v>-4</v>
      </c>
    </row>
    <row r="135" spans="2:18" ht="20" customHeight="1">
      <c r="B135" s="13" t="s">
        <v>44</v>
      </c>
      <c r="C135" s="14">
        <v>-4</v>
      </c>
      <c r="D135" s="14">
        <v>5</v>
      </c>
      <c r="E135" s="14">
        <v>7</v>
      </c>
      <c r="F135" s="14">
        <v>6</v>
      </c>
      <c r="G135" s="14">
        <v>6</v>
      </c>
      <c r="H135" s="14">
        <v>3</v>
      </c>
      <c r="I135" s="14">
        <v>0</v>
      </c>
      <c r="J135" s="14">
        <v>1</v>
      </c>
      <c r="K135" s="14">
        <v>4</v>
      </c>
      <c r="L135" s="14">
        <v>-2</v>
      </c>
      <c r="M135" s="14">
        <v>-6</v>
      </c>
      <c r="N135" s="14">
        <v>2</v>
      </c>
      <c r="O135" s="14">
        <v>-4</v>
      </c>
      <c r="P135" s="14">
        <v>-1</v>
      </c>
      <c r="Q135" s="14">
        <v>1</v>
      </c>
      <c r="R135" s="14">
        <v>-2</v>
      </c>
    </row>
    <row r="136" spans="2:18" ht="20" customHeight="1">
      <c r="B136" s="13" t="s">
        <v>45</v>
      </c>
      <c r="C136" s="14">
        <v>2</v>
      </c>
      <c r="D136" s="14">
        <v>1</v>
      </c>
      <c r="E136" s="14">
        <v>11</v>
      </c>
      <c r="F136" s="14">
        <v>0</v>
      </c>
      <c r="G136" s="14">
        <v>0</v>
      </c>
      <c r="H136" s="14">
        <v>4</v>
      </c>
      <c r="I136" s="14">
        <v>7</v>
      </c>
      <c r="J136" s="14">
        <v>8</v>
      </c>
      <c r="K136" s="14">
        <v>11</v>
      </c>
      <c r="L136" s="14">
        <v>8</v>
      </c>
      <c r="M136" s="14">
        <v>2</v>
      </c>
      <c r="N136" s="14">
        <v>3</v>
      </c>
      <c r="O136" s="14">
        <v>-2</v>
      </c>
      <c r="P136" s="14">
        <v>-5</v>
      </c>
      <c r="Q136" s="14">
        <v>3</v>
      </c>
      <c r="R136" s="14">
        <v>6</v>
      </c>
    </row>
    <row r="137" spans="2:18" ht="20" customHeight="1">
      <c r="B137" s="13" t="s">
        <v>28</v>
      </c>
      <c r="C137" s="14">
        <v>-2</v>
      </c>
      <c r="D137" s="14">
        <v>8</v>
      </c>
      <c r="E137" s="14">
        <v>0</v>
      </c>
      <c r="F137" s="14">
        <v>0</v>
      </c>
      <c r="G137" s="14">
        <v>0</v>
      </c>
      <c r="H137" s="14">
        <v>6</v>
      </c>
      <c r="I137" s="14">
        <v>0</v>
      </c>
      <c r="J137" s="14">
        <v>12</v>
      </c>
      <c r="K137" s="14">
        <v>10</v>
      </c>
      <c r="L137" s="14">
        <v>11</v>
      </c>
      <c r="M137" s="14">
        <v>6</v>
      </c>
      <c r="N137" s="14">
        <v>8</v>
      </c>
      <c r="O137" s="14">
        <v>9</v>
      </c>
      <c r="P137" s="14">
        <v>9</v>
      </c>
      <c r="Q137" s="14">
        <v>10</v>
      </c>
      <c r="R137" s="14">
        <v>0</v>
      </c>
    </row>
    <row r="138" spans="2:18" ht="20" customHeight="1">
      <c r="B138" s="15" t="s">
        <v>29</v>
      </c>
      <c r="C138" s="14">
        <v>0</v>
      </c>
      <c r="D138" s="14">
        <v>0</v>
      </c>
      <c r="E138" s="14">
        <v>0</v>
      </c>
      <c r="F138" s="14">
        <v>0</v>
      </c>
      <c r="G138" s="14">
        <v>0</v>
      </c>
      <c r="H138" s="14">
        <v>0</v>
      </c>
      <c r="I138" s="14">
        <v>8</v>
      </c>
      <c r="J138" s="14">
        <v>0</v>
      </c>
      <c r="K138" s="14">
        <v>12</v>
      </c>
      <c r="L138" s="14">
        <v>0</v>
      </c>
      <c r="M138" s="14">
        <v>7</v>
      </c>
      <c r="N138" s="14">
        <v>9</v>
      </c>
      <c r="O138" s="14">
        <v>8</v>
      </c>
      <c r="P138" s="14">
        <v>0</v>
      </c>
      <c r="Q138" s="14">
        <v>9</v>
      </c>
      <c r="R138" s="14">
        <v>0</v>
      </c>
    </row>
    <row r="141" spans="2:18" ht="20" customHeight="1">
      <c r="B141" s="79" t="s">
        <v>51</v>
      </c>
      <c r="C141" s="86">
        <v>43101</v>
      </c>
      <c r="D141" s="86">
        <v>43132</v>
      </c>
      <c r="E141" s="86">
        <v>43160</v>
      </c>
      <c r="F141" s="86">
        <v>43191</v>
      </c>
      <c r="G141" s="86">
        <v>43221</v>
      </c>
      <c r="H141" s="86">
        <v>43252</v>
      </c>
      <c r="I141" s="86">
        <v>43282</v>
      </c>
      <c r="J141" s="86">
        <v>43313</v>
      </c>
      <c r="K141" s="86">
        <v>43344</v>
      </c>
      <c r="L141" s="86">
        <v>43374</v>
      </c>
      <c r="M141" s="86">
        <v>43405</v>
      </c>
      <c r="N141" s="86">
        <v>43435</v>
      </c>
      <c r="O141" s="86">
        <v>43466</v>
      </c>
      <c r="P141" s="86">
        <v>43497</v>
      </c>
      <c r="Q141" s="86">
        <v>43525</v>
      </c>
      <c r="R141" s="86">
        <v>43556</v>
      </c>
    </row>
    <row r="142" spans="2:18" ht="20" customHeight="1">
      <c r="B142" s="80"/>
      <c r="C142" s="87"/>
      <c r="D142" s="87"/>
      <c r="E142" s="87"/>
      <c r="F142" s="87"/>
      <c r="G142" s="87"/>
      <c r="H142" s="87"/>
      <c r="I142" s="87"/>
      <c r="J142" s="87"/>
      <c r="K142" s="87"/>
      <c r="L142" s="87"/>
      <c r="M142" s="87"/>
      <c r="N142" s="87"/>
      <c r="O142" s="87"/>
      <c r="P142" s="87"/>
      <c r="Q142" s="87"/>
      <c r="R142" s="87"/>
    </row>
    <row r="143" spans="2:18" ht="20" customHeight="1">
      <c r="B143" s="11"/>
      <c r="C143" s="12"/>
      <c r="D143" s="12"/>
      <c r="E143" s="12"/>
      <c r="F143" s="12"/>
      <c r="G143" s="12"/>
      <c r="H143" s="12"/>
      <c r="I143" s="12"/>
      <c r="J143" s="12"/>
      <c r="K143" s="12"/>
      <c r="L143" s="12"/>
      <c r="M143" s="12"/>
      <c r="N143" s="12"/>
      <c r="O143" s="12"/>
      <c r="P143" s="12"/>
      <c r="Q143" s="12"/>
      <c r="R143" s="12"/>
    </row>
    <row r="144" spans="2:18" ht="20" customHeight="1">
      <c r="B144" s="13" t="s">
        <v>30</v>
      </c>
      <c r="C144" s="14">
        <v>-3</v>
      </c>
      <c r="D144" s="14">
        <v>-6</v>
      </c>
      <c r="E144" s="14">
        <v>4</v>
      </c>
      <c r="F144" s="14">
        <v>-8</v>
      </c>
      <c r="G144" s="14">
        <v>-8</v>
      </c>
      <c r="H144" s="14">
        <v>-8</v>
      </c>
      <c r="I144" s="14">
        <v>-7</v>
      </c>
      <c r="J144" s="14">
        <v>-7</v>
      </c>
      <c r="K144" s="14">
        <v>-10</v>
      </c>
      <c r="L144" s="14">
        <v>-3</v>
      </c>
      <c r="M144" s="14">
        <v>-7</v>
      </c>
      <c r="N144" s="14">
        <v>-4</v>
      </c>
      <c r="O144" s="14">
        <v>-11</v>
      </c>
      <c r="P144" s="14">
        <v>-7</v>
      </c>
      <c r="Q144" s="14">
        <v>-9</v>
      </c>
      <c r="R144" s="14">
        <v>-7</v>
      </c>
    </row>
    <row r="145" spans="2:18" ht="20" customHeight="1">
      <c r="B145" s="13" t="s">
        <v>31</v>
      </c>
      <c r="C145" s="14">
        <v>-1</v>
      </c>
      <c r="D145" s="14">
        <v>-2</v>
      </c>
      <c r="E145" s="14">
        <v>10</v>
      </c>
      <c r="F145" s="14">
        <v>-6</v>
      </c>
      <c r="G145" s="14">
        <v>-6</v>
      </c>
      <c r="H145" s="14">
        <v>-4</v>
      </c>
      <c r="I145" s="14">
        <v>-4</v>
      </c>
      <c r="J145" s="14">
        <v>-10</v>
      </c>
      <c r="K145" s="14">
        <v>-8</v>
      </c>
      <c r="L145" s="14">
        <v>-6</v>
      </c>
      <c r="M145" s="14">
        <v>-1</v>
      </c>
      <c r="N145" s="14">
        <v>-6</v>
      </c>
      <c r="O145" s="14">
        <v>-5</v>
      </c>
      <c r="P145" s="14">
        <v>0</v>
      </c>
      <c r="Q145" s="14">
        <v>-6</v>
      </c>
      <c r="R145" s="14">
        <v>-3</v>
      </c>
    </row>
    <row r="146" spans="2:18" ht="20" customHeight="1">
      <c r="B146" s="13" t="s">
        <v>32</v>
      </c>
      <c r="C146" s="14">
        <v>-6</v>
      </c>
      <c r="D146" s="14">
        <v>-7</v>
      </c>
      <c r="E146" s="14">
        <v>-1</v>
      </c>
      <c r="F146" s="14">
        <v>-4</v>
      </c>
      <c r="G146" s="14">
        <v>-4</v>
      </c>
      <c r="H146" s="14">
        <v>-6</v>
      </c>
      <c r="I146" s="14">
        <v>-3</v>
      </c>
      <c r="J146" s="14">
        <v>-9</v>
      </c>
      <c r="K146" s="14">
        <v>-9</v>
      </c>
      <c r="L146" s="14">
        <v>-7</v>
      </c>
      <c r="M146" s="14">
        <v>-6</v>
      </c>
      <c r="N146" s="14">
        <v>-8</v>
      </c>
      <c r="O146" s="14">
        <v>0</v>
      </c>
      <c r="P146" s="14">
        <v>-6</v>
      </c>
      <c r="Q146" s="14">
        <v>-1</v>
      </c>
      <c r="R146" s="14">
        <v>-5</v>
      </c>
    </row>
    <row r="147" spans="2:18" ht="20" customHeight="1">
      <c r="B147" s="13" t="s">
        <v>33</v>
      </c>
      <c r="C147" s="14">
        <v>-11</v>
      </c>
      <c r="D147" s="14">
        <v>-9</v>
      </c>
      <c r="E147" s="14">
        <v>0</v>
      </c>
      <c r="F147" s="14">
        <v>0</v>
      </c>
      <c r="G147" s="14">
        <v>0</v>
      </c>
      <c r="H147" s="14">
        <v>0</v>
      </c>
      <c r="I147" s="14">
        <v>-13</v>
      </c>
      <c r="J147" s="14">
        <v>3</v>
      </c>
      <c r="K147" s="14">
        <v>-12</v>
      </c>
      <c r="L147" s="14">
        <v>0</v>
      </c>
      <c r="M147" s="14">
        <v>0</v>
      </c>
      <c r="N147" s="14">
        <v>-11</v>
      </c>
      <c r="O147" s="14">
        <v>0</v>
      </c>
      <c r="P147" s="14">
        <v>0</v>
      </c>
      <c r="Q147" s="14">
        <v>1</v>
      </c>
      <c r="R147" s="14">
        <v>3</v>
      </c>
    </row>
    <row r="148" spans="2:18" ht="20" customHeight="1">
      <c r="B148" s="13" t="s">
        <v>34</v>
      </c>
      <c r="C148" s="14">
        <v>0</v>
      </c>
      <c r="D148" s="14">
        <v>0</v>
      </c>
      <c r="E148" s="14">
        <v>12</v>
      </c>
      <c r="F148" s="14">
        <v>0</v>
      </c>
      <c r="G148" s="14">
        <v>0</v>
      </c>
      <c r="H148" s="14">
        <v>0</v>
      </c>
      <c r="I148" s="14">
        <v>0</v>
      </c>
      <c r="J148" s="14">
        <v>0</v>
      </c>
      <c r="K148" s="14">
        <v>0</v>
      </c>
      <c r="L148" s="14">
        <v>0</v>
      </c>
      <c r="M148" s="14">
        <v>0</v>
      </c>
      <c r="N148" s="14">
        <v>0</v>
      </c>
      <c r="O148" s="14">
        <v>0</v>
      </c>
      <c r="P148" s="14">
        <v>0</v>
      </c>
      <c r="Q148" s="14">
        <v>0</v>
      </c>
      <c r="R148" s="14">
        <v>0</v>
      </c>
    </row>
    <row r="149" spans="2:18" ht="20" customHeight="1">
      <c r="B149" s="13" t="s">
        <v>35</v>
      </c>
      <c r="C149" s="14">
        <v>-12</v>
      </c>
      <c r="D149" s="14">
        <v>-8</v>
      </c>
      <c r="E149" s="14">
        <v>9</v>
      </c>
      <c r="F149" s="14">
        <v>-9</v>
      </c>
      <c r="G149" s="14">
        <v>-9</v>
      </c>
      <c r="H149" s="14">
        <v>-1</v>
      </c>
      <c r="I149" s="14">
        <v>0</v>
      </c>
      <c r="J149" s="14">
        <v>0</v>
      </c>
      <c r="K149" s="14">
        <v>-3</v>
      </c>
      <c r="L149" s="14">
        <v>0</v>
      </c>
      <c r="M149" s="14">
        <v>-2</v>
      </c>
      <c r="N149" s="14">
        <v>-9</v>
      </c>
      <c r="O149" s="14">
        <v>-8</v>
      </c>
      <c r="P149" s="14">
        <v>-4</v>
      </c>
      <c r="Q149" s="14">
        <v>-8</v>
      </c>
      <c r="R149" s="14">
        <v>0</v>
      </c>
    </row>
    <row r="150" spans="2:18" ht="20" customHeight="1">
      <c r="B150" s="13" t="s">
        <v>36</v>
      </c>
      <c r="C150" s="14">
        <v>0</v>
      </c>
      <c r="D150" s="14">
        <v>0</v>
      </c>
      <c r="E150" s="14">
        <v>6</v>
      </c>
      <c r="F150" s="14">
        <v>0</v>
      </c>
      <c r="G150" s="14">
        <v>0</v>
      </c>
      <c r="H150" s="14">
        <v>0</v>
      </c>
      <c r="I150" s="14">
        <v>-10</v>
      </c>
      <c r="J150" s="14">
        <v>-11</v>
      </c>
      <c r="K150" s="14">
        <v>1</v>
      </c>
      <c r="L150" s="14">
        <v>-5</v>
      </c>
      <c r="M150" s="14">
        <v>2</v>
      </c>
      <c r="N150" s="14">
        <v>-10</v>
      </c>
      <c r="O150" s="14">
        <v>-9</v>
      </c>
      <c r="P150" s="14">
        <v>1</v>
      </c>
      <c r="Q150" s="14">
        <v>0</v>
      </c>
      <c r="R150" s="14">
        <v>0</v>
      </c>
    </row>
    <row r="151" spans="2:18" ht="20" customHeight="1">
      <c r="B151" s="13" t="s">
        <v>37</v>
      </c>
      <c r="C151" s="14">
        <v>0</v>
      </c>
      <c r="D151" s="14">
        <v>0</v>
      </c>
      <c r="E151" s="14">
        <v>0</v>
      </c>
      <c r="F151" s="14">
        <v>0</v>
      </c>
      <c r="G151" s="14">
        <v>0</v>
      </c>
      <c r="H151" s="14">
        <v>0</v>
      </c>
      <c r="I151" s="14">
        <v>-11</v>
      </c>
      <c r="J151" s="14">
        <v>0</v>
      </c>
      <c r="K151" s="14">
        <v>-7</v>
      </c>
      <c r="L151" s="14">
        <v>0</v>
      </c>
      <c r="M151" s="14">
        <v>0</v>
      </c>
      <c r="N151" s="14">
        <v>0</v>
      </c>
      <c r="O151" s="14">
        <v>0</v>
      </c>
      <c r="P151" s="14">
        <v>-9</v>
      </c>
      <c r="Q151" s="14">
        <v>0</v>
      </c>
      <c r="R151" s="14">
        <v>0</v>
      </c>
    </row>
    <row r="152" spans="2:18" ht="20" customHeight="1">
      <c r="B152" s="13" t="s">
        <v>38</v>
      </c>
      <c r="C152" s="14">
        <v>-9</v>
      </c>
      <c r="D152" s="14">
        <v>-5</v>
      </c>
      <c r="E152" s="14">
        <v>8</v>
      </c>
      <c r="F152" s="14">
        <v>-5</v>
      </c>
      <c r="G152" s="14">
        <v>-5</v>
      </c>
      <c r="H152" s="14">
        <v>-10</v>
      </c>
      <c r="I152" s="14">
        <v>-12</v>
      </c>
      <c r="J152" s="14">
        <v>-4</v>
      </c>
      <c r="K152" s="14">
        <v>-6</v>
      </c>
      <c r="L152" s="14">
        <v>-9</v>
      </c>
      <c r="M152" s="14">
        <v>-9</v>
      </c>
      <c r="N152" s="14">
        <v>-1</v>
      </c>
      <c r="O152" s="14">
        <v>-4</v>
      </c>
      <c r="P152" s="14">
        <v>-10</v>
      </c>
      <c r="Q152" s="14">
        <v>-7</v>
      </c>
      <c r="R152" s="14">
        <v>-8</v>
      </c>
    </row>
    <row r="153" spans="2:18" ht="20" customHeight="1">
      <c r="B153" s="13" t="s">
        <v>39</v>
      </c>
      <c r="C153" s="14">
        <v>-8</v>
      </c>
      <c r="D153" s="14">
        <v>-3</v>
      </c>
      <c r="E153" s="14">
        <v>3</v>
      </c>
      <c r="F153" s="14">
        <v>1</v>
      </c>
      <c r="G153" s="14">
        <v>1</v>
      </c>
      <c r="H153" s="14">
        <v>1</v>
      </c>
      <c r="I153" s="14">
        <v>-6</v>
      </c>
      <c r="J153" s="14">
        <v>-1</v>
      </c>
      <c r="K153" s="14">
        <v>0</v>
      </c>
      <c r="L153" s="14">
        <v>-1</v>
      </c>
      <c r="M153" s="14">
        <v>0</v>
      </c>
      <c r="N153" s="14">
        <v>-2</v>
      </c>
      <c r="O153" s="14">
        <v>-2</v>
      </c>
      <c r="P153" s="14">
        <v>-3</v>
      </c>
      <c r="Q153" s="14">
        <v>-4</v>
      </c>
      <c r="R153" s="14">
        <v>1</v>
      </c>
    </row>
    <row r="154" spans="2:18" ht="20" customHeight="1">
      <c r="B154" s="13" t="s">
        <v>40</v>
      </c>
      <c r="C154" s="14">
        <v>-5</v>
      </c>
      <c r="D154" s="14">
        <v>-4</v>
      </c>
      <c r="E154" s="14">
        <v>2</v>
      </c>
      <c r="F154" s="14">
        <v>0</v>
      </c>
      <c r="G154" s="14">
        <v>0</v>
      </c>
      <c r="H154" s="14">
        <v>-5</v>
      </c>
      <c r="I154" s="14">
        <v>-2</v>
      </c>
      <c r="J154" s="14">
        <v>-8</v>
      </c>
      <c r="K154" s="14">
        <v>-1</v>
      </c>
      <c r="L154" s="14">
        <v>-4</v>
      </c>
      <c r="M154" s="14">
        <v>-3</v>
      </c>
      <c r="N154" s="14">
        <v>-7</v>
      </c>
      <c r="O154" s="14">
        <v>-6</v>
      </c>
      <c r="P154" s="14">
        <v>-2</v>
      </c>
      <c r="Q154" s="14">
        <v>-3</v>
      </c>
      <c r="R154" s="14">
        <v>-2</v>
      </c>
    </row>
    <row r="155" spans="2:18" ht="20" customHeight="1">
      <c r="B155" s="13" t="s">
        <v>41</v>
      </c>
      <c r="C155" s="14">
        <v>1</v>
      </c>
      <c r="D155" s="14">
        <v>2</v>
      </c>
      <c r="E155" s="14">
        <v>0</v>
      </c>
      <c r="F155" s="14">
        <v>0</v>
      </c>
      <c r="G155" s="14">
        <v>0</v>
      </c>
      <c r="H155" s="14">
        <v>0</v>
      </c>
      <c r="I155" s="14">
        <v>0</v>
      </c>
      <c r="J155" s="14">
        <v>1</v>
      </c>
      <c r="K155" s="14">
        <v>0</v>
      </c>
      <c r="L155" s="14">
        <v>0</v>
      </c>
      <c r="M155" s="14">
        <v>-5</v>
      </c>
      <c r="N155" s="14">
        <v>0</v>
      </c>
      <c r="O155" s="14">
        <v>0</v>
      </c>
      <c r="P155" s="14">
        <v>0</v>
      </c>
      <c r="Q155" s="14">
        <v>0</v>
      </c>
      <c r="R155" s="14">
        <v>0</v>
      </c>
    </row>
    <row r="156" spans="2:18" ht="20" customHeight="1">
      <c r="B156" s="13" t="s">
        <v>42</v>
      </c>
      <c r="C156" s="14">
        <v>-4</v>
      </c>
      <c r="D156" s="14">
        <v>1</v>
      </c>
      <c r="E156" s="14">
        <v>1</v>
      </c>
      <c r="F156" s="14">
        <v>-3</v>
      </c>
      <c r="G156" s="14">
        <v>-3</v>
      </c>
      <c r="H156" s="14">
        <v>-3</v>
      </c>
      <c r="I156" s="14">
        <v>-8</v>
      </c>
      <c r="J156" s="14">
        <v>-5</v>
      </c>
      <c r="K156" s="14">
        <v>-4</v>
      </c>
      <c r="L156" s="14">
        <v>1</v>
      </c>
      <c r="M156" s="14">
        <v>0</v>
      </c>
      <c r="N156" s="14">
        <v>0</v>
      </c>
      <c r="O156" s="14">
        <v>-1</v>
      </c>
      <c r="P156" s="14">
        <v>-1</v>
      </c>
      <c r="Q156" s="14">
        <v>0</v>
      </c>
      <c r="R156" s="14">
        <v>-4</v>
      </c>
    </row>
    <row r="157" spans="2:18" ht="20" customHeight="1">
      <c r="B157" s="13" t="s">
        <v>43</v>
      </c>
      <c r="C157" s="14">
        <v>-7</v>
      </c>
      <c r="D157" s="14">
        <v>-1</v>
      </c>
      <c r="E157" s="14">
        <v>5</v>
      </c>
      <c r="F157" s="14">
        <v>-1</v>
      </c>
      <c r="G157" s="14">
        <v>-1</v>
      </c>
      <c r="H157" s="14">
        <v>-7</v>
      </c>
      <c r="I157" s="14">
        <v>-1</v>
      </c>
      <c r="J157" s="14">
        <v>-2</v>
      </c>
      <c r="K157" s="14">
        <v>-2</v>
      </c>
      <c r="L157" s="14">
        <v>-2</v>
      </c>
      <c r="M157" s="14">
        <v>-4</v>
      </c>
      <c r="N157" s="14">
        <v>-3</v>
      </c>
      <c r="O157" s="14">
        <v>-7</v>
      </c>
      <c r="P157" s="14">
        <v>-5</v>
      </c>
      <c r="Q157" s="14">
        <v>-10</v>
      </c>
      <c r="R157" s="14">
        <v>-1</v>
      </c>
    </row>
    <row r="158" spans="2:18" ht="20" customHeight="1">
      <c r="B158" s="13" t="s">
        <v>44</v>
      </c>
      <c r="C158" s="14">
        <v>-2</v>
      </c>
      <c r="D158" s="14">
        <v>0</v>
      </c>
      <c r="E158" s="14">
        <v>7</v>
      </c>
      <c r="F158" s="14">
        <v>-2</v>
      </c>
      <c r="G158" s="14">
        <v>-2</v>
      </c>
      <c r="H158" s="14">
        <v>-2</v>
      </c>
      <c r="I158" s="14">
        <v>-5</v>
      </c>
      <c r="J158" s="14">
        <v>-6</v>
      </c>
      <c r="K158" s="14">
        <v>-5</v>
      </c>
      <c r="L158" s="14">
        <v>0</v>
      </c>
      <c r="M158" s="14">
        <v>-8</v>
      </c>
      <c r="N158" s="14">
        <v>-5</v>
      </c>
      <c r="O158" s="14">
        <v>-3</v>
      </c>
      <c r="P158" s="14">
        <v>-11</v>
      </c>
      <c r="Q158" s="14">
        <v>-5</v>
      </c>
      <c r="R158" s="14">
        <v>-6</v>
      </c>
    </row>
    <row r="159" spans="2:18" ht="20" customHeight="1">
      <c r="B159" s="13" t="s">
        <v>45</v>
      </c>
      <c r="C159" s="14">
        <v>-10</v>
      </c>
      <c r="D159" s="14">
        <v>0</v>
      </c>
      <c r="E159" s="14">
        <v>11</v>
      </c>
      <c r="F159" s="14">
        <v>-7</v>
      </c>
      <c r="G159" s="14">
        <v>-7</v>
      </c>
      <c r="H159" s="14">
        <v>-9</v>
      </c>
      <c r="I159" s="14">
        <v>-9</v>
      </c>
      <c r="J159" s="14">
        <v>-3</v>
      </c>
      <c r="K159" s="14">
        <v>-11</v>
      </c>
      <c r="L159" s="14">
        <v>-8</v>
      </c>
      <c r="M159" s="14">
        <v>1</v>
      </c>
      <c r="N159" s="14">
        <v>1</v>
      </c>
      <c r="O159" s="14">
        <v>-10</v>
      </c>
      <c r="P159" s="14">
        <v>-8</v>
      </c>
      <c r="Q159" s="14">
        <v>-2</v>
      </c>
      <c r="R159" s="14">
        <v>2</v>
      </c>
    </row>
    <row r="160" spans="2:18" ht="20" customHeight="1">
      <c r="B160" s="13" t="s">
        <v>28</v>
      </c>
      <c r="C160" s="14">
        <v>-13</v>
      </c>
      <c r="D160" s="14">
        <v>0</v>
      </c>
      <c r="E160" s="14">
        <v>0</v>
      </c>
      <c r="F160" s="14">
        <v>0</v>
      </c>
      <c r="G160" s="14">
        <v>0</v>
      </c>
      <c r="H160" s="14">
        <v>0</v>
      </c>
      <c r="I160" s="14">
        <v>0</v>
      </c>
      <c r="J160" s="14">
        <v>0</v>
      </c>
      <c r="K160" s="14">
        <v>0</v>
      </c>
      <c r="L160" s="14">
        <v>0</v>
      </c>
      <c r="M160" s="14">
        <v>0</v>
      </c>
      <c r="N160" s="14">
        <v>0</v>
      </c>
      <c r="O160" s="14">
        <v>-13</v>
      </c>
      <c r="P160" s="14">
        <v>-12</v>
      </c>
      <c r="Q160" s="14">
        <v>0</v>
      </c>
      <c r="R160" s="14">
        <v>0</v>
      </c>
    </row>
    <row r="161" spans="2:18" ht="20" customHeight="1">
      <c r="B161" s="15" t="s">
        <v>29</v>
      </c>
      <c r="C161" s="14">
        <v>0</v>
      </c>
      <c r="D161" s="14">
        <v>0</v>
      </c>
      <c r="E161" s="14">
        <v>0</v>
      </c>
      <c r="F161" s="14">
        <v>-10</v>
      </c>
      <c r="G161" s="14">
        <v>10</v>
      </c>
      <c r="H161" s="14">
        <v>0</v>
      </c>
      <c r="I161" s="14">
        <v>-14</v>
      </c>
      <c r="J161" s="14">
        <v>2</v>
      </c>
      <c r="K161" s="14">
        <v>0</v>
      </c>
      <c r="L161" s="14">
        <v>0</v>
      </c>
      <c r="M161" s="14">
        <v>0</v>
      </c>
      <c r="N161" s="14">
        <v>0</v>
      </c>
      <c r="O161" s="14">
        <v>-12</v>
      </c>
      <c r="P161" s="14">
        <v>0</v>
      </c>
      <c r="Q161" s="14">
        <v>0</v>
      </c>
      <c r="R161" s="14">
        <v>0</v>
      </c>
    </row>
    <row r="164" spans="2:18" ht="20" customHeight="1">
      <c r="B164" s="79" t="s">
        <v>247</v>
      </c>
      <c r="C164" s="86">
        <v>43101</v>
      </c>
      <c r="D164" s="86">
        <v>43132</v>
      </c>
      <c r="E164" s="86">
        <v>43160</v>
      </c>
      <c r="F164" s="86">
        <v>43191</v>
      </c>
      <c r="G164" s="86">
        <v>43221</v>
      </c>
      <c r="H164" s="86">
        <v>43252</v>
      </c>
      <c r="I164" s="86">
        <v>43282</v>
      </c>
      <c r="J164" s="86">
        <v>43313</v>
      </c>
      <c r="K164" s="86">
        <v>43344</v>
      </c>
      <c r="L164" s="86">
        <v>43374</v>
      </c>
      <c r="M164" s="86">
        <v>43405</v>
      </c>
      <c r="N164" s="86">
        <v>43435</v>
      </c>
      <c r="O164" s="86">
        <v>43466</v>
      </c>
      <c r="P164" s="86">
        <v>43497</v>
      </c>
      <c r="Q164" s="86">
        <v>43525</v>
      </c>
      <c r="R164" s="86">
        <v>43556</v>
      </c>
    </row>
    <row r="165" spans="2:18" ht="20" customHeight="1">
      <c r="B165" s="80"/>
      <c r="C165" s="87"/>
      <c r="D165" s="87"/>
      <c r="E165" s="87"/>
      <c r="F165" s="87"/>
      <c r="G165" s="87"/>
      <c r="H165" s="87"/>
      <c r="I165" s="87"/>
      <c r="J165" s="87"/>
      <c r="K165" s="87"/>
      <c r="L165" s="87"/>
      <c r="M165" s="87"/>
      <c r="N165" s="87"/>
      <c r="O165" s="87"/>
      <c r="P165" s="87"/>
      <c r="Q165" s="87"/>
      <c r="R165" s="87"/>
    </row>
    <row r="166" spans="2:18" ht="20" customHeight="1">
      <c r="B166" s="11"/>
      <c r="C166" s="12"/>
      <c r="D166" s="12"/>
      <c r="E166" s="12"/>
      <c r="F166" s="12"/>
      <c r="G166" s="12"/>
      <c r="H166" s="12"/>
      <c r="I166" s="12"/>
      <c r="J166" s="12"/>
      <c r="K166" s="12"/>
      <c r="L166" s="12"/>
      <c r="M166" s="12"/>
      <c r="N166" s="12"/>
      <c r="O166" s="12"/>
      <c r="P166" s="12"/>
      <c r="Q166" s="12"/>
      <c r="R166" s="12"/>
    </row>
    <row r="167" spans="2:18" ht="20" customHeight="1">
      <c r="B167" s="13" t="s">
        <v>30</v>
      </c>
      <c r="C167" s="88">
        <f>IF(C6&gt;0,1,IF(C6&lt;0,-1,C6))</f>
        <v>1</v>
      </c>
      <c r="D167" s="88">
        <f>IF(D6&gt;0,C167+1,IF(D6&lt;0,C167-1,C167))</f>
        <v>2</v>
      </c>
      <c r="E167" s="88">
        <f t="shared" ref="E167:R167" si="0">IF(E6&gt;0,D167+1,IF(E6&lt;0,D167-1,D167))</f>
        <v>3</v>
      </c>
      <c r="F167" s="88">
        <f t="shared" si="0"/>
        <v>4</v>
      </c>
      <c r="G167" s="88">
        <f t="shared" si="0"/>
        <v>5</v>
      </c>
      <c r="H167" s="88">
        <f t="shared" si="0"/>
        <v>6</v>
      </c>
      <c r="I167" s="88">
        <f t="shared" si="0"/>
        <v>7</v>
      </c>
      <c r="J167" s="88">
        <f t="shared" si="0"/>
        <v>8</v>
      </c>
      <c r="K167" s="88">
        <f t="shared" si="0"/>
        <v>9</v>
      </c>
      <c r="L167" s="88">
        <f t="shared" si="0"/>
        <v>10</v>
      </c>
      <c r="M167" s="88">
        <f t="shared" si="0"/>
        <v>11</v>
      </c>
      <c r="N167" s="88">
        <f t="shared" si="0"/>
        <v>12</v>
      </c>
      <c r="O167" s="88">
        <f t="shared" si="0"/>
        <v>13</v>
      </c>
      <c r="P167" s="88">
        <f t="shared" si="0"/>
        <v>14</v>
      </c>
      <c r="Q167" s="88">
        <f t="shared" si="0"/>
        <v>15</v>
      </c>
      <c r="R167" s="88">
        <f t="shared" si="0"/>
        <v>16</v>
      </c>
    </row>
    <row r="168" spans="2:18" ht="20" customHeight="1">
      <c r="B168" s="13" t="s">
        <v>31</v>
      </c>
      <c r="C168" s="88">
        <f t="shared" ref="C168:R184" si="1">IF(C7&gt;0,1,IF(C7&lt;0,-1,C7))</f>
        <v>1</v>
      </c>
      <c r="D168" s="88">
        <f t="shared" ref="D168:R184" si="2">IF(D7&gt;0,C168+1,IF(D7&lt;0,C168-1,C168))</f>
        <v>2</v>
      </c>
      <c r="E168" s="88">
        <f t="shared" si="2"/>
        <v>3</v>
      </c>
      <c r="F168" s="88">
        <f t="shared" si="2"/>
        <v>4</v>
      </c>
      <c r="G168" s="88">
        <f t="shared" si="2"/>
        <v>5</v>
      </c>
      <c r="H168" s="88">
        <f t="shared" si="2"/>
        <v>6</v>
      </c>
      <c r="I168" s="88">
        <f t="shared" si="2"/>
        <v>7</v>
      </c>
      <c r="J168" s="88">
        <f t="shared" si="2"/>
        <v>8</v>
      </c>
      <c r="K168" s="88">
        <f t="shared" si="2"/>
        <v>9</v>
      </c>
      <c r="L168" s="88">
        <f t="shared" si="2"/>
        <v>10</v>
      </c>
      <c r="M168" s="88">
        <f t="shared" si="2"/>
        <v>11</v>
      </c>
      <c r="N168" s="88">
        <f t="shared" si="2"/>
        <v>12</v>
      </c>
      <c r="O168" s="88">
        <f t="shared" si="2"/>
        <v>13</v>
      </c>
      <c r="P168" s="88">
        <f t="shared" si="2"/>
        <v>14</v>
      </c>
      <c r="Q168" s="88">
        <f t="shared" si="2"/>
        <v>15</v>
      </c>
      <c r="R168" s="88">
        <f t="shared" si="2"/>
        <v>16</v>
      </c>
    </row>
    <row r="169" spans="2:18" ht="20" customHeight="1">
      <c r="B169" s="13" t="s">
        <v>32</v>
      </c>
      <c r="C169" s="88">
        <f t="shared" si="1"/>
        <v>1</v>
      </c>
      <c r="D169" s="88">
        <f t="shared" si="2"/>
        <v>2</v>
      </c>
      <c r="E169" s="88">
        <f t="shared" si="2"/>
        <v>3</v>
      </c>
      <c r="F169" s="88">
        <f t="shared" si="2"/>
        <v>4</v>
      </c>
      <c r="G169" s="88">
        <f t="shared" si="2"/>
        <v>5</v>
      </c>
      <c r="H169" s="88">
        <f t="shared" si="2"/>
        <v>6</v>
      </c>
      <c r="I169" s="88">
        <f t="shared" si="2"/>
        <v>7</v>
      </c>
      <c r="J169" s="88">
        <f t="shared" si="2"/>
        <v>8</v>
      </c>
      <c r="K169" s="88">
        <f t="shared" si="2"/>
        <v>9</v>
      </c>
      <c r="L169" s="88">
        <f t="shared" si="2"/>
        <v>10</v>
      </c>
      <c r="M169" s="88">
        <f t="shared" si="2"/>
        <v>11</v>
      </c>
      <c r="N169" s="88">
        <f t="shared" si="2"/>
        <v>12</v>
      </c>
      <c r="O169" s="88">
        <f t="shared" si="2"/>
        <v>11</v>
      </c>
      <c r="P169" s="88">
        <f t="shared" si="2"/>
        <v>11</v>
      </c>
      <c r="Q169" s="88">
        <f t="shared" si="2"/>
        <v>12</v>
      </c>
      <c r="R169" s="88">
        <f t="shared" si="2"/>
        <v>11</v>
      </c>
    </row>
    <row r="170" spans="2:18" ht="20" customHeight="1">
      <c r="B170" s="13" t="s">
        <v>33</v>
      </c>
      <c r="C170" s="88">
        <f t="shared" si="1"/>
        <v>1</v>
      </c>
      <c r="D170" s="88">
        <f t="shared" si="2"/>
        <v>2</v>
      </c>
      <c r="E170" s="88">
        <f t="shared" si="2"/>
        <v>1</v>
      </c>
      <c r="F170" s="88">
        <f t="shared" si="2"/>
        <v>0</v>
      </c>
      <c r="G170" s="88">
        <f t="shared" si="2"/>
        <v>1</v>
      </c>
      <c r="H170" s="88">
        <f t="shared" si="2"/>
        <v>1</v>
      </c>
      <c r="I170" s="88">
        <f t="shared" si="2"/>
        <v>1</v>
      </c>
      <c r="J170" s="88">
        <f t="shared" si="2"/>
        <v>2</v>
      </c>
      <c r="K170" s="88">
        <f t="shared" si="2"/>
        <v>3</v>
      </c>
      <c r="L170" s="88">
        <f t="shared" si="2"/>
        <v>4</v>
      </c>
      <c r="M170" s="88">
        <f t="shared" si="2"/>
        <v>5</v>
      </c>
      <c r="N170" s="88">
        <f t="shared" si="2"/>
        <v>6</v>
      </c>
      <c r="O170" s="88">
        <f t="shared" si="2"/>
        <v>7</v>
      </c>
      <c r="P170" s="88">
        <f t="shared" si="2"/>
        <v>7</v>
      </c>
      <c r="Q170" s="88">
        <f t="shared" si="2"/>
        <v>7</v>
      </c>
      <c r="R170" s="88">
        <f t="shared" si="2"/>
        <v>6</v>
      </c>
    </row>
    <row r="171" spans="2:18" ht="20" customHeight="1">
      <c r="B171" s="13" t="s">
        <v>34</v>
      </c>
      <c r="C171" s="88">
        <f t="shared" si="1"/>
        <v>1</v>
      </c>
      <c r="D171" s="88">
        <f t="shared" si="2"/>
        <v>0</v>
      </c>
      <c r="E171" s="88">
        <f t="shared" si="2"/>
        <v>1</v>
      </c>
      <c r="F171" s="88">
        <f t="shared" si="2"/>
        <v>2</v>
      </c>
      <c r="G171" s="88">
        <f t="shared" si="2"/>
        <v>3</v>
      </c>
      <c r="H171" s="88">
        <f t="shared" si="2"/>
        <v>4</v>
      </c>
      <c r="I171" s="88">
        <f t="shared" si="2"/>
        <v>5</v>
      </c>
      <c r="J171" s="88">
        <f t="shared" si="2"/>
        <v>6</v>
      </c>
      <c r="K171" s="88">
        <f t="shared" si="2"/>
        <v>7</v>
      </c>
      <c r="L171" s="88">
        <f t="shared" si="2"/>
        <v>7</v>
      </c>
      <c r="M171" s="88">
        <f t="shared" si="2"/>
        <v>8</v>
      </c>
      <c r="N171" s="88">
        <f t="shared" si="2"/>
        <v>7</v>
      </c>
      <c r="O171" s="88">
        <f t="shared" si="2"/>
        <v>6</v>
      </c>
      <c r="P171" s="88">
        <f t="shared" si="2"/>
        <v>7</v>
      </c>
      <c r="Q171" s="88">
        <f t="shared" si="2"/>
        <v>8</v>
      </c>
      <c r="R171" s="88">
        <f t="shared" si="2"/>
        <v>9</v>
      </c>
    </row>
    <row r="172" spans="2:18" ht="20" customHeight="1">
      <c r="B172" s="13" t="s">
        <v>35</v>
      </c>
      <c r="C172" s="88">
        <f t="shared" si="1"/>
        <v>1</v>
      </c>
      <c r="D172" s="88">
        <f t="shared" si="2"/>
        <v>2</v>
      </c>
      <c r="E172" s="88">
        <f t="shared" si="2"/>
        <v>3</v>
      </c>
      <c r="F172" s="88">
        <f t="shared" si="2"/>
        <v>4</v>
      </c>
      <c r="G172" s="88">
        <f t="shared" si="2"/>
        <v>5</v>
      </c>
      <c r="H172" s="88">
        <f t="shared" si="2"/>
        <v>6</v>
      </c>
      <c r="I172" s="88">
        <f t="shared" si="2"/>
        <v>7</v>
      </c>
      <c r="J172" s="88">
        <f t="shared" si="2"/>
        <v>6</v>
      </c>
      <c r="K172" s="88">
        <f t="shared" si="2"/>
        <v>5</v>
      </c>
      <c r="L172" s="88">
        <f t="shared" si="2"/>
        <v>4</v>
      </c>
      <c r="M172" s="88">
        <f t="shared" si="2"/>
        <v>3</v>
      </c>
      <c r="N172" s="88">
        <f t="shared" si="2"/>
        <v>2</v>
      </c>
      <c r="O172" s="88">
        <f t="shared" si="2"/>
        <v>3</v>
      </c>
      <c r="P172" s="88">
        <f t="shared" si="2"/>
        <v>4</v>
      </c>
      <c r="Q172" s="88">
        <f t="shared" si="2"/>
        <v>5</v>
      </c>
      <c r="R172" s="88">
        <f t="shared" si="2"/>
        <v>6</v>
      </c>
    </row>
    <row r="173" spans="2:18" ht="20" customHeight="1">
      <c r="B173" s="13" t="s">
        <v>36</v>
      </c>
      <c r="C173" s="88">
        <f t="shared" si="1"/>
        <v>1</v>
      </c>
      <c r="D173" s="88">
        <f t="shared" si="2"/>
        <v>0</v>
      </c>
      <c r="E173" s="88">
        <f t="shared" si="2"/>
        <v>1</v>
      </c>
      <c r="F173" s="88">
        <f t="shared" si="2"/>
        <v>2</v>
      </c>
      <c r="G173" s="88">
        <f t="shared" si="2"/>
        <v>3</v>
      </c>
      <c r="H173" s="88">
        <f t="shared" si="2"/>
        <v>4</v>
      </c>
      <c r="I173" s="88">
        <f t="shared" si="2"/>
        <v>5</v>
      </c>
      <c r="J173" s="88">
        <f t="shared" si="2"/>
        <v>6</v>
      </c>
      <c r="K173" s="88">
        <f t="shared" si="2"/>
        <v>7</v>
      </c>
      <c r="L173" s="88">
        <f t="shared" si="2"/>
        <v>8</v>
      </c>
      <c r="M173" s="88">
        <f t="shared" si="2"/>
        <v>7</v>
      </c>
      <c r="N173" s="88">
        <f t="shared" si="2"/>
        <v>6</v>
      </c>
      <c r="O173" s="88">
        <f t="shared" si="2"/>
        <v>5</v>
      </c>
      <c r="P173" s="88">
        <f t="shared" si="2"/>
        <v>4</v>
      </c>
      <c r="Q173" s="88">
        <f t="shared" si="2"/>
        <v>3</v>
      </c>
      <c r="R173" s="88">
        <f t="shared" si="2"/>
        <v>4</v>
      </c>
    </row>
    <row r="174" spans="2:18" ht="20" customHeight="1">
      <c r="B174" s="13" t="s">
        <v>37</v>
      </c>
      <c r="C174" s="88">
        <f t="shared" si="1"/>
        <v>1</v>
      </c>
      <c r="D174" s="88">
        <f t="shared" si="2"/>
        <v>2</v>
      </c>
      <c r="E174" s="88">
        <f t="shared" si="2"/>
        <v>3</v>
      </c>
      <c r="F174" s="88">
        <f t="shared" si="2"/>
        <v>4</v>
      </c>
      <c r="G174" s="88">
        <f t="shared" si="2"/>
        <v>5</v>
      </c>
      <c r="H174" s="88">
        <f t="shared" si="2"/>
        <v>6</v>
      </c>
      <c r="I174" s="88">
        <f t="shared" si="2"/>
        <v>7</v>
      </c>
      <c r="J174" s="88">
        <f t="shared" si="2"/>
        <v>8</v>
      </c>
      <c r="K174" s="88">
        <f t="shared" si="2"/>
        <v>9</v>
      </c>
      <c r="L174" s="88">
        <f t="shared" si="2"/>
        <v>10</v>
      </c>
      <c r="M174" s="88">
        <f t="shared" si="2"/>
        <v>10</v>
      </c>
      <c r="N174" s="88">
        <f t="shared" si="2"/>
        <v>11</v>
      </c>
      <c r="O174" s="88">
        <f t="shared" si="2"/>
        <v>10</v>
      </c>
      <c r="P174" s="88">
        <f t="shared" si="2"/>
        <v>11</v>
      </c>
      <c r="Q174" s="88">
        <f t="shared" si="2"/>
        <v>12</v>
      </c>
      <c r="R174" s="88">
        <f t="shared" si="2"/>
        <v>13</v>
      </c>
    </row>
    <row r="175" spans="2:18" ht="20" customHeight="1">
      <c r="B175" s="13" t="s">
        <v>38</v>
      </c>
      <c r="C175" s="88">
        <f t="shared" si="1"/>
        <v>1</v>
      </c>
      <c r="D175" s="88">
        <f t="shared" si="2"/>
        <v>2</v>
      </c>
      <c r="E175" s="88">
        <f t="shared" si="2"/>
        <v>3</v>
      </c>
      <c r="F175" s="88">
        <f t="shared" si="2"/>
        <v>4</v>
      </c>
      <c r="G175" s="88">
        <f t="shared" si="2"/>
        <v>5</v>
      </c>
      <c r="H175" s="88">
        <f t="shared" si="2"/>
        <v>6</v>
      </c>
      <c r="I175" s="88">
        <f t="shared" si="2"/>
        <v>7</v>
      </c>
      <c r="J175" s="88">
        <f t="shared" si="2"/>
        <v>8</v>
      </c>
      <c r="K175" s="88">
        <f t="shared" si="2"/>
        <v>9</v>
      </c>
      <c r="L175" s="88">
        <f t="shared" si="2"/>
        <v>10</v>
      </c>
      <c r="M175" s="88">
        <f t="shared" si="2"/>
        <v>11</v>
      </c>
      <c r="N175" s="88">
        <f t="shared" si="2"/>
        <v>12</v>
      </c>
      <c r="O175" s="88">
        <f t="shared" si="2"/>
        <v>11</v>
      </c>
      <c r="P175" s="88">
        <f t="shared" si="2"/>
        <v>12</v>
      </c>
      <c r="Q175" s="88">
        <f t="shared" si="2"/>
        <v>13</v>
      </c>
      <c r="R175" s="88">
        <f t="shared" si="2"/>
        <v>14</v>
      </c>
    </row>
    <row r="176" spans="2:18" ht="20" customHeight="1">
      <c r="B176" s="13" t="s">
        <v>39</v>
      </c>
      <c r="C176" s="88">
        <f t="shared" si="1"/>
        <v>1</v>
      </c>
      <c r="D176" s="88">
        <f t="shared" si="2"/>
        <v>2</v>
      </c>
      <c r="E176" s="88">
        <f t="shared" si="2"/>
        <v>3</v>
      </c>
      <c r="F176" s="88">
        <f t="shared" si="2"/>
        <v>4</v>
      </c>
      <c r="G176" s="88">
        <f t="shared" si="2"/>
        <v>5</v>
      </c>
      <c r="H176" s="88">
        <f t="shared" si="2"/>
        <v>6</v>
      </c>
      <c r="I176" s="88">
        <f t="shared" si="2"/>
        <v>7</v>
      </c>
      <c r="J176" s="88">
        <f t="shared" si="2"/>
        <v>8</v>
      </c>
      <c r="K176" s="88">
        <f t="shared" si="2"/>
        <v>9</v>
      </c>
      <c r="L176" s="88">
        <f t="shared" si="2"/>
        <v>10</v>
      </c>
      <c r="M176" s="88">
        <f t="shared" si="2"/>
        <v>11</v>
      </c>
      <c r="N176" s="88">
        <f t="shared" si="2"/>
        <v>12</v>
      </c>
      <c r="O176" s="88">
        <f t="shared" si="2"/>
        <v>13</v>
      </c>
      <c r="P176" s="88">
        <f t="shared" si="2"/>
        <v>14</v>
      </c>
      <c r="Q176" s="88">
        <f t="shared" si="2"/>
        <v>15</v>
      </c>
      <c r="R176" s="88">
        <f t="shared" si="2"/>
        <v>16</v>
      </c>
    </row>
    <row r="177" spans="2:18" ht="20" customHeight="1">
      <c r="B177" s="13" t="s">
        <v>40</v>
      </c>
      <c r="C177" s="88">
        <f t="shared" si="1"/>
        <v>1</v>
      </c>
      <c r="D177" s="88">
        <f t="shared" si="2"/>
        <v>2</v>
      </c>
      <c r="E177" s="88">
        <f t="shared" si="2"/>
        <v>3</v>
      </c>
      <c r="F177" s="88">
        <f t="shared" si="2"/>
        <v>4</v>
      </c>
      <c r="G177" s="88">
        <f t="shared" si="2"/>
        <v>5</v>
      </c>
      <c r="H177" s="88">
        <f t="shared" si="2"/>
        <v>6</v>
      </c>
      <c r="I177" s="88">
        <f t="shared" si="2"/>
        <v>7</v>
      </c>
      <c r="J177" s="88">
        <f t="shared" si="2"/>
        <v>8</v>
      </c>
      <c r="K177" s="88">
        <f t="shared" si="2"/>
        <v>9</v>
      </c>
      <c r="L177" s="88">
        <f t="shared" si="2"/>
        <v>10</v>
      </c>
      <c r="M177" s="88">
        <f t="shared" si="2"/>
        <v>11</v>
      </c>
      <c r="N177" s="88">
        <f t="shared" si="2"/>
        <v>12</v>
      </c>
      <c r="O177" s="88">
        <f t="shared" si="2"/>
        <v>13</v>
      </c>
      <c r="P177" s="88">
        <f t="shared" si="2"/>
        <v>14</v>
      </c>
      <c r="Q177" s="88">
        <f t="shared" si="2"/>
        <v>15</v>
      </c>
      <c r="R177" s="88">
        <f t="shared" si="2"/>
        <v>16</v>
      </c>
    </row>
    <row r="178" spans="2:18" ht="20" customHeight="1">
      <c r="B178" s="13" t="s">
        <v>41</v>
      </c>
      <c r="C178" s="88">
        <f t="shared" si="1"/>
        <v>1</v>
      </c>
      <c r="D178" s="88">
        <f t="shared" si="2"/>
        <v>0</v>
      </c>
      <c r="E178" s="88">
        <f t="shared" si="2"/>
        <v>-1</v>
      </c>
      <c r="F178" s="88">
        <f t="shared" si="2"/>
        <v>0</v>
      </c>
      <c r="G178" s="88">
        <f t="shared" si="2"/>
        <v>1</v>
      </c>
      <c r="H178" s="88">
        <f t="shared" si="2"/>
        <v>2</v>
      </c>
      <c r="I178" s="88">
        <f t="shared" si="2"/>
        <v>1</v>
      </c>
      <c r="J178" s="88">
        <f t="shared" si="2"/>
        <v>2</v>
      </c>
      <c r="K178" s="88">
        <f t="shared" si="2"/>
        <v>3</v>
      </c>
      <c r="L178" s="88">
        <f t="shared" si="2"/>
        <v>4</v>
      </c>
      <c r="M178" s="88">
        <f t="shared" si="2"/>
        <v>5</v>
      </c>
      <c r="N178" s="88">
        <f t="shared" si="2"/>
        <v>6</v>
      </c>
      <c r="O178" s="88">
        <f t="shared" si="2"/>
        <v>6</v>
      </c>
      <c r="P178" s="88">
        <f t="shared" si="2"/>
        <v>7</v>
      </c>
      <c r="Q178" s="88">
        <f t="shared" si="2"/>
        <v>8</v>
      </c>
      <c r="R178" s="88">
        <f t="shared" si="2"/>
        <v>9</v>
      </c>
    </row>
    <row r="179" spans="2:18" ht="20" customHeight="1">
      <c r="B179" s="13" t="s">
        <v>42</v>
      </c>
      <c r="C179" s="88">
        <f t="shared" si="1"/>
        <v>1</v>
      </c>
      <c r="D179" s="88">
        <f t="shared" si="2"/>
        <v>2</v>
      </c>
      <c r="E179" s="88">
        <f t="shared" si="2"/>
        <v>3</v>
      </c>
      <c r="F179" s="88">
        <f t="shared" si="2"/>
        <v>4</v>
      </c>
      <c r="G179" s="88">
        <f t="shared" si="2"/>
        <v>5</v>
      </c>
      <c r="H179" s="88">
        <f t="shared" si="2"/>
        <v>6</v>
      </c>
      <c r="I179" s="88">
        <f t="shared" si="2"/>
        <v>7</v>
      </c>
      <c r="J179" s="88">
        <f t="shared" si="2"/>
        <v>8</v>
      </c>
      <c r="K179" s="88">
        <f t="shared" si="2"/>
        <v>9</v>
      </c>
      <c r="L179" s="88">
        <f t="shared" si="2"/>
        <v>10</v>
      </c>
      <c r="M179" s="88">
        <f t="shared" si="2"/>
        <v>11</v>
      </c>
      <c r="N179" s="88">
        <f t="shared" si="2"/>
        <v>12</v>
      </c>
      <c r="O179" s="88">
        <f t="shared" si="2"/>
        <v>13</v>
      </c>
      <c r="P179" s="88">
        <f t="shared" si="2"/>
        <v>14</v>
      </c>
      <c r="Q179" s="88">
        <f t="shared" si="2"/>
        <v>15</v>
      </c>
      <c r="R179" s="88">
        <f t="shared" si="2"/>
        <v>16</v>
      </c>
    </row>
    <row r="180" spans="2:18" ht="20" customHeight="1">
      <c r="B180" s="13" t="s">
        <v>43</v>
      </c>
      <c r="C180" s="88">
        <f t="shared" si="1"/>
        <v>1</v>
      </c>
      <c r="D180" s="88">
        <f t="shared" si="2"/>
        <v>2</v>
      </c>
      <c r="E180" s="88">
        <f t="shared" si="2"/>
        <v>3</v>
      </c>
      <c r="F180" s="88">
        <f t="shared" si="2"/>
        <v>4</v>
      </c>
      <c r="G180" s="88">
        <f t="shared" si="2"/>
        <v>5</v>
      </c>
      <c r="H180" s="88">
        <f t="shared" si="2"/>
        <v>6</v>
      </c>
      <c r="I180" s="88">
        <f t="shared" si="2"/>
        <v>7</v>
      </c>
      <c r="J180" s="88">
        <f t="shared" si="2"/>
        <v>8</v>
      </c>
      <c r="K180" s="88">
        <f t="shared" si="2"/>
        <v>9</v>
      </c>
      <c r="L180" s="88">
        <f t="shared" si="2"/>
        <v>10</v>
      </c>
      <c r="M180" s="88">
        <f t="shared" si="2"/>
        <v>11</v>
      </c>
      <c r="N180" s="88">
        <f t="shared" si="2"/>
        <v>12</v>
      </c>
      <c r="O180" s="88">
        <f t="shared" si="2"/>
        <v>13</v>
      </c>
      <c r="P180" s="88">
        <f t="shared" si="2"/>
        <v>14</v>
      </c>
      <c r="Q180" s="88">
        <f t="shared" si="2"/>
        <v>15</v>
      </c>
      <c r="R180" s="88">
        <f t="shared" si="2"/>
        <v>16</v>
      </c>
    </row>
    <row r="181" spans="2:18" ht="20" customHeight="1">
      <c r="B181" s="13" t="s">
        <v>44</v>
      </c>
      <c r="C181" s="88">
        <f t="shared" si="1"/>
        <v>1</v>
      </c>
      <c r="D181" s="88">
        <f t="shared" si="2"/>
        <v>2</v>
      </c>
      <c r="E181" s="88">
        <f t="shared" si="2"/>
        <v>3</v>
      </c>
      <c r="F181" s="88">
        <f t="shared" si="2"/>
        <v>4</v>
      </c>
      <c r="G181" s="88">
        <f t="shared" si="2"/>
        <v>5</v>
      </c>
      <c r="H181" s="88">
        <f t="shared" si="2"/>
        <v>6</v>
      </c>
      <c r="I181" s="88">
        <f t="shared" si="2"/>
        <v>7</v>
      </c>
      <c r="J181" s="88">
        <f t="shared" si="2"/>
        <v>8</v>
      </c>
      <c r="K181" s="88">
        <f t="shared" si="2"/>
        <v>9</v>
      </c>
      <c r="L181" s="88">
        <f t="shared" si="2"/>
        <v>10</v>
      </c>
      <c r="M181" s="88">
        <f t="shared" si="2"/>
        <v>9</v>
      </c>
      <c r="N181" s="88">
        <f t="shared" si="2"/>
        <v>9</v>
      </c>
      <c r="O181" s="88">
        <f t="shared" si="2"/>
        <v>8</v>
      </c>
      <c r="P181" s="88">
        <f t="shared" si="2"/>
        <v>9</v>
      </c>
      <c r="Q181" s="88">
        <f t="shared" si="2"/>
        <v>10</v>
      </c>
      <c r="R181" s="88">
        <f t="shared" si="2"/>
        <v>11</v>
      </c>
    </row>
    <row r="182" spans="2:18" ht="20" customHeight="1">
      <c r="B182" s="13" t="s">
        <v>45</v>
      </c>
      <c r="C182" s="88">
        <f t="shared" si="1"/>
        <v>1</v>
      </c>
      <c r="D182" s="88">
        <f t="shared" si="2"/>
        <v>2</v>
      </c>
      <c r="E182" s="88">
        <f t="shared" si="2"/>
        <v>3</v>
      </c>
      <c r="F182" s="88">
        <f t="shared" si="2"/>
        <v>4</v>
      </c>
      <c r="G182" s="88">
        <f t="shared" si="2"/>
        <v>5</v>
      </c>
      <c r="H182" s="88">
        <f t="shared" si="2"/>
        <v>6</v>
      </c>
      <c r="I182" s="88">
        <f t="shared" si="2"/>
        <v>7</v>
      </c>
      <c r="J182" s="88">
        <f t="shared" si="2"/>
        <v>8</v>
      </c>
      <c r="K182" s="88">
        <f t="shared" si="2"/>
        <v>9</v>
      </c>
      <c r="L182" s="88">
        <f t="shared" si="2"/>
        <v>10</v>
      </c>
      <c r="M182" s="88">
        <f t="shared" si="2"/>
        <v>11</v>
      </c>
      <c r="N182" s="88">
        <f t="shared" si="2"/>
        <v>12</v>
      </c>
      <c r="O182" s="88">
        <f t="shared" si="2"/>
        <v>13</v>
      </c>
      <c r="P182" s="88">
        <f t="shared" si="2"/>
        <v>14</v>
      </c>
      <c r="Q182" s="88">
        <f t="shared" si="2"/>
        <v>15</v>
      </c>
      <c r="R182" s="88">
        <f t="shared" si="2"/>
        <v>16</v>
      </c>
    </row>
    <row r="183" spans="2:18" ht="20" customHeight="1">
      <c r="B183" s="13" t="s">
        <v>28</v>
      </c>
      <c r="C183" s="88">
        <f t="shared" si="1"/>
        <v>-1</v>
      </c>
      <c r="D183" s="88">
        <f t="shared" si="2"/>
        <v>0</v>
      </c>
      <c r="E183" s="88">
        <f t="shared" si="2"/>
        <v>1</v>
      </c>
      <c r="F183" s="88">
        <f t="shared" si="2"/>
        <v>2</v>
      </c>
      <c r="G183" s="88">
        <f t="shared" si="2"/>
        <v>2</v>
      </c>
      <c r="H183" s="88">
        <f t="shared" si="2"/>
        <v>3</v>
      </c>
      <c r="I183" s="88">
        <f t="shared" si="2"/>
        <v>4</v>
      </c>
      <c r="J183" s="88">
        <f t="shared" si="2"/>
        <v>5</v>
      </c>
      <c r="K183" s="88">
        <f t="shared" si="2"/>
        <v>6</v>
      </c>
      <c r="L183" s="88">
        <f t="shared" si="2"/>
        <v>7</v>
      </c>
      <c r="M183" s="88">
        <f t="shared" si="2"/>
        <v>8</v>
      </c>
      <c r="N183" s="88">
        <f t="shared" si="2"/>
        <v>9</v>
      </c>
      <c r="O183" s="88">
        <f t="shared" si="2"/>
        <v>10</v>
      </c>
      <c r="P183" s="88">
        <f t="shared" si="2"/>
        <v>11</v>
      </c>
      <c r="Q183" s="88">
        <f t="shared" si="2"/>
        <v>12</v>
      </c>
      <c r="R183" s="88">
        <f t="shared" si="2"/>
        <v>13</v>
      </c>
    </row>
    <row r="184" spans="2:18" ht="20" customHeight="1">
      <c r="B184" s="15" t="s">
        <v>29</v>
      </c>
      <c r="C184" s="88">
        <f t="shared" si="1"/>
        <v>-1</v>
      </c>
      <c r="D184" s="88">
        <f t="shared" si="2"/>
        <v>-2</v>
      </c>
      <c r="E184" s="88">
        <f t="shared" si="2"/>
        <v>-2</v>
      </c>
      <c r="F184" s="88">
        <f t="shared" si="2"/>
        <v>-1</v>
      </c>
      <c r="G184" s="88">
        <f t="shared" si="2"/>
        <v>0</v>
      </c>
      <c r="H184" s="88">
        <f t="shared" si="2"/>
        <v>0</v>
      </c>
      <c r="I184" s="88">
        <f t="shared" si="2"/>
        <v>1</v>
      </c>
      <c r="J184" s="88">
        <f t="shared" si="2"/>
        <v>2</v>
      </c>
      <c r="K184" s="88">
        <f t="shared" si="2"/>
        <v>1</v>
      </c>
      <c r="L184" s="88">
        <f t="shared" si="2"/>
        <v>1</v>
      </c>
      <c r="M184" s="88">
        <f t="shared" si="2"/>
        <v>0</v>
      </c>
      <c r="N184" s="88">
        <f t="shared" si="2"/>
        <v>0</v>
      </c>
      <c r="O184" s="88">
        <f t="shared" si="2"/>
        <v>1</v>
      </c>
      <c r="P184" s="88">
        <f t="shared" si="2"/>
        <v>2</v>
      </c>
      <c r="Q184" s="88">
        <f t="shared" si="2"/>
        <v>3</v>
      </c>
      <c r="R184" s="88">
        <f t="shared" si="2"/>
        <v>4</v>
      </c>
    </row>
  </sheetData>
  <dataConsolidate/>
  <mergeCells count="136">
    <mergeCell ref="C164:C165"/>
    <mergeCell ref="D164:D165"/>
    <mergeCell ref="E164:E165"/>
    <mergeCell ref="F164:F165"/>
    <mergeCell ref="G164:G165"/>
    <mergeCell ref="H164:H165"/>
    <mergeCell ref="I164:I165"/>
    <mergeCell ref="J164:J165"/>
    <mergeCell ref="K164:K165"/>
    <mergeCell ref="L164:L165"/>
    <mergeCell ref="M164:M165"/>
    <mergeCell ref="N164:N165"/>
    <mergeCell ref="O164:O165"/>
    <mergeCell ref="P164:P165"/>
    <mergeCell ref="Q164:Q165"/>
    <mergeCell ref="R164:R165"/>
    <mergeCell ref="B164:B165"/>
    <mergeCell ref="H3:H4"/>
    <mergeCell ref="H26:H27"/>
    <mergeCell ref="H49:H50"/>
    <mergeCell ref="H72:H73"/>
    <mergeCell ref="H95:H96"/>
    <mergeCell ref="H118:H119"/>
    <mergeCell ref="H141:H142"/>
    <mergeCell ref="N3:N4"/>
    <mergeCell ref="N95:N96"/>
    <mergeCell ref="N26:N27"/>
    <mergeCell ref="I49:I50"/>
    <mergeCell ref="I72:I73"/>
    <mergeCell ref="I95:I96"/>
    <mergeCell ref="I118:I119"/>
    <mergeCell ref="O141:O142"/>
    <mergeCell ref="P141:P142"/>
    <mergeCell ref="Q141:Q142"/>
    <mergeCell ref="R141:R142"/>
    <mergeCell ref="N118:N119"/>
    <mergeCell ref="O118:O119"/>
    <mergeCell ref="P118:P119"/>
    <mergeCell ref="Q118:Q119"/>
    <mergeCell ref="R118:R119"/>
    <mergeCell ref="N141:N142"/>
    <mergeCell ref="P95:P96"/>
    <mergeCell ref="Q95:Q96"/>
    <mergeCell ref="R95:R96"/>
    <mergeCell ref="O72:O73"/>
    <mergeCell ref="P72:P73"/>
    <mergeCell ref="Q72:Q73"/>
    <mergeCell ref="R72:R73"/>
    <mergeCell ref="N49:N50"/>
    <mergeCell ref="O49:O50"/>
    <mergeCell ref="P49:P50"/>
    <mergeCell ref="Q49:Q50"/>
    <mergeCell ref="R49:R50"/>
    <mergeCell ref="N72:N73"/>
    <mergeCell ref="I141:I142"/>
    <mergeCell ref="J3:J4"/>
    <mergeCell ref="J26:J27"/>
    <mergeCell ref="J49:J50"/>
    <mergeCell ref="O26:O27"/>
    <mergeCell ref="P26:P27"/>
    <mergeCell ref="Q26:Q27"/>
    <mergeCell ref="R26:R27"/>
    <mergeCell ref="O3:O4"/>
    <mergeCell ref="P3:P4"/>
    <mergeCell ref="Q3:Q4"/>
    <mergeCell ref="R3:R4"/>
    <mergeCell ref="M95:M96"/>
    <mergeCell ref="L118:L119"/>
    <mergeCell ref="M118:M119"/>
    <mergeCell ref="L141:L142"/>
    <mergeCell ref="M141:M142"/>
    <mergeCell ref="J72:J73"/>
    <mergeCell ref="J95:J96"/>
    <mergeCell ref="J118:J119"/>
    <mergeCell ref="J141:J142"/>
    <mergeCell ref="I3:I4"/>
    <mergeCell ref="I26:I27"/>
    <mergeCell ref="O95:O96"/>
    <mergeCell ref="K141:K142"/>
    <mergeCell ref="L3:L4"/>
    <mergeCell ref="M3:M4"/>
    <mergeCell ref="L26:L27"/>
    <mergeCell ref="M26:M27"/>
    <mergeCell ref="L49:L50"/>
    <mergeCell ref="M49:M50"/>
    <mergeCell ref="L72:L73"/>
    <mergeCell ref="M72:M73"/>
    <mergeCell ref="L95:L96"/>
    <mergeCell ref="K3:K4"/>
    <mergeCell ref="K26:K27"/>
    <mergeCell ref="K49:K50"/>
    <mergeCell ref="K72:K73"/>
    <mergeCell ref="K95:K96"/>
    <mergeCell ref="K118:K119"/>
    <mergeCell ref="G141:G142"/>
    <mergeCell ref="B141:B142"/>
    <mergeCell ref="C141:C142"/>
    <mergeCell ref="G95:G96"/>
    <mergeCell ref="B118:B119"/>
    <mergeCell ref="C118:C119"/>
    <mergeCell ref="D118:D119"/>
    <mergeCell ref="E118:E119"/>
    <mergeCell ref="F118:F119"/>
    <mergeCell ref="G118:G119"/>
    <mergeCell ref="E95:E96"/>
    <mergeCell ref="B95:B96"/>
    <mergeCell ref="C95:C96"/>
    <mergeCell ref="D95:D96"/>
    <mergeCell ref="D141:D142"/>
    <mergeCell ref="E141:E142"/>
    <mergeCell ref="F95:F96"/>
    <mergeCell ref="F141:F142"/>
    <mergeCell ref="G49:G50"/>
    <mergeCell ref="B72:B73"/>
    <mergeCell ref="C72:C73"/>
    <mergeCell ref="D72:D73"/>
    <mergeCell ref="E72:E73"/>
    <mergeCell ref="F72:F73"/>
    <mergeCell ref="G72:G73"/>
    <mergeCell ref="E49:E50"/>
    <mergeCell ref="B49:B50"/>
    <mergeCell ref="C49:C50"/>
    <mergeCell ref="D49:D50"/>
    <mergeCell ref="F49:F50"/>
    <mergeCell ref="G3:G4"/>
    <mergeCell ref="B26:B27"/>
    <mergeCell ref="C26:C27"/>
    <mergeCell ref="D26:D27"/>
    <mergeCell ref="E26:E27"/>
    <mergeCell ref="F26:F27"/>
    <mergeCell ref="G26:G27"/>
    <mergeCell ref="E3:E4"/>
    <mergeCell ref="B3:B4"/>
    <mergeCell ref="C3:C4"/>
    <mergeCell ref="D3:D4"/>
    <mergeCell ref="F3:F4"/>
  </mergeCells>
  <conditionalFormatting sqref="D6:D23">
    <cfRule type="colorScale" priority="714">
      <colorScale>
        <cfvo type="min"/>
        <cfvo type="percentile" val="50"/>
        <cfvo type="max"/>
        <color rgb="FFF8696B"/>
        <color rgb="FFFFEB84"/>
        <color rgb="FF63BE7B"/>
      </colorScale>
    </cfRule>
  </conditionalFormatting>
  <conditionalFormatting sqref="E6:E23">
    <cfRule type="colorScale" priority="729">
      <colorScale>
        <cfvo type="min"/>
        <cfvo type="percentile" val="50"/>
        <cfvo type="max"/>
        <color rgb="FFF8696B"/>
        <color rgb="FFFFEB84"/>
        <color rgb="FF63BE7B"/>
      </colorScale>
    </cfRule>
  </conditionalFormatting>
  <conditionalFormatting sqref="E29:E46">
    <cfRule type="colorScale" priority="730">
      <colorScale>
        <cfvo type="min"/>
        <cfvo type="percentile" val="50"/>
        <cfvo type="max"/>
        <color rgb="FFF8696B"/>
        <color rgb="FFFFEB84"/>
        <color rgb="FF63BE7B"/>
      </colorScale>
    </cfRule>
  </conditionalFormatting>
  <conditionalFormatting sqref="E52:E69">
    <cfRule type="colorScale" priority="731">
      <colorScale>
        <cfvo type="min"/>
        <cfvo type="percentile" val="50"/>
        <cfvo type="max"/>
        <color rgb="FFF8696B"/>
        <color rgb="FFFFEB84"/>
        <color rgb="FF63BE7B"/>
      </colorScale>
    </cfRule>
  </conditionalFormatting>
  <conditionalFormatting sqref="E75:E92">
    <cfRule type="colorScale" priority="732">
      <colorScale>
        <cfvo type="min"/>
        <cfvo type="percentile" val="50"/>
        <cfvo type="max"/>
        <color rgb="FFF8696B"/>
        <color rgb="FFFFEB84"/>
        <color rgb="FF63BE7B"/>
      </colorScale>
    </cfRule>
  </conditionalFormatting>
  <conditionalFormatting sqref="E98:E115">
    <cfRule type="colorScale" priority="733">
      <colorScale>
        <cfvo type="min"/>
        <cfvo type="percentile" val="50"/>
        <cfvo type="max"/>
        <color rgb="FFF8696B"/>
        <color rgb="FFFFEB84"/>
        <color rgb="FF63BE7B"/>
      </colorScale>
    </cfRule>
  </conditionalFormatting>
  <conditionalFormatting sqref="E121:E138">
    <cfRule type="colorScale" priority="734">
      <colorScale>
        <cfvo type="min"/>
        <cfvo type="percentile" val="50"/>
        <cfvo type="max"/>
        <color rgb="FFF8696B"/>
        <color rgb="FFFFEB84"/>
        <color rgb="FF63BE7B"/>
      </colorScale>
    </cfRule>
  </conditionalFormatting>
  <conditionalFormatting sqref="E144:E161">
    <cfRule type="colorScale" priority="735">
      <colorScale>
        <cfvo type="min"/>
        <cfvo type="percentile" val="50"/>
        <cfvo type="max"/>
        <color rgb="FFF8696B"/>
        <color rgb="FFFFEB84"/>
        <color rgb="FF63BE7B"/>
      </colorScale>
    </cfRule>
  </conditionalFormatting>
  <conditionalFormatting sqref="F6:F23">
    <cfRule type="colorScale" priority="736">
      <colorScale>
        <cfvo type="min"/>
        <cfvo type="percentile" val="50"/>
        <cfvo type="max"/>
        <color rgb="FFF8696B"/>
        <color rgb="FFFFEB84"/>
        <color rgb="FF63BE7B"/>
      </colorScale>
    </cfRule>
  </conditionalFormatting>
  <conditionalFormatting sqref="F29:F46">
    <cfRule type="colorScale" priority="737">
      <colorScale>
        <cfvo type="min"/>
        <cfvo type="percentile" val="50"/>
        <cfvo type="max"/>
        <color rgb="FFF8696B"/>
        <color rgb="FFFFEB84"/>
        <color rgb="FF63BE7B"/>
      </colorScale>
    </cfRule>
  </conditionalFormatting>
  <conditionalFormatting sqref="F52:F69">
    <cfRule type="colorScale" priority="738">
      <colorScale>
        <cfvo type="min"/>
        <cfvo type="percentile" val="50"/>
        <cfvo type="max"/>
        <color rgb="FFF8696B"/>
        <color rgb="FFFFEB84"/>
        <color rgb="FF63BE7B"/>
      </colorScale>
    </cfRule>
  </conditionalFormatting>
  <conditionalFormatting sqref="F75:F92">
    <cfRule type="colorScale" priority="739">
      <colorScale>
        <cfvo type="min"/>
        <cfvo type="percentile" val="50"/>
        <cfvo type="max"/>
        <color rgb="FFF8696B"/>
        <color rgb="FFFFEB84"/>
        <color rgb="FF63BE7B"/>
      </colorScale>
    </cfRule>
  </conditionalFormatting>
  <conditionalFormatting sqref="F98:F115">
    <cfRule type="colorScale" priority="740">
      <colorScale>
        <cfvo type="min"/>
        <cfvo type="percentile" val="50"/>
        <cfvo type="max"/>
        <color rgb="FFF8696B"/>
        <color rgb="FFFFEB84"/>
        <color rgb="FF63BE7B"/>
      </colorScale>
    </cfRule>
  </conditionalFormatting>
  <conditionalFormatting sqref="F121:F138">
    <cfRule type="colorScale" priority="741">
      <colorScale>
        <cfvo type="min"/>
        <cfvo type="percentile" val="50"/>
        <cfvo type="max"/>
        <color rgb="FFF8696B"/>
        <color rgb="FFFFEB84"/>
        <color rgb="FF63BE7B"/>
      </colorScale>
    </cfRule>
  </conditionalFormatting>
  <conditionalFormatting sqref="F144:F161">
    <cfRule type="colorScale" priority="742">
      <colorScale>
        <cfvo type="min"/>
        <cfvo type="percentile" val="50"/>
        <cfvo type="max"/>
        <color rgb="FFF8696B"/>
        <color rgb="FFFFEB84"/>
        <color rgb="FF63BE7B"/>
      </colorScale>
    </cfRule>
  </conditionalFormatting>
  <conditionalFormatting sqref="D29:D46">
    <cfRule type="colorScale" priority="743">
      <colorScale>
        <cfvo type="min"/>
        <cfvo type="percentile" val="50"/>
        <cfvo type="max"/>
        <color rgb="FFF8696B"/>
        <color rgb="FFFFEB84"/>
        <color rgb="FF63BE7B"/>
      </colorScale>
    </cfRule>
  </conditionalFormatting>
  <conditionalFormatting sqref="D121:D138">
    <cfRule type="colorScale" priority="744">
      <colorScale>
        <cfvo type="min"/>
        <cfvo type="percentile" val="50"/>
        <cfvo type="max"/>
        <color rgb="FFF8696B"/>
        <color rgb="FFFFEB84"/>
        <color rgb="FF63BE7B"/>
      </colorScale>
    </cfRule>
  </conditionalFormatting>
  <conditionalFormatting sqref="D144:D161">
    <cfRule type="colorScale" priority="745">
      <colorScale>
        <cfvo type="min"/>
        <cfvo type="percentile" val="50"/>
        <cfvo type="max"/>
        <color rgb="FFF8696B"/>
        <color rgb="FFFFEB84"/>
        <color rgb="FF63BE7B"/>
      </colorScale>
    </cfRule>
  </conditionalFormatting>
  <conditionalFormatting sqref="D52:D69">
    <cfRule type="colorScale" priority="746">
      <colorScale>
        <cfvo type="min"/>
        <cfvo type="percentile" val="50"/>
        <cfvo type="max"/>
        <color rgb="FFF8696B"/>
        <color rgb="FFFFEB84"/>
        <color rgb="FF63BE7B"/>
      </colorScale>
    </cfRule>
  </conditionalFormatting>
  <conditionalFormatting sqref="D75:D92">
    <cfRule type="colorScale" priority="747">
      <colorScale>
        <cfvo type="min"/>
        <cfvo type="percentile" val="50"/>
        <cfvo type="max"/>
        <color rgb="FFF8696B"/>
        <color rgb="FFFFEB84"/>
        <color rgb="FF63BE7B"/>
      </colorScale>
    </cfRule>
  </conditionalFormatting>
  <conditionalFormatting sqref="D98:D115">
    <cfRule type="colorScale" priority="748">
      <colorScale>
        <cfvo type="min"/>
        <cfvo type="percentile" val="50"/>
        <cfvo type="max"/>
        <color rgb="FFF8696B"/>
        <color rgb="FFFFEB84"/>
        <color rgb="FF63BE7B"/>
      </colorScale>
    </cfRule>
  </conditionalFormatting>
  <conditionalFormatting sqref="K29:R46">
    <cfRule type="colorScale" priority="516">
      <colorScale>
        <cfvo type="min"/>
        <cfvo type="percentile" val="50"/>
        <cfvo type="max"/>
        <color rgb="FFF8696B"/>
        <color rgb="FFFFEB84"/>
        <color rgb="FF63BE7B"/>
      </colorScale>
    </cfRule>
  </conditionalFormatting>
  <conditionalFormatting sqref="K121:R138">
    <cfRule type="colorScale" priority="517">
      <colorScale>
        <cfvo type="min"/>
        <cfvo type="percentile" val="50"/>
        <cfvo type="max"/>
        <color rgb="FFF8696B"/>
        <color rgb="FFFFEB84"/>
        <color rgb="FF63BE7B"/>
      </colorScale>
    </cfRule>
  </conditionalFormatting>
  <conditionalFormatting sqref="K144:R161">
    <cfRule type="colorScale" priority="518">
      <colorScale>
        <cfvo type="min"/>
        <cfvo type="percentile" val="50"/>
        <cfvo type="max"/>
        <color rgb="FFF8696B"/>
        <color rgb="FFFFEB84"/>
        <color rgb="FF63BE7B"/>
      </colorScale>
    </cfRule>
  </conditionalFormatting>
  <conditionalFormatting sqref="K52:R69">
    <cfRule type="colorScale" priority="519">
      <colorScale>
        <cfvo type="min"/>
        <cfvo type="percentile" val="50"/>
        <cfvo type="max"/>
        <color rgb="FFF8696B"/>
        <color rgb="FFFFEB84"/>
        <color rgb="FF63BE7B"/>
      </colorScale>
    </cfRule>
  </conditionalFormatting>
  <conditionalFormatting sqref="K75:R92">
    <cfRule type="colorScale" priority="520">
      <colorScale>
        <cfvo type="min"/>
        <cfvo type="percentile" val="50"/>
        <cfvo type="max"/>
        <color rgb="FFF8696B"/>
        <color rgb="FFFFEB84"/>
        <color rgb="FF63BE7B"/>
      </colorScale>
    </cfRule>
  </conditionalFormatting>
  <conditionalFormatting sqref="K98:R115">
    <cfRule type="colorScale" priority="521">
      <colorScale>
        <cfvo type="min"/>
        <cfvo type="percentile" val="50"/>
        <cfvo type="max"/>
        <color rgb="FFF8696B"/>
        <color rgb="FFFFEB84"/>
        <color rgb="FF63BE7B"/>
      </colorScale>
    </cfRule>
  </conditionalFormatting>
  <conditionalFormatting sqref="K6:R23">
    <cfRule type="colorScale" priority="522">
      <colorScale>
        <cfvo type="min"/>
        <cfvo type="percentile" val="50"/>
        <cfvo type="max"/>
        <color rgb="FFF8696B"/>
        <color rgb="FFFFEB84"/>
        <color rgb="FF63BE7B"/>
      </colorScale>
    </cfRule>
  </conditionalFormatting>
  <conditionalFormatting sqref="G29:J46 C29:C46">
    <cfRule type="colorScale" priority="947">
      <colorScale>
        <cfvo type="min"/>
        <cfvo type="percentile" val="50"/>
        <cfvo type="max"/>
        <color rgb="FFF8696B"/>
        <color rgb="FFFFEB84"/>
        <color rgb="FF63BE7B"/>
      </colorScale>
    </cfRule>
  </conditionalFormatting>
  <conditionalFormatting sqref="G121:J138 C121:C138">
    <cfRule type="colorScale" priority="950">
      <colorScale>
        <cfvo type="min"/>
        <cfvo type="percentile" val="50"/>
        <cfvo type="max"/>
        <color rgb="FFF8696B"/>
        <color rgb="FFFFEB84"/>
        <color rgb="FF63BE7B"/>
      </colorScale>
    </cfRule>
  </conditionalFormatting>
  <conditionalFormatting sqref="G144:J161 C144:C161">
    <cfRule type="colorScale" priority="953">
      <colorScale>
        <cfvo type="min"/>
        <cfvo type="percentile" val="50"/>
        <cfvo type="max"/>
        <color rgb="FFF8696B"/>
        <color rgb="FFFFEB84"/>
        <color rgb="FF63BE7B"/>
      </colorScale>
    </cfRule>
  </conditionalFormatting>
  <conditionalFormatting sqref="G52:J69 C52:C69">
    <cfRule type="colorScale" priority="956">
      <colorScale>
        <cfvo type="min"/>
        <cfvo type="percentile" val="50"/>
        <cfvo type="max"/>
        <color rgb="FFF8696B"/>
        <color rgb="FFFFEB84"/>
        <color rgb="FF63BE7B"/>
      </colorScale>
    </cfRule>
  </conditionalFormatting>
  <conditionalFormatting sqref="G75:J92 C75:C92">
    <cfRule type="colorScale" priority="959">
      <colorScale>
        <cfvo type="min"/>
        <cfvo type="percentile" val="50"/>
        <cfvo type="max"/>
        <color rgb="FFF8696B"/>
        <color rgb="FFFFEB84"/>
        <color rgb="FF63BE7B"/>
      </colorScale>
    </cfRule>
  </conditionalFormatting>
  <conditionalFormatting sqref="G98:J115 C98:C115">
    <cfRule type="colorScale" priority="962">
      <colorScale>
        <cfvo type="min"/>
        <cfvo type="percentile" val="50"/>
        <cfvo type="max"/>
        <color rgb="FFF8696B"/>
        <color rgb="FFFFEB84"/>
        <color rgb="FF63BE7B"/>
      </colorScale>
    </cfRule>
  </conditionalFormatting>
  <conditionalFormatting sqref="G6:J23 C6:C23">
    <cfRule type="colorScale" priority="965">
      <colorScale>
        <cfvo type="min"/>
        <cfvo type="percentile" val="50"/>
        <cfvo type="max"/>
        <color rgb="FFF8696B"/>
        <color rgb="FFFFEB84"/>
        <color rgb="FF63BE7B"/>
      </colorScale>
    </cfRule>
  </conditionalFormatting>
  <conditionalFormatting sqref="C167:R184">
    <cfRule type="colorScale" priority="1">
      <colorScale>
        <cfvo type="min"/>
        <cfvo type="num" val="0"/>
        <cfvo type="max"/>
        <color rgb="FFFF7128"/>
        <color rgb="FFFFFF00"/>
        <color rgb="FF00B050"/>
      </colorScale>
    </cfRule>
    <cfRule type="top10" dxfId="2" priority="6" percent="1" bottom="1" rank="10"/>
    <cfRule type="top10" dxfId="1" priority="7" percent="1" rank="10"/>
  </conditionalFormatting>
  <conditionalFormatting sqref="AZ168">
    <cfRule type="top10" dxfId="0" priority="4" percent="1" rank="20"/>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DD86B-2AE1-6440-8BC7-0E7A31B8BFF4}">
  <dimension ref="A1:DZ505"/>
  <sheetViews>
    <sheetView showGridLines="0" zoomScale="85" zoomScaleNormal="85" workbookViewId="0">
      <pane ySplit="1" topLeftCell="A2" activePane="bottomLeft" state="frozen"/>
      <selection pane="bottomLeft" activeCell="C178" sqref="C178"/>
    </sheetView>
  </sheetViews>
  <sheetFormatPr baseColWidth="10" defaultColWidth="8.83203125" defaultRowHeight="15"/>
  <cols>
    <col min="1" max="1" width="19.1640625" style="10" customWidth="1"/>
    <col min="2" max="2" width="8.83203125" style="39"/>
    <col min="3" max="3" width="255.6640625" style="50" customWidth="1"/>
    <col min="4" max="4" width="140.5" style="9" customWidth="1"/>
    <col min="5" max="13" width="8.83203125" style="9"/>
    <col min="14" max="14" width="31.33203125" style="9" customWidth="1"/>
    <col min="15" max="15" width="54.1640625" style="9" customWidth="1"/>
    <col min="16" max="16" width="95.1640625" style="9" customWidth="1"/>
    <col min="17" max="256" width="8.83203125" style="9"/>
    <col min="257" max="257" width="19.1640625" style="9" customWidth="1"/>
    <col min="258" max="258" width="8.83203125" style="9"/>
    <col min="259" max="259" width="141.1640625" style="9" customWidth="1"/>
    <col min="260" max="512" width="8.83203125" style="9"/>
    <col min="513" max="513" width="19.1640625" style="9" customWidth="1"/>
    <col min="514" max="514" width="8.83203125" style="9"/>
    <col min="515" max="515" width="141.1640625" style="9" customWidth="1"/>
    <col min="516" max="768" width="8.83203125" style="9"/>
    <col min="769" max="769" width="19.1640625" style="9" customWidth="1"/>
    <col min="770" max="770" width="8.83203125" style="9"/>
    <col min="771" max="771" width="141.1640625" style="9" customWidth="1"/>
    <col min="772" max="1024" width="8.83203125" style="9"/>
    <col min="1025" max="1025" width="19.1640625" style="9" customWidth="1"/>
    <col min="1026" max="1026" width="8.83203125" style="9"/>
    <col min="1027" max="1027" width="141.1640625" style="9" customWidth="1"/>
    <col min="1028" max="1280" width="8.83203125" style="9"/>
    <col min="1281" max="1281" width="19.1640625" style="9" customWidth="1"/>
    <col min="1282" max="1282" width="8.83203125" style="9"/>
    <col min="1283" max="1283" width="141.1640625" style="9" customWidth="1"/>
    <col min="1284" max="1536" width="8.83203125" style="9"/>
    <col min="1537" max="1537" width="19.1640625" style="9" customWidth="1"/>
    <col min="1538" max="1538" width="8.83203125" style="9"/>
    <col min="1539" max="1539" width="141.1640625" style="9" customWidth="1"/>
    <col min="1540" max="1792" width="8.83203125" style="9"/>
    <col min="1793" max="1793" width="19.1640625" style="9" customWidth="1"/>
    <col min="1794" max="1794" width="8.83203125" style="9"/>
    <col min="1795" max="1795" width="141.1640625" style="9" customWidth="1"/>
    <col min="1796" max="2048" width="8.83203125" style="9"/>
    <col min="2049" max="2049" width="19.1640625" style="9" customWidth="1"/>
    <col min="2050" max="2050" width="8.83203125" style="9"/>
    <col min="2051" max="2051" width="141.1640625" style="9" customWidth="1"/>
    <col min="2052" max="2304" width="8.83203125" style="9"/>
    <col min="2305" max="2305" width="19.1640625" style="9" customWidth="1"/>
    <col min="2306" max="2306" width="8.83203125" style="9"/>
    <col min="2307" max="2307" width="141.1640625" style="9" customWidth="1"/>
    <col min="2308" max="2560" width="8.83203125" style="9"/>
    <col min="2561" max="2561" width="19.1640625" style="9" customWidth="1"/>
    <col min="2562" max="2562" width="8.83203125" style="9"/>
    <col min="2563" max="2563" width="141.1640625" style="9" customWidth="1"/>
    <col min="2564" max="2816" width="8.83203125" style="9"/>
    <col min="2817" max="2817" width="19.1640625" style="9" customWidth="1"/>
    <col min="2818" max="2818" width="8.83203125" style="9"/>
    <col min="2819" max="2819" width="141.1640625" style="9" customWidth="1"/>
    <col min="2820" max="3072" width="8.83203125" style="9"/>
    <col min="3073" max="3073" width="19.1640625" style="9" customWidth="1"/>
    <col min="3074" max="3074" width="8.83203125" style="9"/>
    <col min="3075" max="3075" width="141.1640625" style="9" customWidth="1"/>
    <col min="3076" max="3328" width="8.83203125" style="9"/>
    <col min="3329" max="3329" width="19.1640625" style="9" customWidth="1"/>
    <col min="3330" max="3330" width="8.83203125" style="9"/>
    <col min="3331" max="3331" width="141.1640625" style="9" customWidth="1"/>
    <col min="3332" max="3584" width="8.83203125" style="9"/>
    <col min="3585" max="3585" width="19.1640625" style="9" customWidth="1"/>
    <col min="3586" max="3586" width="8.83203125" style="9"/>
    <col min="3587" max="3587" width="141.1640625" style="9" customWidth="1"/>
    <col min="3588" max="3840" width="8.83203125" style="9"/>
    <col min="3841" max="3841" width="19.1640625" style="9" customWidth="1"/>
    <col min="3842" max="3842" width="8.83203125" style="9"/>
    <col min="3843" max="3843" width="141.1640625" style="9" customWidth="1"/>
    <col min="3844" max="4096" width="8.83203125" style="9"/>
    <col min="4097" max="4097" width="19.1640625" style="9" customWidth="1"/>
    <col min="4098" max="4098" width="8.83203125" style="9"/>
    <col min="4099" max="4099" width="141.1640625" style="9" customWidth="1"/>
    <col min="4100" max="4352" width="8.83203125" style="9"/>
    <col min="4353" max="4353" width="19.1640625" style="9" customWidth="1"/>
    <col min="4354" max="4354" width="8.83203125" style="9"/>
    <col min="4355" max="4355" width="141.1640625" style="9" customWidth="1"/>
    <col min="4356" max="4608" width="8.83203125" style="9"/>
    <col min="4609" max="4609" width="19.1640625" style="9" customWidth="1"/>
    <col min="4610" max="4610" width="8.83203125" style="9"/>
    <col min="4611" max="4611" width="141.1640625" style="9" customWidth="1"/>
    <col min="4612" max="4864" width="8.83203125" style="9"/>
    <col min="4865" max="4865" width="19.1640625" style="9" customWidth="1"/>
    <col min="4866" max="4866" width="8.83203125" style="9"/>
    <col min="4867" max="4867" width="141.1640625" style="9" customWidth="1"/>
    <col min="4868" max="5120" width="8.83203125" style="9"/>
    <col min="5121" max="5121" width="19.1640625" style="9" customWidth="1"/>
    <col min="5122" max="5122" width="8.83203125" style="9"/>
    <col min="5123" max="5123" width="141.1640625" style="9" customWidth="1"/>
    <col min="5124" max="5376" width="8.83203125" style="9"/>
    <col min="5377" max="5377" width="19.1640625" style="9" customWidth="1"/>
    <col min="5378" max="5378" width="8.83203125" style="9"/>
    <col min="5379" max="5379" width="141.1640625" style="9" customWidth="1"/>
    <col min="5380" max="5632" width="8.83203125" style="9"/>
    <col min="5633" max="5633" width="19.1640625" style="9" customWidth="1"/>
    <col min="5634" max="5634" width="8.83203125" style="9"/>
    <col min="5635" max="5635" width="141.1640625" style="9" customWidth="1"/>
    <col min="5636" max="5888" width="8.83203125" style="9"/>
    <col min="5889" max="5889" width="19.1640625" style="9" customWidth="1"/>
    <col min="5890" max="5890" width="8.83203125" style="9"/>
    <col min="5891" max="5891" width="141.1640625" style="9" customWidth="1"/>
    <col min="5892" max="6144" width="8.83203125" style="9"/>
    <col min="6145" max="6145" width="19.1640625" style="9" customWidth="1"/>
    <col min="6146" max="6146" width="8.83203125" style="9"/>
    <col min="6147" max="6147" width="141.1640625" style="9" customWidth="1"/>
    <col min="6148" max="6400" width="8.83203125" style="9"/>
    <col min="6401" max="6401" width="19.1640625" style="9" customWidth="1"/>
    <col min="6402" max="6402" width="8.83203125" style="9"/>
    <col min="6403" max="6403" width="141.1640625" style="9" customWidth="1"/>
    <col min="6404" max="6656" width="8.83203125" style="9"/>
    <col min="6657" max="6657" width="19.1640625" style="9" customWidth="1"/>
    <col min="6658" max="6658" width="8.83203125" style="9"/>
    <col min="6659" max="6659" width="141.1640625" style="9" customWidth="1"/>
    <col min="6660" max="6912" width="8.83203125" style="9"/>
    <col min="6913" max="6913" width="19.1640625" style="9" customWidth="1"/>
    <col min="6914" max="6914" width="8.83203125" style="9"/>
    <col min="6915" max="6915" width="141.1640625" style="9" customWidth="1"/>
    <col min="6916" max="7168" width="8.83203125" style="9"/>
    <col min="7169" max="7169" width="19.1640625" style="9" customWidth="1"/>
    <col min="7170" max="7170" width="8.83203125" style="9"/>
    <col min="7171" max="7171" width="141.1640625" style="9" customWidth="1"/>
    <col min="7172" max="7424" width="8.83203125" style="9"/>
    <col min="7425" max="7425" width="19.1640625" style="9" customWidth="1"/>
    <col min="7426" max="7426" width="8.83203125" style="9"/>
    <col min="7427" max="7427" width="141.1640625" style="9" customWidth="1"/>
    <col min="7428" max="7680" width="8.83203125" style="9"/>
    <col min="7681" max="7681" width="19.1640625" style="9" customWidth="1"/>
    <col min="7682" max="7682" width="8.83203125" style="9"/>
    <col min="7683" max="7683" width="141.1640625" style="9" customWidth="1"/>
    <col min="7684" max="7936" width="8.83203125" style="9"/>
    <col min="7937" max="7937" width="19.1640625" style="9" customWidth="1"/>
    <col min="7938" max="7938" width="8.83203125" style="9"/>
    <col min="7939" max="7939" width="141.1640625" style="9" customWidth="1"/>
    <col min="7940" max="8192" width="8.83203125" style="9"/>
    <col min="8193" max="8193" width="19.1640625" style="9" customWidth="1"/>
    <col min="8194" max="8194" width="8.83203125" style="9"/>
    <col min="8195" max="8195" width="141.1640625" style="9" customWidth="1"/>
    <col min="8196" max="8448" width="8.83203125" style="9"/>
    <col min="8449" max="8449" width="19.1640625" style="9" customWidth="1"/>
    <col min="8450" max="8450" width="8.83203125" style="9"/>
    <col min="8451" max="8451" width="141.1640625" style="9" customWidth="1"/>
    <col min="8452" max="8704" width="8.83203125" style="9"/>
    <col min="8705" max="8705" width="19.1640625" style="9" customWidth="1"/>
    <col min="8706" max="8706" width="8.83203125" style="9"/>
    <col min="8707" max="8707" width="141.1640625" style="9" customWidth="1"/>
    <col min="8708" max="8960" width="8.83203125" style="9"/>
    <col min="8961" max="8961" width="19.1640625" style="9" customWidth="1"/>
    <col min="8962" max="8962" width="8.83203125" style="9"/>
    <col min="8963" max="8963" width="141.1640625" style="9" customWidth="1"/>
    <col min="8964" max="9216" width="8.83203125" style="9"/>
    <col min="9217" max="9217" width="19.1640625" style="9" customWidth="1"/>
    <col min="9218" max="9218" width="8.83203125" style="9"/>
    <col min="9219" max="9219" width="141.1640625" style="9" customWidth="1"/>
    <col min="9220" max="9472" width="8.83203125" style="9"/>
    <col min="9473" max="9473" width="19.1640625" style="9" customWidth="1"/>
    <col min="9474" max="9474" width="8.83203125" style="9"/>
    <col min="9475" max="9475" width="141.1640625" style="9" customWidth="1"/>
    <col min="9476" max="9728" width="8.83203125" style="9"/>
    <col min="9729" max="9729" width="19.1640625" style="9" customWidth="1"/>
    <col min="9730" max="9730" width="8.83203125" style="9"/>
    <col min="9731" max="9731" width="141.1640625" style="9" customWidth="1"/>
    <col min="9732" max="9984" width="8.83203125" style="9"/>
    <col min="9985" max="9985" width="19.1640625" style="9" customWidth="1"/>
    <col min="9986" max="9986" width="8.83203125" style="9"/>
    <col min="9987" max="9987" width="141.1640625" style="9" customWidth="1"/>
    <col min="9988" max="10240" width="8.83203125" style="9"/>
    <col min="10241" max="10241" width="19.1640625" style="9" customWidth="1"/>
    <col min="10242" max="10242" width="8.83203125" style="9"/>
    <col min="10243" max="10243" width="141.1640625" style="9" customWidth="1"/>
    <col min="10244" max="10496" width="8.83203125" style="9"/>
    <col min="10497" max="10497" width="19.1640625" style="9" customWidth="1"/>
    <col min="10498" max="10498" width="8.83203125" style="9"/>
    <col min="10499" max="10499" width="141.1640625" style="9" customWidth="1"/>
    <col min="10500" max="10752" width="8.83203125" style="9"/>
    <col min="10753" max="10753" width="19.1640625" style="9" customWidth="1"/>
    <col min="10754" max="10754" width="8.83203125" style="9"/>
    <col min="10755" max="10755" width="141.1640625" style="9" customWidth="1"/>
    <col min="10756" max="11008" width="8.83203125" style="9"/>
    <col min="11009" max="11009" width="19.1640625" style="9" customWidth="1"/>
    <col min="11010" max="11010" width="8.83203125" style="9"/>
    <col min="11011" max="11011" width="141.1640625" style="9" customWidth="1"/>
    <col min="11012" max="11264" width="8.83203125" style="9"/>
    <col min="11265" max="11265" width="19.1640625" style="9" customWidth="1"/>
    <col min="11266" max="11266" width="8.83203125" style="9"/>
    <col min="11267" max="11267" width="141.1640625" style="9" customWidth="1"/>
    <col min="11268" max="11520" width="8.83203125" style="9"/>
    <col min="11521" max="11521" width="19.1640625" style="9" customWidth="1"/>
    <col min="11522" max="11522" width="8.83203125" style="9"/>
    <col min="11523" max="11523" width="141.1640625" style="9" customWidth="1"/>
    <col min="11524" max="11776" width="8.83203125" style="9"/>
    <col min="11777" max="11777" width="19.1640625" style="9" customWidth="1"/>
    <col min="11778" max="11778" width="8.83203125" style="9"/>
    <col min="11779" max="11779" width="141.1640625" style="9" customWidth="1"/>
    <col min="11780" max="12032" width="8.83203125" style="9"/>
    <col min="12033" max="12033" width="19.1640625" style="9" customWidth="1"/>
    <col min="12034" max="12034" width="8.83203125" style="9"/>
    <col min="12035" max="12035" width="141.1640625" style="9" customWidth="1"/>
    <col min="12036" max="12288" width="8.83203125" style="9"/>
    <col min="12289" max="12289" width="19.1640625" style="9" customWidth="1"/>
    <col min="12290" max="12290" width="8.83203125" style="9"/>
    <col min="12291" max="12291" width="141.1640625" style="9" customWidth="1"/>
    <col min="12292" max="12544" width="8.83203125" style="9"/>
    <col min="12545" max="12545" width="19.1640625" style="9" customWidth="1"/>
    <col min="12546" max="12546" width="8.83203125" style="9"/>
    <col min="12547" max="12547" width="141.1640625" style="9" customWidth="1"/>
    <col min="12548" max="12800" width="8.83203125" style="9"/>
    <col min="12801" max="12801" width="19.1640625" style="9" customWidth="1"/>
    <col min="12802" max="12802" width="8.83203125" style="9"/>
    <col min="12803" max="12803" width="141.1640625" style="9" customWidth="1"/>
    <col min="12804" max="13056" width="8.83203125" style="9"/>
    <col min="13057" max="13057" width="19.1640625" style="9" customWidth="1"/>
    <col min="13058" max="13058" width="8.83203125" style="9"/>
    <col min="13059" max="13059" width="141.1640625" style="9" customWidth="1"/>
    <col min="13060" max="13312" width="8.83203125" style="9"/>
    <col min="13313" max="13313" width="19.1640625" style="9" customWidth="1"/>
    <col min="13314" max="13314" width="8.83203125" style="9"/>
    <col min="13315" max="13315" width="141.1640625" style="9" customWidth="1"/>
    <col min="13316" max="13568" width="8.83203125" style="9"/>
    <col min="13569" max="13569" width="19.1640625" style="9" customWidth="1"/>
    <col min="13570" max="13570" width="8.83203125" style="9"/>
    <col min="13571" max="13571" width="141.1640625" style="9" customWidth="1"/>
    <col min="13572" max="13824" width="8.83203125" style="9"/>
    <col min="13825" max="13825" width="19.1640625" style="9" customWidth="1"/>
    <col min="13826" max="13826" width="8.83203125" style="9"/>
    <col min="13827" max="13827" width="141.1640625" style="9" customWidth="1"/>
    <col min="13828" max="14080" width="8.83203125" style="9"/>
    <col min="14081" max="14081" width="19.1640625" style="9" customWidth="1"/>
    <col min="14082" max="14082" width="8.83203125" style="9"/>
    <col min="14083" max="14083" width="141.1640625" style="9" customWidth="1"/>
    <col min="14084" max="14336" width="8.83203125" style="9"/>
    <col min="14337" max="14337" width="19.1640625" style="9" customWidth="1"/>
    <col min="14338" max="14338" width="8.83203125" style="9"/>
    <col min="14339" max="14339" width="141.1640625" style="9" customWidth="1"/>
    <col min="14340" max="14592" width="8.83203125" style="9"/>
    <col min="14593" max="14593" width="19.1640625" style="9" customWidth="1"/>
    <col min="14594" max="14594" width="8.83203125" style="9"/>
    <col min="14595" max="14595" width="141.1640625" style="9" customWidth="1"/>
    <col min="14596" max="14848" width="8.83203125" style="9"/>
    <col min="14849" max="14849" width="19.1640625" style="9" customWidth="1"/>
    <col min="14850" max="14850" width="8.83203125" style="9"/>
    <col min="14851" max="14851" width="141.1640625" style="9" customWidth="1"/>
    <col min="14852" max="15104" width="8.83203125" style="9"/>
    <col min="15105" max="15105" width="19.1640625" style="9" customWidth="1"/>
    <col min="15106" max="15106" width="8.83203125" style="9"/>
    <col min="15107" max="15107" width="141.1640625" style="9" customWidth="1"/>
    <col min="15108" max="15360" width="8.83203125" style="9"/>
    <col min="15361" max="15361" width="19.1640625" style="9" customWidth="1"/>
    <col min="15362" max="15362" width="8.83203125" style="9"/>
    <col min="15363" max="15363" width="141.1640625" style="9" customWidth="1"/>
    <col min="15364" max="15616" width="8.83203125" style="9"/>
    <col min="15617" max="15617" width="19.1640625" style="9" customWidth="1"/>
    <col min="15618" max="15618" width="8.83203125" style="9"/>
    <col min="15619" max="15619" width="141.1640625" style="9" customWidth="1"/>
    <col min="15620" max="15872" width="8.83203125" style="9"/>
    <col min="15873" max="15873" width="19.1640625" style="9" customWidth="1"/>
    <col min="15874" max="15874" width="8.83203125" style="9"/>
    <col min="15875" max="15875" width="141.1640625" style="9" customWidth="1"/>
    <col min="15876" max="16128" width="8.83203125" style="9"/>
    <col min="16129" max="16129" width="19.1640625" style="9" customWidth="1"/>
    <col min="16130" max="16130" width="8.83203125" style="9"/>
    <col min="16131" max="16131" width="141.1640625" style="9" customWidth="1"/>
    <col min="16132" max="16384" width="8.83203125" style="9"/>
  </cols>
  <sheetData>
    <row r="1" spans="1:130" s="17" customFormat="1" ht="14" customHeight="1">
      <c r="A1" s="16" t="s">
        <v>52</v>
      </c>
      <c r="B1" s="38" t="s">
        <v>0</v>
      </c>
      <c r="C1" s="53"/>
    </row>
    <row r="2" spans="1:130" s="24" customFormat="1">
      <c r="A2" s="81" t="s">
        <v>33</v>
      </c>
      <c r="B2" s="41">
        <v>43800</v>
      </c>
      <c r="C2" s="47"/>
      <c r="D2" s="27"/>
    </row>
    <row r="3" spans="1:130" s="24" customFormat="1">
      <c r="A3" s="82"/>
      <c r="B3" s="41">
        <v>43770</v>
      </c>
      <c r="C3" s="47"/>
      <c r="D3" s="25"/>
      <c r="E3" s="25"/>
      <c r="F3" s="25"/>
      <c r="G3" s="25"/>
      <c r="H3" s="25"/>
      <c r="I3" s="25"/>
      <c r="J3" s="25"/>
      <c r="K3" s="25"/>
      <c r="L3" s="25"/>
      <c r="M3" s="30"/>
      <c r="N3" s="30"/>
      <c r="O3" s="30"/>
      <c r="P3" s="30"/>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row>
    <row r="4" spans="1:130" s="24" customFormat="1">
      <c r="A4" s="82"/>
      <c r="B4" s="41">
        <v>43739</v>
      </c>
      <c r="C4" s="47"/>
      <c r="D4" s="27"/>
    </row>
    <row r="5" spans="1:130" s="24" customFormat="1">
      <c r="A5" s="82"/>
      <c r="B5" s="41">
        <v>43709</v>
      </c>
      <c r="C5" s="47"/>
      <c r="D5" s="27"/>
    </row>
    <row r="6" spans="1:130" s="24" customFormat="1">
      <c r="A6" s="82"/>
      <c r="B6" s="41">
        <v>43678</v>
      </c>
      <c r="C6" s="47"/>
      <c r="D6" s="27"/>
    </row>
    <row r="7" spans="1:130" s="24" customFormat="1">
      <c r="A7" s="82"/>
      <c r="B7" s="41">
        <v>43647</v>
      </c>
      <c r="C7" s="47"/>
      <c r="D7" s="27"/>
    </row>
    <row r="8" spans="1:130" s="24" customFormat="1">
      <c r="A8" s="82"/>
      <c r="B8" s="41">
        <v>43617</v>
      </c>
      <c r="C8" s="47"/>
      <c r="D8" s="25"/>
      <c r="E8" s="25"/>
      <c r="F8" s="25"/>
      <c r="G8" s="25"/>
      <c r="H8" s="25"/>
      <c r="I8" s="25"/>
      <c r="J8" s="25"/>
      <c r="K8" s="25"/>
      <c r="L8" s="25"/>
      <c r="M8" s="30"/>
      <c r="N8" s="30"/>
      <c r="O8" s="30"/>
      <c r="P8" s="30"/>
      <c r="Q8" s="26"/>
      <c r="R8" s="26"/>
      <c r="S8" s="26"/>
      <c r="T8" s="26"/>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row>
    <row r="9" spans="1:130" s="24" customFormat="1">
      <c r="A9" s="82"/>
      <c r="B9" s="41">
        <v>43586</v>
      </c>
      <c r="C9" s="47"/>
      <c r="D9" s="27"/>
    </row>
    <row r="10" spans="1:130" s="24" customFormat="1">
      <c r="A10" s="82"/>
      <c r="B10" s="41">
        <v>43556</v>
      </c>
      <c r="C10" s="47" t="s">
        <v>244</v>
      </c>
      <c r="D10" s="27"/>
    </row>
    <row r="11" spans="1:130" s="24" customFormat="1">
      <c r="A11" s="82"/>
      <c r="B11" s="41">
        <v>43525</v>
      </c>
      <c r="C11" s="47"/>
      <c r="D11" s="27"/>
    </row>
    <row r="12" spans="1:130" s="24" customFormat="1">
      <c r="A12" s="82"/>
      <c r="B12" s="41">
        <v>43497</v>
      </c>
      <c r="C12" s="47"/>
      <c r="D12" s="27"/>
    </row>
    <row r="13" spans="1:130" s="24" customFormat="1">
      <c r="A13" s="82"/>
      <c r="B13" s="41">
        <v>43466</v>
      </c>
      <c r="C13" s="47"/>
      <c r="D13" s="25"/>
      <c r="E13" s="25"/>
      <c r="F13" s="25"/>
      <c r="G13" s="25"/>
      <c r="H13" s="25"/>
      <c r="I13" s="25"/>
      <c r="J13" s="25"/>
      <c r="K13" s="25"/>
      <c r="L13" s="25"/>
      <c r="M13" s="30"/>
      <c r="N13" s="30"/>
      <c r="O13" s="30"/>
      <c r="P13" s="30"/>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row>
    <row r="14" spans="1:130" s="24" customFormat="1">
      <c r="A14" s="82"/>
      <c r="B14" s="41">
        <v>43435</v>
      </c>
      <c r="C14" s="47"/>
      <c r="D14" s="27"/>
    </row>
    <row r="15" spans="1:130" s="24" customFormat="1">
      <c r="A15" s="82"/>
      <c r="B15" s="41">
        <v>43405</v>
      </c>
      <c r="C15" s="47"/>
      <c r="D15" s="25"/>
      <c r="E15" s="25"/>
      <c r="F15" s="25"/>
      <c r="G15" s="25"/>
      <c r="H15" s="25"/>
      <c r="I15" s="25"/>
      <c r="J15" s="25"/>
      <c r="K15" s="25"/>
      <c r="L15" s="25"/>
      <c r="M15" s="30"/>
      <c r="N15" s="30"/>
      <c r="O15" s="30"/>
      <c r="P15" s="30"/>
      <c r="Q15" s="26"/>
      <c r="R15" s="26"/>
      <c r="S15" s="26"/>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row>
    <row r="16" spans="1:130" s="24" customFormat="1">
      <c r="A16" s="82"/>
      <c r="B16" s="41">
        <v>43374</v>
      </c>
      <c r="C16" s="47"/>
      <c r="D16" s="27"/>
    </row>
    <row r="17" spans="1:130" s="24" customFormat="1">
      <c r="A17" s="82"/>
      <c r="B17" s="41">
        <v>43344</v>
      </c>
      <c r="C17" s="47"/>
      <c r="D17" s="27"/>
    </row>
    <row r="18" spans="1:130" s="24" customFormat="1">
      <c r="A18" s="82"/>
      <c r="B18" s="41">
        <v>43313</v>
      </c>
      <c r="C18" s="47"/>
      <c r="D18" s="27"/>
    </row>
    <row r="19" spans="1:130" s="24" customFormat="1">
      <c r="A19" s="82"/>
      <c r="B19" s="41">
        <v>43282</v>
      </c>
      <c r="C19" s="47"/>
      <c r="D19" s="27"/>
    </row>
    <row r="20" spans="1:130" s="24" customFormat="1">
      <c r="A20" s="82"/>
      <c r="B20" s="41">
        <v>43252</v>
      </c>
      <c r="C20" s="47"/>
      <c r="D20" s="25"/>
      <c r="E20" s="25"/>
      <c r="F20" s="25"/>
      <c r="G20" s="25"/>
      <c r="H20" s="25"/>
      <c r="I20" s="25"/>
      <c r="J20" s="25"/>
      <c r="K20" s="25"/>
      <c r="L20" s="25"/>
      <c r="M20" s="30"/>
      <c r="N20" s="30"/>
      <c r="O20" s="30"/>
      <c r="P20" s="30"/>
      <c r="Q20" s="26"/>
      <c r="R20" s="26"/>
      <c r="S20" s="26"/>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row>
    <row r="21" spans="1:130" s="24" customFormat="1">
      <c r="A21" s="82"/>
      <c r="B21" s="41">
        <v>43221</v>
      </c>
      <c r="C21" s="47"/>
      <c r="D21" s="27"/>
    </row>
    <row r="22" spans="1:130" s="24" customFormat="1">
      <c r="A22" s="82"/>
      <c r="B22" s="41">
        <v>43191</v>
      </c>
      <c r="C22" s="47"/>
      <c r="D22" s="27"/>
    </row>
    <row r="23" spans="1:130" s="24" customFormat="1">
      <c r="A23" s="82"/>
      <c r="B23" s="41">
        <v>43160</v>
      </c>
      <c r="C23" s="47"/>
      <c r="D23" s="27"/>
    </row>
    <row r="24" spans="1:130" s="24" customFormat="1">
      <c r="A24" s="82"/>
      <c r="B24" s="41">
        <v>43132</v>
      </c>
      <c r="C24" s="47"/>
      <c r="D24" s="27"/>
    </row>
    <row r="25" spans="1:130" s="24" customFormat="1">
      <c r="A25" s="82"/>
      <c r="B25" s="41">
        <v>43101</v>
      </c>
      <c r="C25" s="48" t="s">
        <v>53</v>
      </c>
      <c r="D25" s="25"/>
      <c r="E25" s="25"/>
      <c r="F25" s="25"/>
      <c r="G25" s="25"/>
      <c r="H25" s="25"/>
      <c r="I25" s="25"/>
      <c r="J25" s="25"/>
      <c r="K25" s="25"/>
      <c r="L25" s="25"/>
      <c r="M25" s="30"/>
      <c r="N25" s="30"/>
      <c r="O25" s="30"/>
      <c r="P25" s="30"/>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row>
    <row r="26" spans="1:130" s="18" customFormat="1" ht="12.75" customHeight="1">
      <c r="A26" s="82"/>
      <c r="B26" s="42">
        <v>43070</v>
      </c>
      <c r="C26" s="48" t="s">
        <v>53</v>
      </c>
      <c r="D26" s="31"/>
      <c r="E26" s="31"/>
      <c r="F26" s="31"/>
      <c r="G26" s="31"/>
      <c r="H26" s="31"/>
      <c r="I26" s="31"/>
      <c r="J26" s="31"/>
      <c r="K26" s="31"/>
      <c r="L26" s="31"/>
      <c r="M26" s="31"/>
      <c r="N26" s="31"/>
      <c r="O26" s="31"/>
      <c r="P26" s="31"/>
    </row>
    <row r="27" spans="1:130" s="18" customFormat="1">
      <c r="A27" s="82"/>
      <c r="B27" s="42">
        <v>43040</v>
      </c>
      <c r="C27" s="49" t="s">
        <v>53</v>
      </c>
      <c r="D27" s="31"/>
      <c r="E27" s="31"/>
      <c r="F27" s="31"/>
      <c r="G27" s="31"/>
      <c r="H27" s="31"/>
      <c r="I27" s="31"/>
      <c r="J27" s="31"/>
      <c r="K27" s="31"/>
      <c r="L27" s="31"/>
      <c r="M27" s="31"/>
      <c r="N27" s="31"/>
      <c r="O27" s="31"/>
      <c r="P27" s="31"/>
    </row>
    <row r="28" spans="1:130" s="18" customFormat="1">
      <c r="A28" s="82"/>
      <c r="B28" s="42">
        <v>43009</v>
      </c>
      <c r="C28" s="48" t="s">
        <v>53</v>
      </c>
      <c r="D28" s="31"/>
      <c r="E28" s="31"/>
      <c r="F28" s="31"/>
      <c r="G28" s="31"/>
      <c r="H28" s="31"/>
      <c r="I28" s="31"/>
      <c r="J28" s="31"/>
      <c r="K28" s="31"/>
      <c r="L28" s="31"/>
      <c r="M28" s="31"/>
      <c r="N28" s="31"/>
      <c r="O28" s="31"/>
      <c r="P28" s="31"/>
    </row>
    <row r="29" spans="1:130" s="19" customFormat="1">
      <c r="A29" s="83"/>
      <c r="B29" s="42">
        <v>42979</v>
      </c>
      <c r="C29" s="47"/>
      <c r="D29" s="32"/>
      <c r="E29" s="32"/>
      <c r="F29" s="32"/>
      <c r="G29" s="32"/>
      <c r="H29" s="32"/>
      <c r="I29" s="32"/>
      <c r="J29" s="32"/>
      <c r="K29" s="32"/>
      <c r="L29" s="32"/>
      <c r="M29" s="32"/>
      <c r="N29" s="32"/>
      <c r="O29" s="32"/>
      <c r="P29" s="32"/>
    </row>
    <row r="30" spans="1:130" s="24" customFormat="1" ht="16" customHeight="1">
      <c r="A30" s="84" t="s">
        <v>43</v>
      </c>
      <c r="B30" s="45">
        <v>43800</v>
      </c>
      <c r="C30" s="54"/>
      <c r="D30" s="27"/>
    </row>
    <row r="31" spans="1:130" s="24" customFormat="1">
      <c r="A31" s="84"/>
      <c r="B31" s="45">
        <v>43770</v>
      </c>
      <c r="C31" s="54"/>
      <c r="D31" s="25"/>
      <c r="E31" s="25"/>
      <c r="F31" s="25"/>
      <c r="G31" s="25"/>
      <c r="H31" s="25"/>
      <c r="I31" s="25"/>
      <c r="J31" s="25"/>
      <c r="K31" s="25"/>
      <c r="L31" s="25"/>
      <c r="M31" s="30"/>
      <c r="N31" s="30"/>
      <c r="O31" s="30"/>
      <c r="P31" s="30"/>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row>
    <row r="32" spans="1:130" s="24" customFormat="1">
      <c r="A32" s="84"/>
      <c r="B32" s="45">
        <v>43739</v>
      </c>
      <c r="C32" s="54"/>
      <c r="D32" s="27"/>
    </row>
    <row r="33" spans="1:130" s="24" customFormat="1">
      <c r="A33" s="84"/>
      <c r="B33" s="45">
        <v>43709</v>
      </c>
      <c r="C33" s="54"/>
      <c r="D33" s="27"/>
    </row>
    <row r="34" spans="1:130" s="24" customFormat="1">
      <c r="A34" s="84"/>
      <c r="B34" s="45">
        <v>43678</v>
      </c>
      <c r="C34" s="54"/>
      <c r="D34" s="27"/>
    </row>
    <row r="35" spans="1:130" s="24" customFormat="1">
      <c r="A35" s="84"/>
      <c r="B35" s="45">
        <v>43647</v>
      </c>
      <c r="C35" s="54"/>
      <c r="D35" s="27"/>
    </row>
    <row r="36" spans="1:130" s="24" customFormat="1">
      <c r="A36" s="84"/>
      <c r="B36" s="45">
        <v>43617</v>
      </c>
      <c r="C36" s="54"/>
      <c r="D36" s="25"/>
      <c r="E36" s="25"/>
      <c r="F36" s="25"/>
      <c r="G36" s="25"/>
      <c r="H36" s="25"/>
      <c r="I36" s="25"/>
      <c r="J36" s="25"/>
      <c r="K36" s="25"/>
      <c r="L36" s="25"/>
      <c r="M36" s="30"/>
      <c r="N36" s="30"/>
      <c r="O36" s="30"/>
      <c r="P36" s="30"/>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row>
    <row r="37" spans="1:130" s="24" customFormat="1">
      <c r="A37" s="84"/>
      <c r="B37" s="45">
        <v>43586</v>
      </c>
      <c r="C37" s="54"/>
      <c r="D37" s="27"/>
    </row>
    <row r="38" spans="1:130" s="24" customFormat="1">
      <c r="A38" s="84"/>
      <c r="B38" s="45">
        <v>43556</v>
      </c>
      <c r="C38" s="54" t="s">
        <v>234</v>
      </c>
      <c r="D38" s="27"/>
    </row>
    <row r="39" spans="1:130" s="24" customFormat="1">
      <c r="A39" s="84"/>
      <c r="B39" s="45">
        <v>43525</v>
      </c>
      <c r="C39" s="54" t="s">
        <v>224</v>
      </c>
      <c r="D39" s="27"/>
    </row>
    <row r="40" spans="1:130" s="24" customFormat="1">
      <c r="A40" s="84"/>
      <c r="B40" s="45">
        <v>43497</v>
      </c>
      <c r="C40" s="54" t="s">
        <v>212</v>
      </c>
      <c r="D40" s="27"/>
    </row>
    <row r="41" spans="1:130" s="24" customFormat="1">
      <c r="A41" s="84"/>
      <c r="B41" s="45">
        <v>43466</v>
      </c>
      <c r="C41" s="54" t="s">
        <v>201</v>
      </c>
      <c r="D41" s="25"/>
      <c r="E41" s="25"/>
      <c r="F41" s="25"/>
      <c r="G41" s="25"/>
      <c r="H41" s="25"/>
      <c r="I41" s="25"/>
      <c r="J41" s="25"/>
      <c r="K41" s="25"/>
      <c r="L41" s="25"/>
      <c r="M41" s="30"/>
      <c r="N41" s="30"/>
      <c r="O41" s="30"/>
      <c r="P41" s="30"/>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row>
    <row r="42" spans="1:130" s="24" customFormat="1">
      <c r="A42" s="84"/>
      <c r="B42" s="45">
        <v>43435</v>
      </c>
      <c r="C42" s="54" t="s">
        <v>191</v>
      </c>
      <c r="D42" s="27"/>
    </row>
    <row r="43" spans="1:130" s="24" customFormat="1">
      <c r="A43" s="84"/>
      <c r="B43" s="45">
        <v>43405</v>
      </c>
      <c r="C43" s="54" t="s">
        <v>181</v>
      </c>
      <c r="D43" s="25"/>
      <c r="E43" s="25"/>
      <c r="F43" s="25"/>
      <c r="G43" s="25"/>
      <c r="H43" s="25"/>
      <c r="I43" s="25"/>
      <c r="J43" s="25"/>
      <c r="K43" s="25"/>
      <c r="L43" s="25"/>
      <c r="M43" s="30"/>
      <c r="N43" s="30"/>
      <c r="O43" s="30"/>
      <c r="P43" s="30"/>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row>
    <row r="44" spans="1:130" s="24" customFormat="1">
      <c r="A44" s="84"/>
      <c r="B44" s="45">
        <v>43374</v>
      </c>
      <c r="C44" s="54" t="s">
        <v>171</v>
      </c>
      <c r="D44" s="27"/>
    </row>
    <row r="45" spans="1:130" s="24" customFormat="1">
      <c r="A45" s="84"/>
      <c r="B45" s="45">
        <v>43344</v>
      </c>
      <c r="C45" s="54" t="s">
        <v>150</v>
      </c>
      <c r="D45" s="27"/>
    </row>
    <row r="46" spans="1:130" s="24" customFormat="1" ht="14">
      <c r="A46" s="84"/>
      <c r="B46" s="45">
        <v>43313</v>
      </c>
      <c r="C46" s="69" t="s">
        <v>161</v>
      </c>
      <c r="D46" s="27"/>
    </row>
    <row r="47" spans="1:130" s="24" customFormat="1">
      <c r="A47" s="84"/>
      <c r="B47" s="45">
        <v>43282</v>
      </c>
      <c r="C47" s="54" t="s">
        <v>139</v>
      </c>
      <c r="D47" s="27"/>
    </row>
    <row r="48" spans="1:130" s="24" customFormat="1">
      <c r="A48" s="84"/>
      <c r="B48" s="45">
        <v>43252</v>
      </c>
      <c r="C48" s="54" t="s">
        <v>132</v>
      </c>
      <c r="D48" s="25"/>
      <c r="E48" s="25"/>
      <c r="F48" s="25"/>
      <c r="G48" s="25"/>
      <c r="H48" s="25"/>
      <c r="I48" s="25"/>
      <c r="J48" s="25"/>
      <c r="K48" s="25"/>
      <c r="L48" s="25"/>
      <c r="M48" s="30"/>
      <c r="N48" s="30"/>
      <c r="O48" s="30"/>
      <c r="P48" s="30"/>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row>
    <row r="49" spans="1:130" s="24" customFormat="1">
      <c r="A49" s="84"/>
      <c r="B49" s="45">
        <v>43221</v>
      </c>
      <c r="C49" s="54" t="s">
        <v>119</v>
      </c>
      <c r="D49" s="27"/>
    </row>
    <row r="50" spans="1:130" s="24" customFormat="1">
      <c r="A50" s="84"/>
      <c r="B50" s="45">
        <v>43191</v>
      </c>
      <c r="C50" s="54" t="s">
        <v>111</v>
      </c>
      <c r="D50" s="27"/>
    </row>
    <row r="51" spans="1:130" s="24" customFormat="1">
      <c r="A51" s="84"/>
      <c r="B51" s="45">
        <v>43160</v>
      </c>
      <c r="C51" s="54" t="s">
        <v>101</v>
      </c>
      <c r="D51" s="27"/>
    </row>
    <row r="52" spans="1:130" s="24" customFormat="1">
      <c r="A52" s="84"/>
      <c r="B52" s="45">
        <v>43132</v>
      </c>
      <c r="C52" s="54" t="s">
        <v>91</v>
      </c>
      <c r="D52" s="33"/>
    </row>
    <row r="53" spans="1:130" s="24" customFormat="1">
      <c r="A53" s="84"/>
      <c r="B53" s="45">
        <v>43101</v>
      </c>
      <c r="C53" s="55" t="s">
        <v>54</v>
      </c>
      <c r="D53" s="34"/>
      <c r="E53" s="28"/>
      <c r="F53" s="28"/>
      <c r="G53" s="28"/>
      <c r="H53" s="28"/>
      <c r="I53" s="28"/>
      <c r="J53" s="28"/>
      <c r="K53" s="28"/>
      <c r="L53" s="28"/>
      <c r="M53" s="29"/>
      <c r="N53" s="29"/>
      <c r="O53" s="29"/>
      <c r="P53" s="29"/>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row>
    <row r="54" spans="1:130" s="20" customFormat="1">
      <c r="A54" s="84"/>
      <c r="B54" s="46">
        <v>43070</v>
      </c>
      <c r="C54" s="55" t="s">
        <v>55</v>
      </c>
      <c r="D54" s="35"/>
    </row>
    <row r="55" spans="1:130" s="20" customFormat="1">
      <c r="A55" s="84"/>
      <c r="B55" s="46">
        <v>43040</v>
      </c>
      <c r="C55" s="55" t="s">
        <v>56</v>
      </c>
      <c r="D55" s="35"/>
    </row>
    <row r="56" spans="1:130" s="20" customFormat="1">
      <c r="A56" s="84"/>
      <c r="B56" s="46">
        <v>43009</v>
      </c>
      <c r="C56" s="56" t="s">
        <v>57</v>
      </c>
      <c r="D56" s="35"/>
    </row>
    <row r="57" spans="1:130" s="21" customFormat="1">
      <c r="A57" s="84"/>
      <c r="B57" s="46">
        <v>42979</v>
      </c>
      <c r="C57" s="54"/>
      <c r="D57" s="36"/>
    </row>
    <row r="58" spans="1:130" s="24" customFormat="1" ht="16" customHeight="1">
      <c r="A58" s="85" t="s">
        <v>31</v>
      </c>
      <c r="B58" s="57">
        <v>43800</v>
      </c>
      <c r="C58" s="58"/>
      <c r="D58" s="27"/>
    </row>
    <row r="59" spans="1:130" s="24" customFormat="1">
      <c r="A59" s="85"/>
      <c r="B59" s="57">
        <v>43770</v>
      </c>
      <c r="C59" s="58"/>
      <c r="D59" s="25"/>
      <c r="E59" s="25"/>
      <c r="F59" s="25"/>
      <c r="G59" s="25"/>
      <c r="H59" s="25"/>
      <c r="I59" s="25"/>
      <c r="J59" s="25"/>
      <c r="K59" s="25"/>
      <c r="L59" s="25"/>
      <c r="M59" s="30"/>
      <c r="N59" s="30"/>
      <c r="O59" s="30"/>
      <c r="P59" s="30"/>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row>
    <row r="60" spans="1:130" s="24" customFormat="1">
      <c r="A60" s="85"/>
      <c r="B60" s="57">
        <v>43739</v>
      </c>
      <c r="C60" s="58"/>
      <c r="D60" s="27"/>
    </row>
    <row r="61" spans="1:130" s="24" customFormat="1">
      <c r="A61" s="85"/>
      <c r="B61" s="57">
        <v>43709</v>
      </c>
      <c r="C61" s="58"/>
      <c r="D61" s="27"/>
    </row>
    <row r="62" spans="1:130" s="24" customFormat="1">
      <c r="A62" s="85"/>
      <c r="B62" s="57">
        <v>43678</v>
      </c>
      <c r="C62" s="58"/>
      <c r="D62" s="27"/>
    </row>
    <row r="63" spans="1:130" s="24" customFormat="1">
      <c r="A63" s="85"/>
      <c r="B63" s="57">
        <v>43647</v>
      </c>
      <c r="C63" s="58"/>
      <c r="D63" s="27"/>
    </row>
    <row r="64" spans="1:130" s="24" customFormat="1">
      <c r="A64" s="85"/>
      <c r="B64" s="57">
        <v>43617</v>
      </c>
      <c r="C64" s="58"/>
      <c r="D64" s="25"/>
      <c r="E64" s="25"/>
      <c r="F64" s="25"/>
      <c r="G64" s="25"/>
      <c r="H64" s="25"/>
      <c r="I64" s="25"/>
      <c r="J64" s="25"/>
      <c r="K64" s="25"/>
      <c r="L64" s="25"/>
      <c r="M64" s="30"/>
      <c r="N64" s="30"/>
      <c r="O64" s="30"/>
      <c r="P64" s="30"/>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row>
    <row r="65" spans="1:130" s="24" customFormat="1">
      <c r="A65" s="85"/>
      <c r="B65" s="57">
        <v>43586</v>
      </c>
      <c r="C65" s="58"/>
      <c r="D65" s="27"/>
    </row>
    <row r="66" spans="1:130" s="24" customFormat="1">
      <c r="A66" s="85"/>
      <c r="B66" s="57">
        <v>43556</v>
      </c>
      <c r="C66" s="58" t="s">
        <v>233</v>
      </c>
      <c r="D66" s="27"/>
    </row>
    <row r="67" spans="1:130" s="24" customFormat="1">
      <c r="A67" s="85"/>
      <c r="B67" s="57">
        <v>43525</v>
      </c>
      <c r="C67" s="58" t="s">
        <v>223</v>
      </c>
      <c r="D67" s="27"/>
    </row>
    <row r="68" spans="1:130" s="24" customFormat="1">
      <c r="A68" s="85"/>
      <c r="B68" s="57">
        <v>43497</v>
      </c>
      <c r="C68" s="58" t="s">
        <v>211</v>
      </c>
      <c r="D68" s="27"/>
    </row>
    <row r="69" spans="1:130" s="24" customFormat="1">
      <c r="A69" s="85"/>
      <c r="B69" s="57">
        <v>43466</v>
      </c>
      <c r="C69" s="58" t="s">
        <v>200</v>
      </c>
      <c r="D69" s="25"/>
      <c r="E69" s="25"/>
      <c r="F69" s="25"/>
      <c r="G69" s="25"/>
      <c r="H69" s="25"/>
      <c r="I69" s="25"/>
      <c r="J69" s="25"/>
      <c r="K69" s="25"/>
      <c r="L69" s="25"/>
      <c r="M69" s="30"/>
      <c r="N69" s="30"/>
      <c r="O69" s="30"/>
      <c r="P69" s="30"/>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row>
    <row r="70" spans="1:130" s="24" customFormat="1">
      <c r="A70" s="85"/>
      <c r="B70" s="57">
        <v>43435</v>
      </c>
      <c r="C70" s="58" t="s">
        <v>190</v>
      </c>
      <c r="D70" s="27"/>
    </row>
    <row r="71" spans="1:130" s="24" customFormat="1">
      <c r="A71" s="85"/>
      <c r="B71" s="57">
        <v>43405</v>
      </c>
      <c r="C71" s="58" t="s">
        <v>180</v>
      </c>
      <c r="D71" s="25"/>
      <c r="E71" s="25"/>
      <c r="F71" s="25"/>
      <c r="G71" s="25"/>
      <c r="H71" s="25"/>
      <c r="I71" s="25"/>
      <c r="J71" s="25"/>
      <c r="K71" s="25"/>
      <c r="L71" s="25"/>
      <c r="M71" s="30"/>
      <c r="N71" s="30"/>
      <c r="O71" s="30"/>
      <c r="P71" s="30"/>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row>
    <row r="72" spans="1:130" s="24" customFormat="1">
      <c r="A72" s="85"/>
      <c r="B72" s="57">
        <v>43374</v>
      </c>
      <c r="C72" s="58" t="s">
        <v>170</v>
      </c>
      <c r="D72" s="27"/>
    </row>
    <row r="73" spans="1:130" s="24" customFormat="1">
      <c r="A73" s="85"/>
      <c r="B73" s="57">
        <v>43344</v>
      </c>
      <c r="C73" s="58" t="s">
        <v>151</v>
      </c>
      <c r="D73" s="27"/>
    </row>
    <row r="74" spans="1:130" s="24" customFormat="1" ht="14">
      <c r="A74" s="85"/>
      <c r="B74" s="57">
        <v>43313</v>
      </c>
      <c r="C74" s="68" t="s">
        <v>160</v>
      </c>
      <c r="D74" s="27"/>
    </row>
    <row r="75" spans="1:130" s="24" customFormat="1">
      <c r="A75" s="85"/>
      <c r="B75" s="57">
        <v>43282</v>
      </c>
      <c r="C75" s="58" t="s">
        <v>140</v>
      </c>
      <c r="D75" s="27"/>
    </row>
    <row r="76" spans="1:130" s="24" customFormat="1">
      <c r="A76" s="85"/>
      <c r="B76" s="57">
        <v>43252</v>
      </c>
      <c r="C76" s="58" t="s">
        <v>138</v>
      </c>
      <c r="D76" s="25"/>
      <c r="E76" s="25"/>
      <c r="F76" s="25"/>
      <c r="G76" s="25"/>
      <c r="H76" s="25"/>
      <c r="I76" s="25"/>
      <c r="J76" s="25"/>
      <c r="K76" s="25"/>
      <c r="L76" s="25"/>
      <c r="M76" s="30"/>
      <c r="N76" s="30"/>
      <c r="O76" s="30"/>
      <c r="P76" s="30"/>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row>
    <row r="77" spans="1:130" s="24" customFormat="1">
      <c r="A77" s="85"/>
      <c r="B77" s="57">
        <v>43221</v>
      </c>
      <c r="C77" s="58" t="s">
        <v>128</v>
      </c>
      <c r="D77" s="27"/>
    </row>
    <row r="78" spans="1:130" s="24" customFormat="1">
      <c r="A78" s="85"/>
      <c r="B78" s="57">
        <v>43191</v>
      </c>
      <c r="C78" s="58" t="s">
        <v>110</v>
      </c>
      <c r="D78" s="27"/>
    </row>
    <row r="79" spans="1:130" s="24" customFormat="1">
      <c r="A79" s="85"/>
      <c r="B79" s="57">
        <v>43160</v>
      </c>
      <c r="C79" s="58" t="s">
        <v>100</v>
      </c>
      <c r="D79" s="27"/>
    </row>
    <row r="80" spans="1:130" s="24" customFormat="1">
      <c r="A80" s="85"/>
      <c r="B80" s="57">
        <v>43132</v>
      </c>
      <c r="C80" s="58" t="s">
        <v>93</v>
      </c>
      <c r="D80" s="27"/>
    </row>
    <row r="81" spans="1:130" s="24" customFormat="1">
      <c r="A81" s="85"/>
      <c r="B81" s="57">
        <v>43101</v>
      </c>
      <c r="C81" s="59" t="s">
        <v>58</v>
      </c>
      <c r="D81" s="25"/>
      <c r="E81" s="25"/>
      <c r="F81" s="25"/>
      <c r="G81" s="25"/>
      <c r="H81" s="25"/>
      <c r="I81" s="25"/>
      <c r="J81" s="25"/>
      <c r="K81" s="25"/>
      <c r="L81" s="25"/>
      <c r="M81" s="30"/>
      <c r="N81" s="30"/>
      <c r="O81" s="30"/>
      <c r="P81" s="30"/>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row>
    <row r="82" spans="1:130" s="22" customFormat="1" ht="12.75" customHeight="1">
      <c r="A82" s="85"/>
      <c r="B82" s="60">
        <v>43070</v>
      </c>
      <c r="C82" s="59" t="s">
        <v>59</v>
      </c>
      <c r="D82" s="31"/>
      <c r="E82" s="31"/>
      <c r="F82" s="31"/>
      <c r="G82" s="31"/>
      <c r="H82" s="31"/>
      <c r="I82" s="31"/>
      <c r="J82" s="31"/>
      <c r="K82" s="31"/>
      <c r="L82" s="31"/>
      <c r="M82" s="31"/>
      <c r="N82" s="31"/>
      <c r="O82" s="31"/>
      <c r="P82" s="31"/>
    </row>
    <row r="83" spans="1:130" s="22" customFormat="1">
      <c r="A83" s="85"/>
      <c r="B83" s="60">
        <v>43040</v>
      </c>
      <c r="C83" s="61" t="s">
        <v>60</v>
      </c>
      <c r="D83" s="31"/>
      <c r="E83" s="31"/>
      <c r="F83" s="31"/>
      <c r="G83" s="31"/>
      <c r="H83" s="31"/>
      <c r="I83" s="31"/>
      <c r="J83" s="31"/>
      <c r="K83" s="31"/>
      <c r="L83" s="31"/>
      <c r="M83" s="31"/>
      <c r="N83" s="31"/>
      <c r="O83" s="31"/>
      <c r="P83" s="31"/>
    </row>
    <row r="84" spans="1:130" s="22" customFormat="1">
      <c r="A84" s="85"/>
      <c r="B84" s="60">
        <v>43009</v>
      </c>
      <c r="C84" s="61" t="s">
        <v>61</v>
      </c>
      <c r="D84" s="31"/>
      <c r="E84" s="31"/>
      <c r="F84" s="31"/>
      <c r="G84" s="31"/>
      <c r="H84" s="31"/>
      <c r="I84" s="31"/>
      <c r="J84" s="31"/>
      <c r="K84" s="31"/>
      <c r="L84" s="31"/>
      <c r="M84" s="31"/>
      <c r="N84" s="31"/>
      <c r="O84" s="31"/>
      <c r="P84" s="31"/>
    </row>
    <row r="85" spans="1:130" s="23" customFormat="1">
      <c r="A85" s="85"/>
      <c r="B85" s="60">
        <v>42979</v>
      </c>
      <c r="C85" s="58"/>
      <c r="D85" s="32"/>
      <c r="E85" s="32"/>
      <c r="F85" s="32"/>
      <c r="G85" s="32"/>
      <c r="H85" s="32"/>
      <c r="I85" s="32"/>
      <c r="J85" s="32"/>
      <c r="K85" s="32"/>
      <c r="L85" s="32"/>
      <c r="M85" s="32"/>
      <c r="N85" s="32"/>
      <c r="O85" s="32"/>
      <c r="P85" s="32"/>
    </row>
    <row r="86" spans="1:130" s="24" customFormat="1" ht="16" customHeight="1">
      <c r="A86" s="84" t="s">
        <v>45</v>
      </c>
      <c r="B86" s="62">
        <v>43800</v>
      </c>
      <c r="C86" s="63"/>
      <c r="D86" s="27"/>
    </row>
    <row r="87" spans="1:130" s="24" customFormat="1">
      <c r="A87" s="84"/>
      <c r="B87" s="62">
        <v>43770</v>
      </c>
      <c r="C87" s="63"/>
      <c r="D87" s="25"/>
      <c r="E87" s="25"/>
      <c r="F87" s="25"/>
      <c r="G87" s="25"/>
      <c r="H87" s="25"/>
      <c r="I87" s="25"/>
      <c r="J87" s="25"/>
      <c r="K87" s="25"/>
      <c r="L87" s="25"/>
      <c r="M87" s="30"/>
      <c r="N87" s="30"/>
      <c r="O87" s="30"/>
      <c r="P87" s="30"/>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row>
    <row r="88" spans="1:130" s="24" customFormat="1">
      <c r="A88" s="84"/>
      <c r="B88" s="62">
        <v>43739</v>
      </c>
      <c r="C88" s="63"/>
      <c r="D88" s="27"/>
    </row>
    <row r="89" spans="1:130" s="24" customFormat="1">
      <c r="A89" s="84"/>
      <c r="B89" s="62">
        <v>43709</v>
      </c>
      <c r="C89" s="63"/>
      <c r="D89" s="27"/>
    </row>
    <row r="90" spans="1:130" s="24" customFormat="1">
      <c r="A90" s="84"/>
      <c r="B90" s="62">
        <v>43678</v>
      </c>
      <c r="C90" s="63"/>
      <c r="D90" s="27"/>
    </row>
    <row r="91" spans="1:130" s="24" customFormat="1">
      <c r="A91" s="84"/>
      <c r="B91" s="62">
        <v>43647</v>
      </c>
      <c r="C91" s="63"/>
      <c r="D91" s="27"/>
    </row>
    <row r="92" spans="1:130" s="24" customFormat="1">
      <c r="A92" s="84"/>
      <c r="B92" s="62">
        <v>43617</v>
      </c>
      <c r="C92" s="63"/>
      <c r="D92" s="25"/>
      <c r="E92" s="25"/>
      <c r="F92" s="25"/>
      <c r="G92" s="25"/>
      <c r="H92" s="25"/>
      <c r="I92" s="25"/>
      <c r="J92" s="25"/>
      <c r="K92" s="25"/>
      <c r="L92" s="25"/>
      <c r="M92" s="30"/>
      <c r="N92" s="30"/>
      <c r="O92" s="30"/>
      <c r="P92" s="30"/>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row>
    <row r="93" spans="1:130" s="24" customFormat="1">
      <c r="A93" s="84"/>
      <c r="B93" s="62">
        <v>43586</v>
      </c>
      <c r="C93" s="63"/>
      <c r="D93" s="27"/>
    </row>
    <row r="94" spans="1:130" s="24" customFormat="1">
      <c r="A94" s="84"/>
      <c r="B94" s="62">
        <v>43556</v>
      </c>
      <c r="C94" s="63"/>
      <c r="D94" s="27"/>
    </row>
    <row r="95" spans="1:130" s="24" customFormat="1">
      <c r="A95" s="84"/>
      <c r="B95" s="62">
        <v>43525</v>
      </c>
      <c r="C95" s="63"/>
      <c r="D95" s="27"/>
    </row>
    <row r="96" spans="1:130" s="24" customFormat="1">
      <c r="A96" s="84"/>
      <c r="B96" s="62">
        <v>43497</v>
      </c>
      <c r="C96" s="63"/>
      <c r="D96" s="27"/>
    </row>
    <row r="97" spans="1:130" s="24" customFormat="1">
      <c r="A97" s="84"/>
      <c r="B97" s="62">
        <v>43466</v>
      </c>
      <c r="C97" s="63"/>
      <c r="D97" s="25"/>
      <c r="E97" s="25"/>
      <c r="F97" s="25"/>
      <c r="G97" s="25"/>
      <c r="H97" s="25"/>
      <c r="I97" s="25"/>
      <c r="J97" s="25"/>
      <c r="K97" s="25"/>
      <c r="L97" s="25"/>
      <c r="M97" s="30"/>
      <c r="N97" s="30"/>
      <c r="O97" s="30"/>
      <c r="P97" s="30"/>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row>
    <row r="98" spans="1:130" s="24" customFormat="1">
      <c r="A98" s="84"/>
      <c r="B98" s="62">
        <v>43435</v>
      </c>
      <c r="C98" s="63"/>
      <c r="D98" s="27"/>
    </row>
    <row r="99" spans="1:130" s="24" customFormat="1">
      <c r="A99" s="84"/>
      <c r="B99" s="62">
        <v>43405</v>
      </c>
      <c r="C99" s="63"/>
      <c r="D99" s="25"/>
      <c r="E99" s="25"/>
      <c r="F99" s="25"/>
      <c r="G99" s="25"/>
      <c r="H99" s="25"/>
      <c r="I99" s="25"/>
      <c r="J99" s="25"/>
      <c r="K99" s="25"/>
      <c r="L99" s="25"/>
      <c r="M99" s="30"/>
      <c r="N99" s="30"/>
      <c r="O99" s="30"/>
      <c r="P99" s="30"/>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row>
    <row r="100" spans="1:130" s="24" customFormat="1">
      <c r="A100" s="84"/>
      <c r="B100" s="62">
        <v>43374</v>
      </c>
      <c r="C100" s="63"/>
      <c r="D100" s="27"/>
    </row>
    <row r="101" spans="1:130" s="24" customFormat="1">
      <c r="A101" s="84"/>
      <c r="B101" s="62">
        <v>43344</v>
      </c>
      <c r="C101" s="63"/>
      <c r="D101" s="27"/>
    </row>
    <row r="102" spans="1:130" s="24" customFormat="1">
      <c r="A102" s="84"/>
      <c r="B102" s="62">
        <v>43313</v>
      </c>
      <c r="C102" s="63" t="s">
        <v>162</v>
      </c>
      <c r="D102" s="27"/>
    </row>
    <row r="103" spans="1:130" s="24" customFormat="1">
      <c r="A103" s="84"/>
      <c r="B103" s="62">
        <v>43282</v>
      </c>
      <c r="C103" s="63" t="s">
        <v>141</v>
      </c>
      <c r="D103" s="27"/>
    </row>
    <row r="104" spans="1:130" s="24" customFormat="1">
      <c r="A104" s="84"/>
      <c r="B104" s="62">
        <v>43252</v>
      </c>
      <c r="C104" s="63"/>
      <c r="D104" s="25"/>
      <c r="E104" s="25"/>
      <c r="F104" s="25"/>
      <c r="G104" s="25"/>
      <c r="H104" s="25"/>
      <c r="I104" s="25"/>
      <c r="J104" s="25"/>
      <c r="K104" s="25"/>
      <c r="L104" s="25"/>
      <c r="M104" s="30"/>
      <c r="N104" s="30"/>
      <c r="O104" s="30"/>
      <c r="P104" s="30"/>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row>
    <row r="105" spans="1:130" s="24" customFormat="1">
      <c r="A105" s="84"/>
      <c r="B105" s="62">
        <v>43221</v>
      </c>
      <c r="C105" s="63"/>
      <c r="D105" s="27"/>
    </row>
    <row r="106" spans="1:130" s="24" customFormat="1">
      <c r="A106" s="84"/>
      <c r="B106" s="62">
        <v>43191</v>
      </c>
      <c r="C106" s="63"/>
      <c r="D106" s="27"/>
    </row>
    <row r="107" spans="1:130" s="24" customFormat="1">
      <c r="A107" s="84"/>
      <c r="B107" s="62">
        <v>43160</v>
      </c>
      <c r="C107" s="63" t="s">
        <v>109</v>
      </c>
      <c r="D107" s="27"/>
    </row>
    <row r="108" spans="1:130" s="24" customFormat="1">
      <c r="A108" s="84"/>
      <c r="B108" s="62">
        <v>43132</v>
      </c>
      <c r="C108" s="63"/>
      <c r="D108" s="33"/>
      <c r="E108" s="33"/>
      <c r="F108" s="33"/>
      <c r="G108" s="33"/>
      <c r="H108" s="33"/>
      <c r="I108" s="33"/>
      <c r="J108" s="33"/>
      <c r="K108" s="33"/>
      <c r="L108" s="33"/>
      <c r="M108" s="33"/>
      <c r="N108" s="33"/>
      <c r="O108" s="33"/>
      <c r="P108" s="33"/>
    </row>
    <row r="109" spans="1:130" s="24" customFormat="1">
      <c r="A109" s="84"/>
      <c r="B109" s="62">
        <v>43101</v>
      </c>
      <c r="C109" s="64" t="s">
        <v>53</v>
      </c>
      <c r="D109" s="34"/>
      <c r="E109" s="34"/>
      <c r="F109" s="34"/>
      <c r="G109" s="34"/>
      <c r="H109" s="34"/>
      <c r="I109" s="34"/>
      <c r="J109" s="34"/>
      <c r="K109" s="34"/>
      <c r="L109" s="34"/>
      <c r="M109" s="37"/>
      <c r="N109" s="37"/>
      <c r="O109" s="37"/>
      <c r="P109" s="37"/>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row>
    <row r="110" spans="1:130" s="20" customFormat="1" ht="12.75" customHeight="1">
      <c r="A110" s="84"/>
      <c r="B110" s="65">
        <v>43070</v>
      </c>
      <c r="C110" s="64" t="s">
        <v>53</v>
      </c>
      <c r="D110" s="35"/>
      <c r="E110" s="35"/>
      <c r="F110" s="35"/>
      <c r="G110" s="35"/>
      <c r="H110" s="35"/>
      <c r="I110" s="35"/>
      <c r="J110" s="35"/>
      <c r="K110" s="35"/>
      <c r="L110" s="35"/>
      <c r="M110" s="35"/>
      <c r="N110" s="35"/>
      <c r="O110" s="35"/>
      <c r="P110" s="35"/>
    </row>
    <row r="111" spans="1:130" s="20" customFormat="1">
      <c r="A111" s="84"/>
      <c r="B111" s="65">
        <v>43040</v>
      </c>
      <c r="C111" s="64" t="s">
        <v>53</v>
      </c>
      <c r="D111" s="35"/>
      <c r="E111" s="35"/>
      <c r="F111" s="35"/>
      <c r="G111" s="35"/>
      <c r="H111" s="35"/>
      <c r="I111" s="35"/>
      <c r="J111" s="35"/>
      <c r="K111" s="35"/>
      <c r="L111" s="35"/>
      <c r="M111" s="35"/>
      <c r="N111" s="35"/>
      <c r="O111" s="35"/>
      <c r="P111" s="35"/>
    </row>
    <row r="112" spans="1:130" s="20" customFormat="1">
      <c r="A112" s="84"/>
      <c r="B112" s="65">
        <v>43009</v>
      </c>
      <c r="C112" s="56" t="s">
        <v>53</v>
      </c>
      <c r="D112" s="35"/>
      <c r="E112" s="35"/>
      <c r="F112" s="35"/>
      <c r="G112" s="35"/>
      <c r="H112" s="35"/>
      <c r="I112" s="35"/>
      <c r="J112" s="35"/>
      <c r="K112" s="35"/>
      <c r="L112" s="35"/>
      <c r="M112" s="35"/>
      <c r="N112" s="35"/>
      <c r="O112" s="35"/>
      <c r="P112" s="35"/>
    </row>
    <row r="113" spans="1:130" s="21" customFormat="1">
      <c r="A113" s="84"/>
      <c r="B113" s="65">
        <v>42979</v>
      </c>
      <c r="C113" s="63"/>
      <c r="D113" s="36"/>
      <c r="E113" s="36"/>
      <c r="F113" s="36"/>
      <c r="G113" s="36"/>
      <c r="H113" s="36"/>
      <c r="I113" s="36"/>
      <c r="J113" s="36"/>
      <c r="K113" s="36"/>
      <c r="L113" s="36"/>
      <c r="M113" s="36"/>
      <c r="N113" s="36"/>
      <c r="O113" s="36"/>
      <c r="P113" s="36"/>
    </row>
    <row r="114" spans="1:130" s="24" customFormat="1" ht="16" customHeight="1">
      <c r="A114" s="85" t="s">
        <v>44</v>
      </c>
      <c r="B114" s="57">
        <v>43800</v>
      </c>
      <c r="C114" s="58"/>
      <c r="D114" s="27"/>
    </row>
    <row r="115" spans="1:130" s="24" customFormat="1">
      <c r="A115" s="85"/>
      <c r="B115" s="57">
        <v>43770</v>
      </c>
      <c r="C115" s="58"/>
      <c r="D115" s="25"/>
      <c r="E115" s="25"/>
      <c r="F115" s="25"/>
      <c r="G115" s="25"/>
      <c r="H115" s="25"/>
      <c r="I115" s="25"/>
      <c r="J115" s="25"/>
      <c r="K115" s="25"/>
      <c r="L115" s="25"/>
      <c r="M115" s="30"/>
      <c r="N115" s="30"/>
      <c r="O115" s="30"/>
      <c r="P115" s="30"/>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row>
    <row r="116" spans="1:130" s="24" customFormat="1">
      <c r="A116" s="85"/>
      <c r="B116" s="57">
        <v>43739</v>
      </c>
      <c r="C116" s="58"/>
      <c r="D116" s="27"/>
    </row>
    <row r="117" spans="1:130" s="24" customFormat="1">
      <c r="A117" s="85"/>
      <c r="B117" s="57">
        <v>43709</v>
      </c>
      <c r="C117" s="58"/>
      <c r="D117" s="27"/>
    </row>
    <row r="118" spans="1:130" s="24" customFormat="1">
      <c r="A118" s="85"/>
      <c r="B118" s="57">
        <v>43678</v>
      </c>
      <c r="C118" s="58"/>
      <c r="D118" s="27"/>
    </row>
    <row r="119" spans="1:130" s="24" customFormat="1">
      <c r="A119" s="85"/>
      <c r="B119" s="57">
        <v>43647</v>
      </c>
      <c r="C119" s="58"/>
      <c r="D119" s="27"/>
    </row>
    <row r="120" spans="1:130" s="24" customFormat="1">
      <c r="A120" s="85"/>
      <c r="B120" s="57">
        <v>43617</v>
      </c>
      <c r="C120" s="58"/>
      <c r="D120" s="25"/>
      <c r="E120" s="25"/>
      <c r="F120" s="25"/>
      <c r="G120" s="25"/>
      <c r="H120" s="25"/>
      <c r="I120" s="25"/>
      <c r="J120" s="25"/>
      <c r="K120" s="25"/>
      <c r="L120" s="25"/>
      <c r="M120" s="30"/>
      <c r="N120" s="30"/>
      <c r="O120" s="30"/>
      <c r="P120" s="30"/>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row>
    <row r="121" spans="1:130" s="24" customFormat="1">
      <c r="A121" s="85"/>
      <c r="B121" s="57">
        <v>43586</v>
      </c>
      <c r="C121" s="58"/>
      <c r="D121" s="27"/>
    </row>
    <row r="122" spans="1:130" s="24" customFormat="1">
      <c r="A122" s="85"/>
      <c r="B122" s="57">
        <v>43556</v>
      </c>
      <c r="C122" s="58" t="s">
        <v>239</v>
      </c>
      <c r="D122" s="27"/>
    </row>
    <row r="123" spans="1:130" s="24" customFormat="1">
      <c r="A123" s="85"/>
      <c r="B123" s="57">
        <v>43525</v>
      </c>
      <c r="C123" s="58" t="s">
        <v>229</v>
      </c>
      <c r="D123" s="27"/>
    </row>
    <row r="124" spans="1:130" s="24" customFormat="1">
      <c r="A124" s="85"/>
      <c r="B124" s="57">
        <v>43497</v>
      </c>
      <c r="C124" s="58" t="s">
        <v>218</v>
      </c>
      <c r="D124" s="27"/>
    </row>
    <row r="125" spans="1:130" s="24" customFormat="1">
      <c r="A125" s="85"/>
      <c r="B125" s="57">
        <v>43466</v>
      </c>
      <c r="C125" s="58" t="s">
        <v>207</v>
      </c>
      <c r="D125" s="25"/>
      <c r="E125" s="25"/>
      <c r="F125" s="25"/>
      <c r="G125" s="25"/>
      <c r="H125" s="25"/>
      <c r="I125" s="25"/>
      <c r="J125" s="25"/>
      <c r="K125" s="25"/>
      <c r="L125" s="25"/>
      <c r="M125" s="30"/>
      <c r="N125" s="30"/>
      <c r="O125" s="30"/>
      <c r="P125" s="30"/>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row>
    <row r="126" spans="1:130" s="24" customFormat="1">
      <c r="A126" s="85"/>
      <c r="B126" s="57">
        <v>43435</v>
      </c>
      <c r="C126" s="58" t="s">
        <v>197</v>
      </c>
      <c r="D126" s="27"/>
    </row>
    <row r="127" spans="1:130" s="24" customFormat="1">
      <c r="A127" s="85"/>
      <c r="B127" s="57">
        <v>43405</v>
      </c>
      <c r="C127" s="58" t="s">
        <v>188</v>
      </c>
      <c r="D127" s="25"/>
      <c r="E127" s="25"/>
      <c r="F127" s="25"/>
      <c r="G127" s="25"/>
      <c r="H127" s="25"/>
      <c r="I127" s="25"/>
      <c r="J127" s="25"/>
      <c r="K127" s="25"/>
      <c r="L127" s="25"/>
      <c r="M127" s="30"/>
      <c r="N127" s="30"/>
      <c r="O127" s="30"/>
      <c r="P127" s="30"/>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row>
    <row r="128" spans="1:130" s="24" customFormat="1">
      <c r="A128" s="85"/>
      <c r="B128" s="57">
        <v>43374</v>
      </c>
      <c r="C128" s="58" t="s">
        <v>174</v>
      </c>
      <c r="D128" s="27"/>
    </row>
    <row r="129" spans="1:130" s="24" customFormat="1">
      <c r="A129" s="85"/>
      <c r="B129" s="57">
        <v>43344</v>
      </c>
      <c r="C129" s="58" t="s">
        <v>154</v>
      </c>
      <c r="D129" s="27"/>
    </row>
    <row r="130" spans="1:130" s="24" customFormat="1" ht="14">
      <c r="A130" s="85"/>
      <c r="B130" s="57">
        <v>43313</v>
      </c>
      <c r="C130" s="68" t="s">
        <v>165</v>
      </c>
      <c r="D130" s="27"/>
    </row>
    <row r="131" spans="1:130" s="24" customFormat="1">
      <c r="A131" s="85"/>
      <c r="B131" s="57">
        <v>43282</v>
      </c>
      <c r="C131" s="58" t="s">
        <v>144</v>
      </c>
      <c r="D131" s="27"/>
    </row>
    <row r="132" spans="1:130" s="24" customFormat="1">
      <c r="A132" s="85"/>
      <c r="B132" s="57">
        <v>43252</v>
      </c>
      <c r="C132" s="58" t="s">
        <v>131</v>
      </c>
      <c r="D132" s="25"/>
      <c r="E132" s="25"/>
      <c r="F132" s="25"/>
      <c r="G132" s="25"/>
      <c r="H132" s="25"/>
      <c r="I132" s="25"/>
      <c r="J132" s="25"/>
      <c r="K132" s="25"/>
      <c r="L132" s="25"/>
      <c r="M132" s="30"/>
      <c r="N132" s="30"/>
      <c r="O132" s="30"/>
      <c r="P132" s="30"/>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row>
    <row r="133" spans="1:130" s="24" customFormat="1">
      <c r="A133" s="85"/>
      <c r="B133" s="57">
        <v>43221</v>
      </c>
      <c r="C133" s="58"/>
      <c r="D133" s="27"/>
    </row>
    <row r="134" spans="1:130" s="24" customFormat="1">
      <c r="A134" s="85"/>
      <c r="B134" s="57">
        <v>43191</v>
      </c>
      <c r="C134" s="58" t="s">
        <v>122</v>
      </c>
      <c r="D134" s="27"/>
    </row>
    <row r="135" spans="1:130" s="24" customFormat="1">
      <c r="A135" s="85"/>
      <c r="B135" s="57">
        <v>43160</v>
      </c>
      <c r="C135" s="58" t="s">
        <v>104</v>
      </c>
      <c r="D135" s="27"/>
    </row>
    <row r="136" spans="1:130" s="24" customFormat="1">
      <c r="A136" s="85"/>
      <c r="B136" s="57">
        <v>43132</v>
      </c>
      <c r="C136" s="58" t="s">
        <v>95</v>
      </c>
      <c r="D136" s="27"/>
    </row>
    <row r="137" spans="1:130" s="24" customFormat="1">
      <c r="A137" s="85"/>
      <c r="B137" s="57">
        <v>43101</v>
      </c>
      <c r="C137" s="59" t="s">
        <v>62</v>
      </c>
      <c r="D137" s="25"/>
      <c r="E137" s="25"/>
      <c r="F137" s="25"/>
      <c r="G137" s="25"/>
      <c r="H137" s="25"/>
      <c r="I137" s="25"/>
      <c r="J137" s="25"/>
      <c r="K137" s="25"/>
      <c r="L137" s="25"/>
      <c r="M137" s="30"/>
      <c r="N137" s="30"/>
      <c r="O137" s="30"/>
      <c r="P137" s="30"/>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row>
    <row r="138" spans="1:130" s="22" customFormat="1" ht="12.75" customHeight="1">
      <c r="A138" s="85"/>
      <c r="B138" s="60">
        <v>43070</v>
      </c>
      <c r="C138" s="59" t="s">
        <v>63</v>
      </c>
      <c r="D138" s="31"/>
      <c r="E138" s="31"/>
      <c r="F138" s="31"/>
      <c r="G138" s="31"/>
      <c r="H138" s="31"/>
      <c r="I138" s="31"/>
      <c r="J138" s="31"/>
      <c r="K138" s="31"/>
      <c r="L138" s="31"/>
      <c r="M138" s="31"/>
      <c r="N138" s="31"/>
      <c r="O138" s="31"/>
      <c r="P138" s="31"/>
    </row>
    <row r="139" spans="1:130" s="22" customFormat="1">
      <c r="A139" s="85"/>
      <c r="B139" s="60">
        <v>43040</v>
      </c>
      <c r="C139" s="61" t="s">
        <v>64</v>
      </c>
      <c r="D139" s="31"/>
      <c r="E139" s="31"/>
      <c r="F139" s="31"/>
      <c r="G139" s="31"/>
      <c r="H139" s="31"/>
      <c r="I139" s="31"/>
      <c r="J139" s="31"/>
      <c r="K139" s="31"/>
      <c r="L139" s="31"/>
      <c r="M139" s="31"/>
      <c r="N139" s="31"/>
      <c r="O139" s="31"/>
      <c r="P139" s="31"/>
    </row>
    <row r="140" spans="1:130" s="22" customFormat="1">
      <c r="A140" s="85"/>
      <c r="B140" s="60">
        <v>43009</v>
      </c>
      <c r="C140" s="61" t="s">
        <v>53</v>
      </c>
      <c r="D140" s="31"/>
      <c r="E140" s="31"/>
      <c r="F140" s="31"/>
      <c r="G140" s="31"/>
      <c r="H140" s="31"/>
      <c r="I140" s="31"/>
      <c r="J140" s="31"/>
      <c r="K140" s="31"/>
      <c r="L140" s="31"/>
      <c r="M140" s="31"/>
      <c r="N140" s="31"/>
      <c r="O140" s="31"/>
      <c r="P140" s="31"/>
    </row>
    <row r="141" spans="1:130" s="23" customFormat="1">
      <c r="A141" s="85"/>
      <c r="B141" s="60">
        <v>42979</v>
      </c>
      <c r="C141" s="58"/>
      <c r="D141" s="32"/>
      <c r="E141" s="32"/>
      <c r="F141" s="32"/>
      <c r="G141" s="32"/>
      <c r="H141" s="32"/>
      <c r="I141" s="32"/>
      <c r="J141" s="32"/>
      <c r="K141" s="32"/>
      <c r="L141" s="32"/>
      <c r="M141" s="32"/>
      <c r="N141" s="32"/>
      <c r="O141" s="32"/>
      <c r="P141" s="32"/>
    </row>
    <row r="142" spans="1:130" s="43" customFormat="1" ht="16" customHeight="1">
      <c r="A142" s="84" t="s">
        <v>40</v>
      </c>
      <c r="B142" s="62">
        <v>43800</v>
      </c>
      <c r="C142" s="63"/>
    </row>
    <row r="143" spans="1:130" s="43" customFormat="1">
      <c r="A143" s="84"/>
      <c r="B143" s="62">
        <v>43770</v>
      </c>
      <c r="C143" s="63"/>
      <c r="D143" s="40"/>
      <c r="E143" s="40"/>
      <c r="F143" s="40"/>
      <c r="G143" s="40"/>
      <c r="H143" s="40"/>
      <c r="I143" s="40"/>
      <c r="J143" s="40"/>
      <c r="K143" s="40"/>
      <c r="L143" s="40"/>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row>
    <row r="144" spans="1:130" s="43" customFormat="1">
      <c r="A144" s="84"/>
      <c r="B144" s="62">
        <v>43739</v>
      </c>
      <c r="C144" s="63"/>
    </row>
    <row r="145" spans="1:130" s="43" customFormat="1">
      <c r="A145" s="84"/>
      <c r="B145" s="62">
        <v>43709</v>
      </c>
      <c r="C145" s="63"/>
    </row>
    <row r="146" spans="1:130" s="43" customFormat="1">
      <c r="A146" s="84"/>
      <c r="B146" s="62">
        <v>43678</v>
      </c>
      <c r="C146" s="63"/>
    </row>
    <row r="147" spans="1:130" s="43" customFormat="1">
      <c r="A147" s="84"/>
      <c r="B147" s="62">
        <v>43647</v>
      </c>
      <c r="C147" s="63"/>
    </row>
    <row r="148" spans="1:130" s="43" customFormat="1">
      <c r="A148" s="84"/>
      <c r="B148" s="62">
        <v>43617</v>
      </c>
      <c r="C148" s="63"/>
      <c r="D148" s="40"/>
      <c r="E148" s="40"/>
      <c r="F148" s="40"/>
      <c r="G148" s="40"/>
      <c r="H148" s="40"/>
      <c r="I148" s="40"/>
      <c r="J148" s="40"/>
      <c r="K148" s="40"/>
      <c r="L148" s="40"/>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row>
    <row r="149" spans="1:130" s="43" customFormat="1">
      <c r="A149" s="84"/>
      <c r="B149" s="62">
        <v>43586</v>
      </c>
      <c r="C149" s="63"/>
    </row>
    <row r="150" spans="1:130" s="43" customFormat="1">
      <c r="A150" s="84"/>
      <c r="B150" s="62">
        <v>43556</v>
      </c>
      <c r="C150" s="63" t="s">
        <v>236</v>
      </c>
    </row>
    <row r="151" spans="1:130" s="43" customFormat="1">
      <c r="A151" s="84"/>
      <c r="B151" s="62">
        <v>43525</v>
      </c>
      <c r="C151" s="63" t="s">
        <v>226</v>
      </c>
    </row>
    <row r="152" spans="1:130" s="43" customFormat="1">
      <c r="A152" s="84"/>
      <c r="B152" s="62">
        <v>43497</v>
      </c>
      <c r="C152" s="63" t="s">
        <v>214</v>
      </c>
    </row>
    <row r="153" spans="1:130" s="43" customFormat="1">
      <c r="A153" s="84"/>
      <c r="B153" s="62">
        <v>43466</v>
      </c>
      <c r="C153" s="63" t="s">
        <v>203</v>
      </c>
      <c r="D153" s="40"/>
      <c r="E153" s="40"/>
      <c r="F153" s="40"/>
      <c r="G153" s="40"/>
      <c r="H153" s="40"/>
      <c r="I153" s="40"/>
      <c r="J153" s="40"/>
      <c r="K153" s="40"/>
      <c r="L153" s="40"/>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row>
    <row r="154" spans="1:130" s="43" customFormat="1">
      <c r="A154" s="84"/>
      <c r="B154" s="62">
        <v>43435</v>
      </c>
      <c r="C154" s="63" t="s">
        <v>193</v>
      </c>
    </row>
    <row r="155" spans="1:130" s="43" customFormat="1">
      <c r="A155" s="84"/>
      <c r="B155" s="62">
        <v>43405</v>
      </c>
      <c r="C155" s="63" t="s">
        <v>182</v>
      </c>
      <c r="D155" s="40"/>
      <c r="E155" s="40"/>
      <c r="F155" s="40"/>
      <c r="G155" s="40"/>
      <c r="H155" s="40"/>
      <c r="I155" s="40"/>
      <c r="J155" s="40"/>
      <c r="K155" s="40"/>
      <c r="L155" s="40"/>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row>
    <row r="156" spans="1:130" s="43" customFormat="1">
      <c r="A156" s="84"/>
      <c r="B156" s="62">
        <v>43374</v>
      </c>
      <c r="C156" s="63" t="s">
        <v>173</v>
      </c>
    </row>
    <row r="157" spans="1:130" s="43" customFormat="1">
      <c r="A157" s="84"/>
      <c r="B157" s="62">
        <v>43344</v>
      </c>
      <c r="C157" s="63" t="s">
        <v>153</v>
      </c>
    </row>
    <row r="158" spans="1:130" s="43" customFormat="1" ht="14">
      <c r="A158" s="84"/>
      <c r="B158" s="62">
        <v>43313</v>
      </c>
      <c r="C158" s="69" t="s">
        <v>164</v>
      </c>
    </row>
    <row r="159" spans="1:130" s="43" customFormat="1">
      <c r="A159" s="84"/>
      <c r="B159" s="62">
        <v>43282</v>
      </c>
      <c r="C159" s="63" t="s">
        <v>143</v>
      </c>
    </row>
    <row r="160" spans="1:130" s="43" customFormat="1">
      <c r="A160" s="84"/>
      <c r="B160" s="62">
        <v>43252</v>
      </c>
      <c r="C160" s="63" t="s">
        <v>130</v>
      </c>
      <c r="D160" s="40"/>
      <c r="E160" s="40"/>
      <c r="F160" s="40"/>
      <c r="G160" s="40"/>
      <c r="H160" s="40"/>
      <c r="I160" s="40"/>
      <c r="J160" s="40"/>
      <c r="K160" s="40"/>
      <c r="L160" s="40"/>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row>
    <row r="161" spans="1:130" s="24" customFormat="1">
      <c r="A161" s="84"/>
      <c r="B161" s="62">
        <v>43221</v>
      </c>
      <c r="C161" s="63" t="s">
        <v>121</v>
      </c>
      <c r="D161" s="27"/>
    </row>
    <row r="162" spans="1:130" s="24" customFormat="1">
      <c r="A162" s="84"/>
      <c r="B162" s="62">
        <v>43191</v>
      </c>
      <c r="C162" s="63" t="s">
        <v>113</v>
      </c>
      <c r="D162" s="27"/>
    </row>
    <row r="163" spans="1:130" s="24" customFormat="1">
      <c r="A163" s="84"/>
      <c r="B163" s="62">
        <v>43160</v>
      </c>
      <c r="C163" s="63" t="s">
        <v>103</v>
      </c>
      <c r="D163" s="27"/>
    </row>
    <row r="164" spans="1:130" s="24" customFormat="1">
      <c r="A164" s="84"/>
      <c r="B164" s="62">
        <v>43132</v>
      </c>
      <c r="C164" s="63" t="s">
        <v>97</v>
      </c>
      <c r="D164" s="33"/>
    </row>
    <row r="165" spans="1:130" s="24" customFormat="1">
      <c r="A165" s="84"/>
      <c r="B165" s="62">
        <v>43101</v>
      </c>
      <c r="C165" s="64" t="s">
        <v>65</v>
      </c>
      <c r="D165" s="34"/>
      <c r="E165" s="28"/>
      <c r="F165" s="28"/>
      <c r="G165" s="28"/>
      <c r="H165" s="28"/>
      <c r="I165" s="28"/>
      <c r="J165" s="28"/>
      <c r="K165" s="28"/>
      <c r="L165" s="28"/>
      <c r="M165" s="29"/>
      <c r="N165" s="29"/>
      <c r="O165" s="29"/>
      <c r="P165" s="29"/>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row>
    <row r="166" spans="1:130" s="20" customFormat="1" ht="12.75" customHeight="1">
      <c r="A166" s="84"/>
      <c r="B166" s="65">
        <v>43070</v>
      </c>
      <c r="C166" s="56" t="s">
        <v>66</v>
      </c>
      <c r="D166" s="35"/>
    </row>
    <row r="167" spans="1:130" s="20" customFormat="1">
      <c r="A167" s="84"/>
      <c r="B167" s="65">
        <v>43040</v>
      </c>
      <c r="C167" s="56" t="s">
        <v>67</v>
      </c>
      <c r="D167" s="35"/>
    </row>
    <row r="168" spans="1:130" s="20" customFormat="1" ht="14.25" customHeight="1">
      <c r="A168" s="84"/>
      <c r="B168" s="65">
        <v>43009</v>
      </c>
      <c r="C168" s="56" t="s">
        <v>68</v>
      </c>
      <c r="D168" s="35"/>
    </row>
    <row r="169" spans="1:130" s="21" customFormat="1">
      <c r="A169" s="84"/>
      <c r="B169" s="65">
        <v>42979</v>
      </c>
      <c r="C169" s="63"/>
      <c r="D169" s="36"/>
    </row>
    <row r="170" spans="1:130" s="24" customFormat="1" ht="16" customHeight="1">
      <c r="A170" s="85" t="s">
        <v>41</v>
      </c>
      <c r="B170" s="57">
        <v>43800</v>
      </c>
      <c r="C170" s="58"/>
      <c r="D170" s="27"/>
    </row>
    <row r="171" spans="1:130" s="24" customFormat="1">
      <c r="A171" s="85"/>
      <c r="B171" s="57">
        <v>43770</v>
      </c>
      <c r="C171" s="58"/>
      <c r="D171" s="25"/>
      <c r="E171" s="25"/>
      <c r="F171" s="25"/>
      <c r="G171" s="25"/>
      <c r="H171" s="25"/>
      <c r="I171" s="25"/>
      <c r="J171" s="25"/>
      <c r="K171" s="25"/>
      <c r="L171" s="25"/>
      <c r="M171" s="30"/>
      <c r="N171" s="30"/>
      <c r="O171" s="30"/>
      <c r="P171" s="30"/>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row>
    <row r="172" spans="1:130" s="24" customFormat="1">
      <c r="A172" s="85"/>
      <c r="B172" s="57">
        <v>43739</v>
      </c>
      <c r="C172" s="58"/>
      <c r="D172" s="27"/>
    </row>
    <row r="173" spans="1:130" s="24" customFormat="1">
      <c r="A173" s="85"/>
      <c r="B173" s="57">
        <v>43709</v>
      </c>
      <c r="C173" s="58"/>
      <c r="D173" s="27"/>
    </row>
    <row r="174" spans="1:130" s="24" customFormat="1">
      <c r="A174" s="85"/>
      <c r="B174" s="57">
        <v>43678</v>
      </c>
      <c r="C174" s="58"/>
      <c r="D174" s="27"/>
    </row>
    <row r="175" spans="1:130" s="24" customFormat="1">
      <c r="A175" s="85"/>
      <c r="B175" s="57">
        <v>43647</v>
      </c>
      <c r="C175" s="58"/>
      <c r="D175" s="27"/>
    </row>
    <row r="176" spans="1:130" s="24" customFormat="1">
      <c r="A176" s="85"/>
      <c r="B176" s="57">
        <v>43617</v>
      </c>
      <c r="C176" s="58"/>
      <c r="D176" s="25"/>
      <c r="E176" s="25"/>
      <c r="F176" s="25"/>
      <c r="G176" s="25"/>
      <c r="H176" s="25"/>
      <c r="I176" s="25"/>
      <c r="J176" s="25"/>
      <c r="K176" s="25"/>
      <c r="L176" s="25"/>
      <c r="M176" s="30"/>
      <c r="N176" s="30"/>
      <c r="O176" s="30"/>
      <c r="P176" s="30"/>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row>
    <row r="177" spans="1:130" s="24" customFormat="1">
      <c r="A177" s="85"/>
      <c r="B177" s="57">
        <v>43586</v>
      </c>
      <c r="C177" s="58"/>
      <c r="D177" s="27"/>
    </row>
    <row r="178" spans="1:130" s="24" customFormat="1">
      <c r="A178" s="85"/>
      <c r="B178" s="57">
        <v>43556</v>
      </c>
      <c r="C178" s="58" t="s">
        <v>246</v>
      </c>
      <c r="D178" s="27"/>
    </row>
    <row r="179" spans="1:130" s="24" customFormat="1">
      <c r="A179" s="85"/>
      <c r="B179" s="57">
        <v>43525</v>
      </c>
      <c r="C179" s="58"/>
      <c r="D179" s="27"/>
    </row>
    <row r="180" spans="1:130" s="24" customFormat="1">
      <c r="A180" s="85"/>
      <c r="B180" s="57">
        <v>43497</v>
      </c>
      <c r="C180" s="58" t="s">
        <v>216</v>
      </c>
      <c r="D180" s="27"/>
    </row>
    <row r="181" spans="1:130" s="24" customFormat="1">
      <c r="A181" s="85"/>
      <c r="B181" s="57">
        <v>43466</v>
      </c>
      <c r="C181" s="58" t="s">
        <v>205</v>
      </c>
      <c r="D181" s="25"/>
      <c r="E181" s="25"/>
      <c r="F181" s="25"/>
      <c r="G181" s="25"/>
      <c r="H181" s="25"/>
      <c r="I181" s="25"/>
      <c r="J181" s="25"/>
      <c r="K181" s="25"/>
      <c r="L181" s="25"/>
      <c r="M181" s="30"/>
      <c r="N181" s="30"/>
      <c r="O181" s="30"/>
      <c r="P181" s="30"/>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row>
    <row r="182" spans="1:130" s="24" customFormat="1">
      <c r="A182" s="85"/>
      <c r="B182" s="57">
        <v>43435</v>
      </c>
      <c r="C182" s="58" t="s">
        <v>195</v>
      </c>
      <c r="D182" s="27"/>
    </row>
    <row r="183" spans="1:130" s="24" customFormat="1">
      <c r="A183" s="85"/>
      <c r="B183" s="57">
        <v>43405</v>
      </c>
      <c r="C183" s="58"/>
      <c r="D183" s="25"/>
      <c r="E183" s="25"/>
      <c r="F183" s="25"/>
      <c r="G183" s="25"/>
      <c r="H183" s="25"/>
      <c r="I183" s="25"/>
      <c r="J183" s="25"/>
      <c r="K183" s="25"/>
      <c r="L183" s="25"/>
      <c r="M183" s="30"/>
      <c r="N183" s="30"/>
      <c r="O183" s="30"/>
      <c r="P183" s="30"/>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row>
    <row r="184" spans="1:130" s="24" customFormat="1">
      <c r="A184" s="85"/>
      <c r="B184" s="57">
        <v>43374</v>
      </c>
      <c r="C184" s="58" t="s">
        <v>172</v>
      </c>
      <c r="D184" s="27"/>
    </row>
    <row r="185" spans="1:130" s="24" customFormat="1">
      <c r="A185" s="85"/>
      <c r="B185" s="57">
        <v>43344</v>
      </c>
      <c r="C185" s="58"/>
      <c r="D185" s="27"/>
    </row>
    <row r="186" spans="1:130" s="24" customFormat="1">
      <c r="A186" s="85"/>
      <c r="B186" s="57">
        <v>43313</v>
      </c>
      <c r="C186" s="58"/>
      <c r="D186" s="27"/>
    </row>
    <row r="187" spans="1:130" s="24" customFormat="1">
      <c r="A187" s="85"/>
      <c r="B187" s="57">
        <v>43282</v>
      </c>
      <c r="C187" s="58" t="s">
        <v>145</v>
      </c>
      <c r="D187" s="27"/>
    </row>
    <row r="188" spans="1:130" s="24" customFormat="1">
      <c r="A188" s="85"/>
      <c r="B188" s="57">
        <v>43252</v>
      </c>
      <c r="C188" s="58"/>
      <c r="D188" s="25"/>
      <c r="E188" s="25"/>
      <c r="F188" s="25"/>
      <c r="G188" s="25"/>
      <c r="H188" s="25"/>
      <c r="I188" s="25"/>
      <c r="J188" s="25"/>
      <c r="K188" s="25"/>
      <c r="L188" s="25"/>
      <c r="M188" s="30"/>
      <c r="N188" s="30"/>
      <c r="O188" s="30"/>
      <c r="P188" s="30"/>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row>
    <row r="189" spans="1:130" s="24" customFormat="1">
      <c r="A189" s="85"/>
      <c r="B189" s="57">
        <v>43221</v>
      </c>
      <c r="C189" s="58"/>
      <c r="D189" s="27"/>
    </row>
    <row r="190" spans="1:130" s="24" customFormat="1">
      <c r="A190" s="85"/>
      <c r="B190" s="57">
        <v>43191</v>
      </c>
      <c r="C190" s="58"/>
      <c r="D190" s="27"/>
    </row>
    <row r="191" spans="1:130" s="24" customFormat="1">
      <c r="A191" s="85"/>
      <c r="B191" s="57">
        <v>43160</v>
      </c>
      <c r="C191" s="58"/>
      <c r="D191" s="27"/>
    </row>
    <row r="192" spans="1:130" s="24" customFormat="1">
      <c r="A192" s="85"/>
      <c r="B192" s="57">
        <v>43132</v>
      </c>
      <c r="C192" s="66" t="s">
        <v>94</v>
      </c>
      <c r="D192" s="27"/>
    </row>
    <row r="193" spans="1:130" s="24" customFormat="1">
      <c r="A193" s="85"/>
      <c r="B193" s="57">
        <v>43101</v>
      </c>
      <c r="C193" s="59" t="s">
        <v>53</v>
      </c>
      <c r="D193" s="25"/>
      <c r="E193" s="25"/>
      <c r="F193" s="25"/>
      <c r="G193" s="25"/>
      <c r="H193" s="25"/>
      <c r="I193" s="25"/>
      <c r="J193" s="25"/>
      <c r="K193" s="25"/>
      <c r="L193" s="25"/>
      <c r="M193" s="30"/>
      <c r="N193" s="30"/>
      <c r="O193" s="30"/>
      <c r="P193" s="30"/>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row>
    <row r="194" spans="1:130" s="22" customFormat="1" ht="12.75" customHeight="1">
      <c r="A194" s="85"/>
      <c r="B194" s="60">
        <v>43070</v>
      </c>
      <c r="C194" s="59" t="s">
        <v>53</v>
      </c>
      <c r="D194" s="31"/>
      <c r="E194" s="31"/>
      <c r="F194" s="31"/>
      <c r="G194" s="31"/>
      <c r="H194" s="31"/>
      <c r="I194" s="31"/>
      <c r="J194" s="31"/>
      <c r="K194" s="31"/>
      <c r="L194" s="31"/>
      <c r="M194" s="31"/>
      <c r="N194" s="31"/>
      <c r="O194" s="31"/>
      <c r="P194" s="31"/>
    </row>
    <row r="195" spans="1:130" s="22" customFormat="1">
      <c r="A195" s="85"/>
      <c r="B195" s="60">
        <v>43040</v>
      </c>
      <c r="C195" s="59" t="s">
        <v>53</v>
      </c>
      <c r="D195" s="31"/>
      <c r="E195" s="31"/>
      <c r="F195" s="31"/>
      <c r="G195" s="31"/>
      <c r="H195" s="31"/>
      <c r="I195" s="31"/>
      <c r="J195" s="31"/>
      <c r="K195" s="31"/>
      <c r="L195" s="31"/>
      <c r="M195" s="31"/>
      <c r="N195" s="31"/>
      <c r="O195" s="31"/>
      <c r="P195" s="31"/>
    </row>
    <row r="196" spans="1:130" s="22" customFormat="1">
      <c r="A196" s="85"/>
      <c r="B196" s="60">
        <v>43009</v>
      </c>
      <c r="C196" s="61" t="s">
        <v>53</v>
      </c>
      <c r="D196" s="31"/>
      <c r="E196" s="31"/>
      <c r="F196" s="31"/>
      <c r="G196" s="31"/>
      <c r="H196" s="31"/>
      <c r="I196" s="31"/>
      <c r="J196" s="31"/>
      <c r="K196" s="31"/>
      <c r="L196" s="31"/>
      <c r="M196" s="31"/>
      <c r="N196" s="31"/>
      <c r="O196" s="31"/>
      <c r="P196" s="31"/>
    </row>
    <row r="197" spans="1:130" s="23" customFormat="1">
      <c r="A197" s="85"/>
      <c r="B197" s="60">
        <v>42979</v>
      </c>
      <c r="C197" s="58"/>
      <c r="D197" s="32"/>
      <c r="E197" s="32"/>
      <c r="F197" s="32"/>
      <c r="G197" s="32"/>
      <c r="H197" s="32"/>
      <c r="I197" s="32"/>
      <c r="J197" s="32"/>
      <c r="K197" s="32"/>
      <c r="L197" s="32"/>
      <c r="M197" s="32"/>
      <c r="N197" s="32"/>
      <c r="O197" s="32"/>
      <c r="P197" s="32"/>
    </row>
    <row r="198" spans="1:130" s="24" customFormat="1" ht="16" customHeight="1">
      <c r="A198" s="84" t="s">
        <v>30</v>
      </c>
      <c r="B198" s="62">
        <v>43800</v>
      </c>
      <c r="C198" s="63"/>
      <c r="D198" s="27"/>
    </row>
    <row r="199" spans="1:130" s="24" customFormat="1">
      <c r="A199" s="84"/>
      <c r="B199" s="62">
        <v>43770</v>
      </c>
      <c r="C199" s="63"/>
      <c r="D199" s="25"/>
      <c r="E199" s="25"/>
      <c r="F199" s="25"/>
      <c r="G199" s="25"/>
      <c r="H199" s="25"/>
      <c r="I199" s="25"/>
      <c r="J199" s="25"/>
      <c r="K199" s="25"/>
      <c r="L199" s="25"/>
      <c r="M199" s="30"/>
      <c r="N199" s="30"/>
      <c r="O199" s="30"/>
      <c r="P199" s="30"/>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row>
    <row r="200" spans="1:130" s="24" customFormat="1">
      <c r="A200" s="84"/>
      <c r="B200" s="62">
        <v>43739</v>
      </c>
      <c r="C200" s="63"/>
      <c r="D200" s="27"/>
    </row>
    <row r="201" spans="1:130" s="24" customFormat="1">
      <c r="A201" s="84"/>
      <c r="B201" s="62">
        <v>43709</v>
      </c>
      <c r="C201" s="63"/>
      <c r="D201" s="27"/>
    </row>
    <row r="202" spans="1:130" s="24" customFormat="1">
      <c r="A202" s="84"/>
      <c r="B202" s="62">
        <v>43678</v>
      </c>
      <c r="C202" s="63"/>
      <c r="D202" s="27"/>
    </row>
    <row r="203" spans="1:130" s="24" customFormat="1">
      <c r="A203" s="84"/>
      <c r="B203" s="62">
        <v>43647</v>
      </c>
      <c r="C203" s="63"/>
      <c r="D203" s="27"/>
    </row>
    <row r="204" spans="1:130" s="24" customFormat="1">
      <c r="A204" s="84"/>
      <c r="B204" s="62">
        <v>43617</v>
      </c>
      <c r="C204" s="63"/>
      <c r="D204" s="25"/>
      <c r="E204" s="25"/>
      <c r="F204" s="25"/>
      <c r="G204" s="25"/>
      <c r="H204" s="25"/>
      <c r="I204" s="25"/>
      <c r="J204" s="25"/>
      <c r="K204" s="25"/>
      <c r="L204" s="25"/>
      <c r="M204" s="30"/>
      <c r="N204" s="30"/>
      <c r="O204" s="30"/>
      <c r="P204" s="30"/>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row>
    <row r="205" spans="1:130" s="24" customFormat="1">
      <c r="A205" s="84"/>
      <c r="B205" s="62">
        <v>43586</v>
      </c>
      <c r="C205" s="63"/>
      <c r="D205" s="27"/>
    </row>
    <row r="206" spans="1:130" s="24" customFormat="1">
      <c r="A206" s="84"/>
      <c r="B206" s="62">
        <v>43556</v>
      </c>
      <c r="C206" s="63" t="s">
        <v>237</v>
      </c>
      <c r="D206" s="27"/>
    </row>
    <row r="207" spans="1:130" s="24" customFormat="1">
      <c r="A207" s="84"/>
      <c r="B207" s="62">
        <v>43525</v>
      </c>
      <c r="C207" s="63" t="s">
        <v>227</v>
      </c>
      <c r="D207" s="27"/>
    </row>
    <row r="208" spans="1:130" s="24" customFormat="1">
      <c r="A208" s="84"/>
      <c r="B208" s="62">
        <v>43497</v>
      </c>
      <c r="C208" s="63" t="s">
        <v>215</v>
      </c>
      <c r="D208" s="27"/>
    </row>
    <row r="209" spans="1:130" s="24" customFormat="1">
      <c r="A209" s="84"/>
      <c r="B209" s="62">
        <v>43466</v>
      </c>
      <c r="C209" s="63" t="s">
        <v>204</v>
      </c>
      <c r="D209" s="25"/>
      <c r="E209" s="25"/>
      <c r="F209" s="25"/>
      <c r="G209" s="25"/>
      <c r="H209" s="25"/>
      <c r="I209" s="25"/>
      <c r="J209" s="25"/>
      <c r="K209" s="25"/>
      <c r="L209" s="25"/>
      <c r="M209" s="30"/>
      <c r="N209" s="30"/>
      <c r="O209" s="30"/>
      <c r="P209" s="30"/>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row>
    <row r="210" spans="1:130" s="24" customFormat="1">
      <c r="A210" s="84"/>
      <c r="B210" s="62">
        <v>43435</v>
      </c>
      <c r="C210" s="63" t="s">
        <v>194</v>
      </c>
      <c r="D210" s="27"/>
    </row>
    <row r="211" spans="1:130" s="24" customFormat="1">
      <c r="A211" s="84"/>
      <c r="B211" s="62">
        <v>43405</v>
      </c>
      <c r="C211" s="63" t="s">
        <v>183</v>
      </c>
      <c r="D211" s="25"/>
      <c r="E211" s="25"/>
      <c r="F211" s="25"/>
      <c r="G211" s="25"/>
      <c r="H211" s="25"/>
      <c r="I211" s="25"/>
      <c r="J211" s="25"/>
      <c r="K211" s="25"/>
      <c r="L211" s="25"/>
      <c r="M211" s="30"/>
      <c r="N211" s="30"/>
      <c r="O211" s="30"/>
      <c r="P211" s="30"/>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row>
    <row r="212" spans="1:130" s="24" customFormat="1">
      <c r="A212" s="84"/>
      <c r="B212" s="62">
        <v>43374</v>
      </c>
      <c r="C212" s="63" t="s">
        <v>175</v>
      </c>
      <c r="D212" s="27"/>
    </row>
    <row r="213" spans="1:130" s="24" customFormat="1">
      <c r="A213" s="84"/>
      <c r="B213" s="62">
        <v>43344</v>
      </c>
      <c r="C213" s="63" t="s">
        <v>155</v>
      </c>
      <c r="D213" s="27"/>
    </row>
    <row r="214" spans="1:130" s="24" customFormat="1" ht="14">
      <c r="A214" s="84"/>
      <c r="B214" s="62">
        <v>43313</v>
      </c>
      <c r="C214" s="69" t="s">
        <v>166</v>
      </c>
      <c r="D214" s="27"/>
    </row>
    <row r="215" spans="1:130" s="24" customFormat="1">
      <c r="A215" s="84"/>
      <c r="B215" s="62">
        <v>43282</v>
      </c>
      <c r="C215" s="63" t="s">
        <v>146</v>
      </c>
      <c r="D215" s="27"/>
    </row>
    <row r="216" spans="1:130" s="24" customFormat="1">
      <c r="A216" s="84"/>
      <c r="B216" s="62">
        <v>43252</v>
      </c>
      <c r="C216" s="63" t="s">
        <v>133</v>
      </c>
      <c r="D216" s="25"/>
      <c r="E216" s="25"/>
      <c r="F216" s="25"/>
      <c r="G216" s="25"/>
      <c r="H216" s="25"/>
      <c r="I216" s="25"/>
      <c r="J216" s="25"/>
      <c r="K216" s="25"/>
      <c r="L216" s="25"/>
      <c r="M216" s="30"/>
      <c r="N216" s="30"/>
      <c r="O216" s="30"/>
      <c r="P216" s="30"/>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row>
    <row r="217" spans="1:130" s="24" customFormat="1">
      <c r="A217" s="84"/>
      <c r="B217" s="62">
        <v>43221</v>
      </c>
      <c r="C217" s="63" t="s">
        <v>123</v>
      </c>
      <c r="D217" s="27"/>
    </row>
    <row r="218" spans="1:130" s="24" customFormat="1">
      <c r="A218" s="84"/>
      <c r="B218" s="62">
        <v>43191</v>
      </c>
      <c r="C218" s="63" t="s">
        <v>114</v>
      </c>
      <c r="D218" s="27"/>
    </row>
    <row r="219" spans="1:130" s="24" customFormat="1">
      <c r="A219" s="84"/>
      <c r="B219" s="62">
        <v>43160</v>
      </c>
      <c r="C219" s="63" t="s">
        <v>105</v>
      </c>
      <c r="D219" s="27"/>
    </row>
    <row r="220" spans="1:130" s="24" customFormat="1">
      <c r="A220" s="84"/>
      <c r="B220" s="62">
        <v>43132</v>
      </c>
      <c r="C220" s="63" t="s">
        <v>92</v>
      </c>
      <c r="D220" s="33"/>
    </row>
    <row r="221" spans="1:130" s="24" customFormat="1">
      <c r="A221" s="84"/>
      <c r="B221" s="62">
        <v>43101</v>
      </c>
      <c r="C221" s="64" t="s">
        <v>69</v>
      </c>
      <c r="D221" s="34"/>
      <c r="E221" s="28"/>
      <c r="F221" s="28"/>
      <c r="G221" s="28"/>
      <c r="H221" s="28"/>
      <c r="I221" s="28"/>
      <c r="J221" s="28"/>
      <c r="K221" s="28"/>
      <c r="L221" s="28"/>
      <c r="M221" s="29"/>
      <c r="N221" s="29"/>
      <c r="O221" s="29"/>
      <c r="P221" s="29"/>
      <c r="Q221" s="29"/>
      <c r="R221" s="29"/>
      <c r="S221" s="29"/>
      <c r="T221" s="29"/>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row>
    <row r="222" spans="1:130" s="20" customFormat="1">
      <c r="A222" s="84"/>
      <c r="B222" s="65">
        <v>43070</v>
      </c>
      <c r="C222" s="64" t="s">
        <v>70</v>
      </c>
      <c r="D222" s="35"/>
    </row>
    <row r="223" spans="1:130" s="20" customFormat="1">
      <c r="A223" s="84"/>
      <c r="B223" s="65">
        <v>43040</v>
      </c>
      <c r="C223" s="56" t="s">
        <v>71</v>
      </c>
      <c r="D223" s="35"/>
    </row>
    <row r="224" spans="1:130" s="20" customFormat="1">
      <c r="A224" s="84"/>
      <c r="B224" s="65">
        <v>43009</v>
      </c>
      <c r="C224" s="56" t="s">
        <v>72</v>
      </c>
      <c r="D224" s="35"/>
    </row>
    <row r="225" spans="1:130" s="21" customFormat="1">
      <c r="A225" s="84"/>
      <c r="B225" s="65">
        <v>42979</v>
      </c>
      <c r="C225" s="63"/>
      <c r="D225" s="36"/>
    </row>
    <row r="226" spans="1:130" s="24" customFormat="1" ht="16" customHeight="1">
      <c r="A226" s="85" t="s">
        <v>39</v>
      </c>
      <c r="B226" s="57">
        <v>43800</v>
      </c>
      <c r="C226" s="58"/>
      <c r="D226" s="27"/>
    </row>
    <row r="227" spans="1:130" s="24" customFormat="1">
      <c r="A227" s="85"/>
      <c r="B227" s="57">
        <v>43770</v>
      </c>
      <c r="C227" s="58"/>
      <c r="D227" s="25"/>
      <c r="E227" s="25"/>
      <c r="F227" s="25"/>
      <c r="G227" s="25"/>
      <c r="H227" s="25"/>
      <c r="I227" s="25"/>
      <c r="J227" s="25"/>
      <c r="K227" s="25"/>
      <c r="L227" s="25"/>
      <c r="M227" s="30"/>
      <c r="N227" s="30"/>
      <c r="O227" s="30"/>
      <c r="P227" s="30"/>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row>
    <row r="228" spans="1:130" s="24" customFormat="1">
      <c r="A228" s="85"/>
      <c r="B228" s="57">
        <v>43739</v>
      </c>
      <c r="C228" s="58"/>
      <c r="D228" s="27"/>
    </row>
    <row r="229" spans="1:130" s="24" customFormat="1">
      <c r="A229" s="85"/>
      <c r="B229" s="57">
        <v>43709</v>
      </c>
      <c r="C229" s="58"/>
      <c r="D229" s="27"/>
    </row>
    <row r="230" spans="1:130" s="24" customFormat="1">
      <c r="A230" s="85"/>
      <c r="B230" s="57">
        <v>43678</v>
      </c>
      <c r="C230" s="58"/>
      <c r="D230" s="27"/>
    </row>
    <row r="231" spans="1:130" s="24" customFormat="1">
      <c r="A231" s="85"/>
      <c r="B231" s="57">
        <v>43647</v>
      </c>
      <c r="C231" s="58"/>
      <c r="D231" s="27"/>
    </row>
    <row r="232" spans="1:130" s="24" customFormat="1">
      <c r="A232" s="85"/>
      <c r="B232" s="57">
        <v>43617</v>
      </c>
      <c r="C232" s="58"/>
      <c r="D232" s="25"/>
      <c r="E232" s="25"/>
      <c r="F232" s="25"/>
      <c r="G232" s="25"/>
      <c r="H232" s="25"/>
      <c r="I232" s="25"/>
      <c r="J232" s="25"/>
      <c r="K232" s="25"/>
      <c r="L232" s="25"/>
      <c r="M232" s="30"/>
      <c r="N232" s="30"/>
      <c r="O232" s="30"/>
      <c r="P232" s="30"/>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row>
    <row r="233" spans="1:130" s="24" customFormat="1">
      <c r="A233" s="85"/>
      <c r="B233" s="57">
        <v>43586</v>
      </c>
      <c r="C233" s="58"/>
      <c r="D233" s="27"/>
    </row>
    <row r="234" spans="1:130" s="24" customFormat="1">
      <c r="A234" s="85"/>
      <c r="B234" s="57">
        <v>43556</v>
      </c>
      <c r="C234" s="58" t="s">
        <v>238</v>
      </c>
      <c r="D234" s="27"/>
    </row>
    <row r="235" spans="1:130" s="24" customFormat="1">
      <c r="A235" s="85"/>
      <c r="B235" s="57">
        <v>43525</v>
      </c>
      <c r="C235" s="58" t="s">
        <v>228</v>
      </c>
      <c r="D235" s="27"/>
    </row>
    <row r="236" spans="1:130" s="24" customFormat="1">
      <c r="A236" s="85"/>
      <c r="B236" s="57">
        <v>43497</v>
      </c>
      <c r="C236" s="58" t="s">
        <v>217</v>
      </c>
      <c r="D236" s="27"/>
    </row>
    <row r="237" spans="1:130" s="24" customFormat="1">
      <c r="A237" s="85"/>
      <c r="B237" s="57">
        <v>43466</v>
      </c>
      <c r="C237" s="58" t="s">
        <v>206</v>
      </c>
      <c r="D237" s="25"/>
      <c r="E237" s="25"/>
      <c r="F237" s="25"/>
      <c r="G237" s="25"/>
      <c r="H237" s="25"/>
      <c r="I237" s="25"/>
      <c r="J237" s="25"/>
      <c r="K237" s="25"/>
      <c r="L237" s="25"/>
      <c r="M237" s="30"/>
      <c r="N237" s="30"/>
      <c r="O237" s="30"/>
      <c r="P237" s="30"/>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row>
    <row r="238" spans="1:130" s="24" customFormat="1">
      <c r="A238" s="85"/>
      <c r="B238" s="57">
        <v>43435</v>
      </c>
      <c r="C238" s="58" t="s">
        <v>196</v>
      </c>
      <c r="D238" s="27"/>
    </row>
    <row r="239" spans="1:130" s="24" customFormat="1">
      <c r="A239" s="85"/>
      <c r="B239" s="57">
        <v>43405</v>
      </c>
      <c r="C239" s="58" t="s">
        <v>186</v>
      </c>
      <c r="D239" s="25"/>
      <c r="E239" s="25"/>
      <c r="F239" s="25"/>
      <c r="G239" s="25"/>
      <c r="H239" s="25"/>
      <c r="I239" s="25"/>
      <c r="J239" s="25"/>
      <c r="K239" s="25"/>
      <c r="L239" s="25"/>
      <c r="M239" s="30"/>
      <c r="N239" s="30"/>
      <c r="O239" s="30"/>
      <c r="P239" s="30"/>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row>
    <row r="240" spans="1:130" s="24" customFormat="1">
      <c r="A240" s="85"/>
      <c r="B240" s="57">
        <v>43374</v>
      </c>
      <c r="C240" s="58" t="s">
        <v>179</v>
      </c>
      <c r="D240" s="27"/>
    </row>
    <row r="241" spans="1:130" s="24" customFormat="1">
      <c r="A241" s="85"/>
      <c r="B241" s="57">
        <v>43344</v>
      </c>
      <c r="C241" s="58" t="s">
        <v>157</v>
      </c>
      <c r="D241" s="27"/>
    </row>
    <row r="242" spans="1:130" s="24" customFormat="1" ht="14">
      <c r="A242" s="85"/>
      <c r="B242" s="57">
        <v>43313</v>
      </c>
      <c r="C242" s="68"/>
      <c r="D242" s="27"/>
    </row>
    <row r="243" spans="1:130" s="24" customFormat="1">
      <c r="A243" s="85"/>
      <c r="B243" s="57">
        <v>43282</v>
      </c>
      <c r="C243" s="58" t="s">
        <v>147</v>
      </c>
      <c r="D243" s="27"/>
    </row>
    <row r="244" spans="1:130" s="24" customFormat="1">
      <c r="A244" s="85"/>
      <c r="B244" s="57">
        <v>43252</v>
      </c>
      <c r="C244" s="58" t="s">
        <v>134</v>
      </c>
      <c r="D244" s="25"/>
      <c r="E244" s="25"/>
      <c r="F244" s="25"/>
      <c r="G244" s="25"/>
      <c r="H244" s="25"/>
      <c r="I244" s="25"/>
      <c r="J244" s="25"/>
      <c r="K244" s="25"/>
      <c r="L244" s="25"/>
      <c r="M244" s="30"/>
      <c r="N244" s="30"/>
      <c r="O244" s="30"/>
      <c r="P244" s="30"/>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row>
    <row r="245" spans="1:130" s="24" customFormat="1">
      <c r="A245" s="85"/>
      <c r="B245" s="57">
        <v>43221</v>
      </c>
      <c r="C245" s="58" t="s">
        <v>124</v>
      </c>
      <c r="D245" s="27"/>
    </row>
    <row r="246" spans="1:130" s="24" customFormat="1">
      <c r="A246" s="85"/>
      <c r="B246" s="57">
        <v>43191</v>
      </c>
      <c r="C246" s="58" t="s">
        <v>115</v>
      </c>
      <c r="D246" s="27"/>
    </row>
    <row r="247" spans="1:130" s="24" customFormat="1">
      <c r="A247" s="85"/>
      <c r="B247" s="57">
        <v>43160</v>
      </c>
      <c r="C247" s="58" t="s">
        <v>108</v>
      </c>
      <c r="D247" s="27"/>
    </row>
    <row r="248" spans="1:130" s="24" customFormat="1">
      <c r="A248" s="85"/>
      <c r="B248" s="57">
        <v>43132</v>
      </c>
      <c r="C248" s="58"/>
      <c r="D248" s="27"/>
    </row>
    <row r="249" spans="1:130" s="24" customFormat="1">
      <c r="A249" s="85"/>
      <c r="B249" s="57">
        <v>43101</v>
      </c>
      <c r="C249" s="59" t="s">
        <v>73</v>
      </c>
      <c r="D249" s="25"/>
      <c r="E249" s="25"/>
      <c r="F249" s="25"/>
      <c r="G249" s="25"/>
      <c r="H249" s="25"/>
      <c r="I249" s="25"/>
      <c r="J249" s="25"/>
      <c r="K249" s="25"/>
      <c r="L249" s="25"/>
      <c r="M249" s="30"/>
      <c r="N249" s="30"/>
      <c r="O249" s="30"/>
      <c r="P249" s="30"/>
      <c r="Q249" s="30"/>
      <c r="R249" s="30"/>
      <c r="S249" s="30"/>
      <c r="T249" s="30"/>
      <c r="U249" s="30"/>
      <c r="V249" s="30"/>
      <c r="W249" s="30"/>
      <c r="X249" s="30"/>
      <c r="Y249" s="30"/>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row>
    <row r="250" spans="1:130" s="22" customFormat="1" ht="12.75" customHeight="1">
      <c r="A250" s="85"/>
      <c r="B250" s="60">
        <v>43070</v>
      </c>
      <c r="C250" s="59" t="s">
        <v>74</v>
      </c>
      <c r="D250" s="31"/>
      <c r="E250" s="31"/>
      <c r="F250" s="31"/>
      <c r="G250" s="31"/>
      <c r="H250" s="31"/>
      <c r="I250" s="31"/>
      <c r="J250" s="31"/>
      <c r="K250" s="31"/>
      <c r="L250" s="31"/>
      <c r="M250" s="31"/>
      <c r="N250" s="31"/>
      <c r="O250" s="31"/>
      <c r="P250" s="31"/>
      <c r="Q250" s="31"/>
      <c r="R250" s="31"/>
      <c r="S250" s="31"/>
      <c r="T250" s="31"/>
      <c r="U250" s="31"/>
      <c r="V250" s="31"/>
      <c r="W250" s="31"/>
      <c r="X250" s="31"/>
      <c r="Y250" s="31"/>
    </row>
    <row r="251" spans="1:130" s="22" customFormat="1">
      <c r="A251" s="85"/>
      <c r="B251" s="60">
        <v>43040</v>
      </c>
      <c r="C251" s="61" t="s">
        <v>75</v>
      </c>
      <c r="D251" s="31"/>
      <c r="E251" s="31"/>
      <c r="F251" s="31"/>
      <c r="G251" s="31"/>
      <c r="H251" s="31"/>
      <c r="I251" s="31"/>
      <c r="J251" s="31"/>
      <c r="K251" s="31"/>
      <c r="L251" s="31"/>
      <c r="M251" s="31"/>
      <c r="N251" s="31"/>
      <c r="O251" s="31"/>
      <c r="P251" s="31"/>
      <c r="Q251" s="31"/>
      <c r="R251" s="31"/>
      <c r="S251" s="31"/>
      <c r="T251" s="31"/>
      <c r="U251" s="31"/>
      <c r="V251" s="31"/>
      <c r="W251" s="31"/>
      <c r="X251" s="31"/>
      <c r="Y251" s="31"/>
    </row>
    <row r="252" spans="1:130" s="22" customFormat="1">
      <c r="A252" s="85"/>
      <c r="B252" s="60">
        <v>43009</v>
      </c>
      <c r="C252" s="59" t="s">
        <v>76</v>
      </c>
      <c r="D252" s="31"/>
      <c r="E252" s="31"/>
      <c r="F252" s="31"/>
      <c r="G252" s="31"/>
      <c r="H252" s="31"/>
      <c r="I252" s="31"/>
      <c r="J252" s="31"/>
      <c r="K252" s="31"/>
      <c r="L252" s="31"/>
      <c r="M252" s="31"/>
      <c r="N252" s="31"/>
      <c r="O252" s="31"/>
      <c r="P252" s="31"/>
      <c r="Q252" s="31"/>
      <c r="R252" s="31"/>
      <c r="S252" s="31"/>
      <c r="T252" s="31"/>
      <c r="U252" s="31"/>
      <c r="V252" s="31"/>
      <c r="W252" s="31"/>
      <c r="X252" s="31"/>
      <c r="Y252" s="31"/>
    </row>
    <row r="253" spans="1:130" s="23" customFormat="1">
      <c r="A253" s="85"/>
      <c r="B253" s="60">
        <v>42979</v>
      </c>
      <c r="C253" s="58"/>
      <c r="D253" s="32"/>
      <c r="E253" s="32"/>
      <c r="F253" s="32"/>
      <c r="G253" s="32"/>
      <c r="H253" s="32"/>
      <c r="I253" s="32"/>
      <c r="J253" s="32"/>
      <c r="K253" s="32"/>
      <c r="L253" s="32"/>
      <c r="M253" s="32"/>
      <c r="N253" s="32"/>
      <c r="O253" s="32"/>
      <c r="P253" s="32"/>
      <c r="Q253" s="32"/>
      <c r="R253" s="32"/>
      <c r="S253" s="32"/>
      <c r="T253" s="32"/>
      <c r="U253" s="32"/>
      <c r="V253" s="32"/>
      <c r="W253" s="32"/>
      <c r="X253" s="32"/>
      <c r="Y253" s="32"/>
    </row>
    <row r="254" spans="1:130" s="24" customFormat="1" ht="16" customHeight="1">
      <c r="A254" s="84" t="s">
        <v>36</v>
      </c>
      <c r="B254" s="62">
        <v>43800</v>
      </c>
      <c r="C254" s="63"/>
      <c r="D254" s="27"/>
    </row>
    <row r="255" spans="1:130" s="24" customFormat="1">
      <c r="A255" s="84"/>
      <c r="B255" s="62">
        <v>43770</v>
      </c>
      <c r="C255" s="63"/>
      <c r="D255" s="25"/>
      <c r="E255" s="25"/>
      <c r="F255" s="25"/>
      <c r="G255" s="25"/>
      <c r="H255" s="25"/>
      <c r="I255" s="25"/>
      <c r="J255" s="25"/>
      <c r="K255" s="25"/>
      <c r="L255" s="25"/>
      <c r="M255" s="30"/>
      <c r="N255" s="30"/>
      <c r="O255" s="30"/>
      <c r="P255" s="30"/>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row>
    <row r="256" spans="1:130" s="24" customFormat="1">
      <c r="A256" s="84"/>
      <c r="B256" s="62">
        <v>43739</v>
      </c>
      <c r="C256" s="63"/>
      <c r="D256" s="27"/>
    </row>
    <row r="257" spans="1:130" s="24" customFormat="1">
      <c r="A257" s="84"/>
      <c r="B257" s="62">
        <v>43709</v>
      </c>
      <c r="C257" s="63"/>
      <c r="D257" s="27"/>
    </row>
    <row r="258" spans="1:130" s="24" customFormat="1">
      <c r="A258" s="84"/>
      <c r="B258" s="62">
        <v>43678</v>
      </c>
      <c r="C258" s="63"/>
      <c r="D258" s="27"/>
    </row>
    <row r="259" spans="1:130" s="24" customFormat="1">
      <c r="A259" s="84"/>
      <c r="B259" s="62">
        <v>43647</v>
      </c>
      <c r="C259" s="63"/>
      <c r="D259" s="27"/>
    </row>
    <row r="260" spans="1:130" s="24" customFormat="1">
      <c r="A260" s="84"/>
      <c r="B260" s="62">
        <v>43617</v>
      </c>
      <c r="C260" s="63"/>
      <c r="D260" s="25"/>
      <c r="E260" s="25"/>
      <c r="F260" s="25"/>
      <c r="G260" s="25"/>
      <c r="H260" s="25"/>
      <c r="I260" s="25"/>
      <c r="J260" s="25"/>
      <c r="K260" s="25"/>
      <c r="L260" s="25"/>
      <c r="M260" s="30"/>
      <c r="N260" s="30"/>
      <c r="O260" s="30"/>
      <c r="P260" s="30"/>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row>
    <row r="261" spans="1:130" s="24" customFormat="1">
      <c r="A261" s="84"/>
      <c r="B261" s="62">
        <v>43586</v>
      </c>
      <c r="C261" s="63"/>
      <c r="D261" s="27"/>
    </row>
    <row r="262" spans="1:130" s="24" customFormat="1">
      <c r="A262" s="84"/>
      <c r="B262" s="62">
        <v>43556</v>
      </c>
      <c r="C262" s="63" t="s">
        <v>245</v>
      </c>
      <c r="D262" s="27"/>
    </row>
    <row r="263" spans="1:130" s="24" customFormat="1">
      <c r="A263" s="84"/>
      <c r="B263" s="62">
        <v>43525</v>
      </c>
      <c r="C263" s="63"/>
      <c r="D263" s="27"/>
    </row>
    <row r="264" spans="1:130" s="24" customFormat="1">
      <c r="A264" s="84"/>
      <c r="B264" s="62">
        <v>43497</v>
      </c>
      <c r="C264" s="63" t="s">
        <v>221</v>
      </c>
      <c r="D264" s="27"/>
    </row>
    <row r="265" spans="1:130" s="24" customFormat="1">
      <c r="A265" s="84"/>
      <c r="B265" s="62">
        <v>43466</v>
      </c>
      <c r="C265" s="63"/>
      <c r="D265" s="25"/>
      <c r="E265" s="25"/>
      <c r="F265" s="25"/>
      <c r="G265" s="25"/>
      <c r="H265" s="25"/>
      <c r="I265" s="25"/>
      <c r="J265" s="25"/>
      <c r="K265" s="25"/>
      <c r="L265" s="25"/>
      <c r="M265" s="30"/>
      <c r="N265" s="30"/>
      <c r="O265" s="30"/>
      <c r="P265" s="30"/>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row>
    <row r="266" spans="1:130" s="24" customFormat="1">
      <c r="A266" s="84"/>
      <c r="B266" s="62">
        <v>43435</v>
      </c>
      <c r="C266" s="63" t="s">
        <v>199</v>
      </c>
      <c r="D266" s="27"/>
    </row>
    <row r="267" spans="1:130" s="24" customFormat="1">
      <c r="A267" s="84"/>
      <c r="B267" s="62">
        <v>43405</v>
      </c>
      <c r="C267" s="63"/>
      <c r="D267" s="25"/>
      <c r="E267" s="25"/>
      <c r="F267" s="25"/>
      <c r="G267" s="25"/>
      <c r="H267" s="25"/>
      <c r="I267" s="25"/>
      <c r="J267" s="25"/>
      <c r="K267" s="25"/>
      <c r="L267" s="25"/>
      <c r="M267" s="30"/>
      <c r="N267" s="30"/>
      <c r="O267" s="30"/>
      <c r="P267" s="30"/>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row>
    <row r="268" spans="1:130" s="24" customFormat="1">
      <c r="A268" s="84"/>
      <c r="B268" s="62">
        <v>43374</v>
      </c>
      <c r="C268" s="63"/>
      <c r="D268" s="27"/>
    </row>
    <row r="269" spans="1:130" s="24" customFormat="1">
      <c r="A269" s="84"/>
      <c r="B269" s="62">
        <v>43344</v>
      </c>
      <c r="C269" s="63" t="s">
        <v>158</v>
      </c>
      <c r="D269" s="27"/>
    </row>
    <row r="270" spans="1:130" s="24" customFormat="1" ht="14">
      <c r="A270" s="84"/>
      <c r="B270" s="62">
        <v>43313</v>
      </c>
      <c r="C270" s="69"/>
      <c r="D270" s="27"/>
    </row>
    <row r="271" spans="1:130" s="24" customFormat="1">
      <c r="A271" s="84"/>
      <c r="B271" s="62">
        <v>43282</v>
      </c>
      <c r="C271" s="63"/>
      <c r="D271" s="27"/>
    </row>
    <row r="272" spans="1:130" s="24" customFormat="1">
      <c r="A272" s="84"/>
      <c r="B272" s="62">
        <v>43252</v>
      </c>
      <c r="C272" s="63" t="s">
        <v>136</v>
      </c>
      <c r="D272" s="25"/>
      <c r="E272" s="25"/>
      <c r="F272" s="25"/>
      <c r="G272" s="25"/>
      <c r="H272" s="25"/>
      <c r="I272" s="25"/>
      <c r="J272" s="25"/>
      <c r="K272" s="25"/>
      <c r="L272" s="25"/>
      <c r="M272" s="30"/>
      <c r="N272" s="30"/>
      <c r="O272" s="30"/>
      <c r="P272" s="30"/>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row>
    <row r="273" spans="1:130" s="24" customFormat="1">
      <c r="A273" s="84"/>
      <c r="B273" s="62">
        <v>43221</v>
      </c>
      <c r="C273" s="63" t="s">
        <v>126</v>
      </c>
      <c r="D273" s="27"/>
    </row>
    <row r="274" spans="1:130" s="24" customFormat="1">
      <c r="A274" s="84"/>
      <c r="B274" s="62">
        <v>43191</v>
      </c>
      <c r="C274" s="63"/>
      <c r="D274" s="27"/>
    </row>
    <row r="275" spans="1:130" s="24" customFormat="1">
      <c r="A275" s="84"/>
      <c r="B275" s="62">
        <v>43160</v>
      </c>
      <c r="C275" s="63"/>
      <c r="D275" s="27"/>
    </row>
    <row r="276" spans="1:130" s="24" customFormat="1">
      <c r="A276" s="84"/>
      <c r="B276" s="62">
        <v>43132</v>
      </c>
      <c r="C276" s="63"/>
      <c r="D276" s="33"/>
    </row>
    <row r="277" spans="1:130" s="24" customFormat="1">
      <c r="A277" s="84"/>
      <c r="B277" s="62">
        <v>43101</v>
      </c>
      <c r="C277" s="64" t="s">
        <v>53</v>
      </c>
      <c r="D277" s="34"/>
      <c r="E277" s="28"/>
      <c r="F277" s="28"/>
      <c r="G277" s="28"/>
      <c r="H277" s="28"/>
      <c r="I277" s="28"/>
      <c r="J277" s="28"/>
      <c r="K277" s="28"/>
      <c r="L277" s="28"/>
      <c r="M277" s="29"/>
      <c r="N277" s="29"/>
      <c r="O277" s="29"/>
      <c r="P277" s="29"/>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row>
    <row r="278" spans="1:130" s="20" customFormat="1" ht="12.75" customHeight="1">
      <c r="A278" s="84"/>
      <c r="B278" s="65">
        <v>43070</v>
      </c>
      <c r="C278" s="64" t="s">
        <v>77</v>
      </c>
      <c r="D278" s="35"/>
    </row>
    <row r="279" spans="1:130" s="20" customFormat="1">
      <c r="A279" s="84"/>
      <c r="B279" s="65">
        <v>43040</v>
      </c>
      <c r="C279" s="64" t="s">
        <v>78</v>
      </c>
      <c r="D279" s="35"/>
    </row>
    <row r="280" spans="1:130" s="20" customFormat="1">
      <c r="A280" s="84"/>
      <c r="B280" s="65">
        <v>43009</v>
      </c>
      <c r="C280" s="64" t="s">
        <v>79</v>
      </c>
      <c r="D280" s="35"/>
    </row>
    <row r="281" spans="1:130" s="21" customFormat="1">
      <c r="A281" s="84"/>
      <c r="B281" s="65">
        <v>42979</v>
      </c>
      <c r="C281" s="63"/>
      <c r="D281" s="36"/>
    </row>
    <row r="282" spans="1:130" s="24" customFormat="1" ht="16" customHeight="1">
      <c r="A282" s="85" t="s">
        <v>32</v>
      </c>
      <c r="B282" s="57">
        <v>43800</v>
      </c>
      <c r="C282" s="58"/>
      <c r="D282" s="27"/>
    </row>
    <row r="283" spans="1:130" s="24" customFormat="1">
      <c r="A283" s="85"/>
      <c r="B283" s="57">
        <v>43770</v>
      </c>
      <c r="C283" s="58"/>
      <c r="D283" s="25"/>
      <c r="E283" s="25"/>
      <c r="F283" s="25"/>
      <c r="G283" s="25"/>
      <c r="H283" s="25"/>
      <c r="I283" s="25"/>
      <c r="J283" s="25"/>
      <c r="K283" s="25"/>
      <c r="L283" s="25"/>
      <c r="M283" s="30"/>
      <c r="N283" s="30"/>
      <c r="O283" s="30"/>
      <c r="P283" s="30"/>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row>
    <row r="284" spans="1:130" s="24" customFormat="1">
      <c r="A284" s="85"/>
      <c r="B284" s="57">
        <v>43739</v>
      </c>
      <c r="C284" s="58"/>
      <c r="D284" s="27"/>
    </row>
    <row r="285" spans="1:130" s="24" customFormat="1">
      <c r="A285" s="85"/>
      <c r="B285" s="57">
        <v>43709</v>
      </c>
      <c r="C285" s="58"/>
      <c r="D285" s="27"/>
    </row>
    <row r="286" spans="1:130" s="24" customFormat="1">
      <c r="A286" s="85"/>
      <c r="B286" s="57">
        <v>43678</v>
      </c>
      <c r="C286" s="58"/>
      <c r="D286" s="27"/>
    </row>
    <row r="287" spans="1:130" s="24" customFormat="1">
      <c r="A287" s="85"/>
      <c r="B287" s="57">
        <v>43647</v>
      </c>
      <c r="C287" s="58"/>
      <c r="D287" s="27"/>
    </row>
    <row r="288" spans="1:130" s="24" customFormat="1">
      <c r="A288" s="85"/>
      <c r="B288" s="57">
        <v>43617</v>
      </c>
      <c r="C288" s="58"/>
      <c r="D288" s="25"/>
      <c r="E288" s="25"/>
      <c r="F288" s="25"/>
      <c r="G288" s="25"/>
      <c r="H288" s="25"/>
      <c r="I288" s="25"/>
      <c r="J288" s="25"/>
      <c r="K288" s="25"/>
      <c r="L288" s="25"/>
      <c r="M288" s="30"/>
      <c r="N288" s="30"/>
      <c r="O288" s="30"/>
      <c r="P288" s="30"/>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row>
    <row r="289" spans="1:130" s="24" customFormat="1">
      <c r="A289" s="85"/>
      <c r="B289" s="57">
        <v>43586</v>
      </c>
      <c r="C289" s="58"/>
      <c r="D289" s="27"/>
    </row>
    <row r="290" spans="1:130" s="24" customFormat="1">
      <c r="A290" s="85"/>
      <c r="B290" s="57">
        <v>43556</v>
      </c>
      <c r="C290" s="58"/>
      <c r="D290" s="27"/>
    </row>
    <row r="291" spans="1:130" s="24" customFormat="1">
      <c r="A291" s="85"/>
      <c r="B291" s="57">
        <v>43525</v>
      </c>
      <c r="C291" s="58" t="s">
        <v>222</v>
      </c>
      <c r="D291" s="27"/>
    </row>
    <row r="292" spans="1:130" s="24" customFormat="1">
      <c r="A292" s="85"/>
      <c r="B292" s="57">
        <v>43497</v>
      </c>
      <c r="C292" s="58" t="s">
        <v>210</v>
      </c>
      <c r="D292" s="27"/>
    </row>
    <row r="293" spans="1:130" s="24" customFormat="1">
      <c r="A293" s="85"/>
      <c r="B293" s="57">
        <v>43466</v>
      </c>
      <c r="C293" s="58"/>
      <c r="D293" s="25"/>
      <c r="E293" s="25"/>
      <c r="F293" s="25"/>
      <c r="G293" s="25"/>
      <c r="H293" s="25"/>
      <c r="I293" s="25"/>
      <c r="J293" s="25"/>
      <c r="K293" s="25"/>
      <c r="L293" s="25"/>
      <c r="M293" s="30"/>
      <c r="N293" s="30"/>
      <c r="O293" s="30"/>
      <c r="P293" s="30"/>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row>
    <row r="294" spans="1:130" s="24" customFormat="1">
      <c r="A294" s="85"/>
      <c r="B294" s="57">
        <v>43435</v>
      </c>
      <c r="C294" s="58"/>
      <c r="D294" s="27"/>
    </row>
    <row r="295" spans="1:130" s="24" customFormat="1">
      <c r="A295" s="85"/>
      <c r="B295" s="57">
        <v>43405</v>
      </c>
      <c r="C295" s="58"/>
      <c r="D295" s="25"/>
      <c r="E295" s="25"/>
      <c r="F295" s="25"/>
      <c r="G295" s="25"/>
      <c r="H295" s="25"/>
      <c r="I295" s="25"/>
      <c r="J295" s="25"/>
      <c r="K295" s="25"/>
      <c r="L295" s="25"/>
      <c r="M295" s="30"/>
      <c r="N295" s="30"/>
      <c r="O295" s="30"/>
      <c r="P295" s="30"/>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row>
    <row r="296" spans="1:130" s="24" customFormat="1">
      <c r="A296" s="85"/>
      <c r="B296" s="57">
        <v>43374</v>
      </c>
      <c r="C296" s="58" t="s">
        <v>177</v>
      </c>
      <c r="D296" s="27"/>
    </row>
    <row r="297" spans="1:130" s="24" customFormat="1">
      <c r="A297" s="85"/>
      <c r="B297" s="57">
        <v>43344</v>
      </c>
      <c r="C297" s="58"/>
      <c r="D297" s="27"/>
    </row>
    <row r="298" spans="1:130" s="24" customFormat="1">
      <c r="A298" s="85"/>
      <c r="B298" s="57">
        <v>43313</v>
      </c>
      <c r="C298" s="58"/>
      <c r="D298" s="27"/>
    </row>
    <row r="299" spans="1:130" s="24" customFormat="1">
      <c r="A299" s="85"/>
      <c r="B299" s="57">
        <v>43282</v>
      </c>
      <c r="C299" s="58" t="s">
        <v>148</v>
      </c>
      <c r="D299" s="27"/>
    </row>
    <row r="300" spans="1:130" s="24" customFormat="1">
      <c r="A300" s="85"/>
      <c r="B300" s="57">
        <v>43252</v>
      </c>
      <c r="C300" s="58"/>
      <c r="D300" s="25"/>
      <c r="E300" s="25"/>
      <c r="F300" s="25"/>
      <c r="G300" s="25"/>
      <c r="H300" s="25"/>
      <c r="I300" s="25"/>
      <c r="J300" s="25"/>
      <c r="K300" s="25"/>
      <c r="L300" s="25"/>
      <c r="M300" s="30"/>
      <c r="N300" s="30"/>
      <c r="O300" s="30"/>
      <c r="P300" s="30"/>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row>
    <row r="301" spans="1:130" s="24" customFormat="1">
      <c r="A301" s="85"/>
      <c r="B301" s="57">
        <v>43221</v>
      </c>
      <c r="C301" s="58"/>
      <c r="D301" s="27"/>
    </row>
    <row r="302" spans="1:130" s="24" customFormat="1">
      <c r="A302" s="85"/>
      <c r="B302" s="57">
        <v>43191</v>
      </c>
      <c r="C302" s="58"/>
      <c r="D302" s="27"/>
    </row>
    <row r="303" spans="1:130" s="24" customFormat="1">
      <c r="A303" s="85"/>
      <c r="B303" s="57">
        <v>43160</v>
      </c>
      <c r="C303" s="58"/>
      <c r="D303" s="27"/>
    </row>
    <row r="304" spans="1:130" s="24" customFormat="1">
      <c r="A304" s="85"/>
      <c r="B304" s="57">
        <v>43132</v>
      </c>
      <c r="C304" s="58" t="s">
        <v>98</v>
      </c>
      <c r="D304" s="27"/>
    </row>
    <row r="305" spans="1:130" s="24" customFormat="1">
      <c r="A305" s="85"/>
      <c r="B305" s="57">
        <v>43101</v>
      </c>
      <c r="C305" s="59" t="s">
        <v>80</v>
      </c>
      <c r="D305" s="25"/>
      <c r="E305" s="25"/>
      <c r="F305" s="25"/>
      <c r="G305" s="25"/>
      <c r="H305" s="25"/>
      <c r="I305" s="25"/>
      <c r="J305" s="25"/>
      <c r="K305" s="25"/>
      <c r="L305" s="25"/>
      <c r="M305" s="30"/>
      <c r="N305" s="30"/>
      <c r="O305" s="30"/>
      <c r="P305" s="26"/>
      <c r="Q305" s="26"/>
      <c r="R305" s="26"/>
      <c r="S305" s="26"/>
      <c r="T305" s="26"/>
      <c r="U305" s="26"/>
      <c r="V305" s="26"/>
      <c r="W305" s="26"/>
      <c r="X305" s="26"/>
      <c r="Y305" s="26"/>
      <c r="Z305" s="26"/>
      <c r="AA305" s="26"/>
      <c r="AB305" s="26"/>
      <c r="AC305" s="26"/>
      <c r="AD305" s="26"/>
      <c r="AE305" s="26"/>
      <c r="AF305" s="26"/>
      <c r="AG305" s="26"/>
      <c r="AH305" s="26"/>
      <c r="AI305" s="26"/>
      <c r="AJ305" s="26"/>
      <c r="AK305" s="26"/>
      <c r="AL305" s="26"/>
      <c r="AM305" s="26"/>
      <c r="AN305" s="26"/>
      <c r="AO305" s="26"/>
      <c r="AP305" s="26"/>
      <c r="AQ305" s="26"/>
      <c r="AR305" s="26"/>
      <c r="AS305" s="26"/>
      <c r="AT305" s="26"/>
      <c r="AU305" s="26"/>
      <c r="AV305" s="26"/>
      <c r="AW305" s="26"/>
      <c r="AX305" s="26"/>
      <c r="AY305" s="26"/>
      <c r="AZ305" s="26"/>
      <c r="BA305" s="26"/>
      <c r="BB305" s="26"/>
      <c r="BC305" s="26"/>
      <c r="BD305" s="26"/>
      <c r="BE305" s="26"/>
      <c r="BF305" s="26"/>
      <c r="BG305" s="26"/>
      <c r="BH305" s="26"/>
      <c r="BI305" s="26"/>
      <c r="BJ305" s="26"/>
      <c r="BK305" s="26"/>
      <c r="BL305" s="26"/>
      <c r="BM305" s="26"/>
      <c r="BN305" s="26"/>
      <c r="BO305" s="26"/>
      <c r="BP305" s="26"/>
      <c r="BQ305" s="26"/>
      <c r="BR305" s="26"/>
      <c r="BS305" s="26"/>
      <c r="BT305" s="26"/>
      <c r="BU305" s="26"/>
      <c r="BV305" s="26"/>
      <c r="BW305" s="26"/>
      <c r="BX305" s="26"/>
      <c r="BY305" s="26"/>
      <c r="BZ305" s="26"/>
      <c r="CA305" s="26"/>
      <c r="CB305" s="26"/>
      <c r="CC305" s="26"/>
      <c r="CD305" s="26"/>
      <c r="CE305" s="26"/>
      <c r="CF305" s="26"/>
      <c r="CG305" s="26"/>
      <c r="CH305" s="26"/>
      <c r="CI305" s="26"/>
      <c r="CJ305" s="26"/>
      <c r="CK305" s="26"/>
      <c r="CL305" s="26"/>
      <c r="CM305" s="26"/>
      <c r="CN305" s="26"/>
      <c r="CO305" s="26"/>
      <c r="CP305" s="26"/>
      <c r="CQ305" s="26"/>
      <c r="CR305" s="26"/>
      <c r="CS305" s="26"/>
      <c r="CT305" s="26"/>
      <c r="CU305" s="26"/>
      <c r="CV305" s="26"/>
      <c r="CW305" s="26"/>
      <c r="CX305" s="26"/>
      <c r="CY305" s="26"/>
      <c r="CZ305" s="26"/>
      <c r="DA305" s="26"/>
      <c r="DB305" s="26"/>
      <c r="DC305" s="26"/>
      <c r="DD305" s="26"/>
      <c r="DE305" s="26"/>
      <c r="DF305" s="26"/>
      <c r="DG305" s="26"/>
      <c r="DH305" s="26"/>
      <c r="DI305" s="26"/>
      <c r="DJ305" s="26"/>
      <c r="DK305" s="26"/>
      <c r="DL305" s="26"/>
      <c r="DM305" s="26"/>
      <c r="DN305" s="26"/>
      <c r="DO305" s="26"/>
      <c r="DP305" s="26"/>
      <c r="DQ305" s="26"/>
      <c r="DR305" s="26"/>
      <c r="DS305" s="26"/>
      <c r="DT305" s="26"/>
      <c r="DU305" s="26"/>
      <c r="DV305" s="26"/>
      <c r="DW305" s="26"/>
      <c r="DX305" s="26"/>
      <c r="DY305" s="26"/>
      <c r="DZ305" s="26"/>
    </row>
    <row r="306" spans="1:130" s="22" customFormat="1">
      <c r="A306" s="85"/>
      <c r="B306" s="60">
        <v>43070</v>
      </c>
      <c r="C306" s="59" t="s">
        <v>53</v>
      </c>
      <c r="D306" s="31"/>
      <c r="E306" s="31"/>
      <c r="F306" s="31"/>
      <c r="G306" s="31"/>
      <c r="H306" s="31"/>
      <c r="I306" s="31"/>
      <c r="J306" s="31"/>
      <c r="K306" s="31"/>
      <c r="L306" s="31"/>
      <c r="M306" s="31"/>
      <c r="N306" s="31"/>
      <c r="O306" s="31"/>
    </row>
    <row r="307" spans="1:130" s="22" customFormat="1">
      <c r="A307" s="85"/>
      <c r="B307" s="60">
        <v>43040</v>
      </c>
      <c r="C307" s="61" t="s">
        <v>53</v>
      </c>
      <c r="D307" s="31"/>
      <c r="E307" s="31"/>
      <c r="F307" s="31"/>
      <c r="G307" s="31"/>
      <c r="H307" s="31"/>
      <c r="I307" s="31"/>
      <c r="J307" s="31"/>
      <c r="K307" s="31"/>
      <c r="L307" s="31"/>
      <c r="M307" s="31"/>
      <c r="N307" s="31"/>
      <c r="O307" s="31"/>
    </row>
    <row r="308" spans="1:130" s="22" customFormat="1">
      <c r="A308" s="85"/>
      <c r="B308" s="60">
        <v>43009</v>
      </c>
      <c r="C308" s="59" t="s">
        <v>81</v>
      </c>
      <c r="D308" s="31"/>
      <c r="E308" s="31"/>
      <c r="F308" s="31"/>
      <c r="G308" s="31"/>
      <c r="H308" s="31"/>
      <c r="I308" s="31"/>
      <c r="J308" s="31"/>
      <c r="K308" s="31"/>
      <c r="L308" s="31"/>
      <c r="M308" s="31"/>
      <c r="N308" s="31"/>
      <c r="O308" s="31"/>
    </row>
    <row r="309" spans="1:130" s="23" customFormat="1">
      <c r="A309" s="85"/>
      <c r="B309" s="60">
        <v>42979</v>
      </c>
      <c r="C309" s="58"/>
      <c r="D309" s="32"/>
      <c r="E309" s="32"/>
      <c r="F309" s="32"/>
      <c r="G309" s="32"/>
      <c r="H309" s="32"/>
      <c r="I309" s="32"/>
      <c r="J309" s="32"/>
      <c r="K309" s="32"/>
      <c r="L309" s="32"/>
      <c r="M309" s="32"/>
      <c r="N309" s="32"/>
      <c r="O309" s="32"/>
    </row>
    <row r="310" spans="1:130" s="24" customFormat="1" ht="16" customHeight="1">
      <c r="A310" s="84" t="s">
        <v>37</v>
      </c>
      <c r="B310" s="62">
        <v>43800</v>
      </c>
      <c r="C310" s="63"/>
      <c r="D310" s="27"/>
    </row>
    <row r="311" spans="1:130" s="24" customFormat="1">
      <c r="A311" s="84"/>
      <c r="B311" s="62">
        <v>43770</v>
      </c>
      <c r="C311" s="63"/>
      <c r="D311" s="25"/>
      <c r="E311" s="25"/>
      <c r="F311" s="25"/>
      <c r="G311" s="25"/>
      <c r="H311" s="25"/>
      <c r="I311" s="25"/>
      <c r="J311" s="25"/>
      <c r="K311" s="25"/>
      <c r="L311" s="25"/>
      <c r="M311" s="30"/>
      <c r="N311" s="30"/>
      <c r="O311" s="30"/>
      <c r="P311" s="30"/>
      <c r="Q311" s="26"/>
      <c r="R311" s="26"/>
      <c r="S311" s="26"/>
      <c r="T311" s="26"/>
      <c r="U311" s="26"/>
      <c r="V311" s="26"/>
      <c r="W311" s="26"/>
      <c r="X311" s="26"/>
      <c r="Y311" s="26"/>
      <c r="Z311" s="26"/>
      <c r="AA311" s="26"/>
      <c r="AB311" s="26"/>
      <c r="AC311" s="26"/>
      <c r="AD311" s="26"/>
      <c r="AE311" s="26"/>
      <c r="AF311" s="26"/>
      <c r="AG311" s="26"/>
      <c r="AH311" s="26"/>
      <c r="AI311" s="26"/>
      <c r="AJ311" s="26"/>
      <c r="AK311" s="26"/>
      <c r="AL311" s="26"/>
      <c r="AM311" s="26"/>
      <c r="AN311" s="26"/>
      <c r="AO311" s="26"/>
      <c r="AP311" s="26"/>
      <c r="AQ311" s="26"/>
      <c r="AR311" s="26"/>
      <c r="AS311" s="26"/>
      <c r="AT311" s="26"/>
      <c r="AU311" s="26"/>
      <c r="AV311" s="26"/>
      <c r="AW311" s="26"/>
      <c r="AX311" s="26"/>
      <c r="AY311" s="26"/>
      <c r="AZ311" s="26"/>
      <c r="BA311" s="26"/>
      <c r="BB311" s="26"/>
      <c r="BC311" s="26"/>
      <c r="BD311" s="26"/>
      <c r="BE311" s="26"/>
      <c r="BF311" s="26"/>
      <c r="BG311" s="26"/>
      <c r="BH311" s="26"/>
      <c r="BI311" s="26"/>
      <c r="BJ311" s="26"/>
      <c r="BK311" s="26"/>
      <c r="BL311" s="26"/>
      <c r="BM311" s="26"/>
      <c r="BN311" s="26"/>
      <c r="BO311" s="26"/>
      <c r="BP311" s="26"/>
      <c r="BQ311" s="26"/>
      <c r="BR311" s="26"/>
      <c r="BS311" s="26"/>
      <c r="BT311" s="26"/>
      <c r="BU311" s="26"/>
      <c r="BV311" s="26"/>
      <c r="BW311" s="26"/>
      <c r="BX311" s="26"/>
      <c r="BY311" s="26"/>
      <c r="BZ311" s="26"/>
      <c r="CA311" s="26"/>
      <c r="CB311" s="26"/>
      <c r="CC311" s="26"/>
      <c r="CD311" s="26"/>
      <c r="CE311" s="26"/>
      <c r="CF311" s="26"/>
      <c r="CG311" s="26"/>
      <c r="CH311" s="26"/>
      <c r="CI311" s="26"/>
      <c r="CJ311" s="26"/>
      <c r="CK311" s="26"/>
      <c r="CL311" s="26"/>
      <c r="CM311" s="26"/>
      <c r="CN311" s="26"/>
      <c r="CO311" s="26"/>
      <c r="CP311" s="26"/>
      <c r="CQ311" s="26"/>
      <c r="CR311" s="26"/>
      <c r="CS311" s="26"/>
      <c r="CT311" s="26"/>
      <c r="CU311" s="26"/>
      <c r="CV311" s="26"/>
      <c r="CW311" s="26"/>
      <c r="CX311" s="26"/>
      <c r="CY311" s="26"/>
      <c r="CZ311" s="26"/>
      <c r="DA311" s="26"/>
      <c r="DB311" s="26"/>
      <c r="DC311" s="26"/>
      <c r="DD311" s="26"/>
      <c r="DE311" s="26"/>
      <c r="DF311" s="26"/>
      <c r="DG311" s="26"/>
      <c r="DH311" s="26"/>
      <c r="DI311" s="26"/>
      <c r="DJ311" s="26"/>
      <c r="DK311" s="26"/>
      <c r="DL311" s="26"/>
      <c r="DM311" s="26"/>
      <c r="DN311" s="26"/>
      <c r="DO311" s="26"/>
      <c r="DP311" s="26"/>
      <c r="DQ311" s="26"/>
      <c r="DR311" s="26"/>
      <c r="DS311" s="26"/>
      <c r="DT311" s="26"/>
      <c r="DU311" s="26"/>
      <c r="DV311" s="26"/>
      <c r="DW311" s="26"/>
      <c r="DX311" s="26"/>
      <c r="DY311" s="26"/>
      <c r="DZ311" s="26"/>
    </row>
    <row r="312" spans="1:130" s="24" customFormat="1">
      <c r="A312" s="84"/>
      <c r="B312" s="62">
        <v>43739</v>
      </c>
      <c r="C312" s="63"/>
      <c r="D312" s="27"/>
    </row>
    <row r="313" spans="1:130" s="24" customFormat="1">
      <c r="A313" s="84"/>
      <c r="B313" s="62">
        <v>43709</v>
      </c>
      <c r="C313" s="63"/>
      <c r="D313" s="27"/>
    </row>
    <row r="314" spans="1:130" s="24" customFormat="1">
      <c r="A314" s="84"/>
      <c r="B314" s="62">
        <v>43678</v>
      </c>
      <c r="C314" s="63"/>
      <c r="D314" s="27"/>
    </row>
    <row r="315" spans="1:130" s="24" customFormat="1">
      <c r="A315" s="84"/>
      <c r="B315" s="62">
        <v>43647</v>
      </c>
      <c r="C315" s="63"/>
      <c r="D315" s="27"/>
    </row>
    <row r="316" spans="1:130" s="24" customFormat="1">
      <c r="A316" s="84"/>
      <c r="B316" s="62">
        <v>43617</v>
      </c>
      <c r="C316" s="63"/>
      <c r="D316" s="25"/>
      <c r="E316" s="25"/>
      <c r="F316" s="25"/>
      <c r="G316" s="25"/>
      <c r="H316" s="25"/>
      <c r="I316" s="25"/>
      <c r="J316" s="25"/>
      <c r="K316" s="25"/>
      <c r="L316" s="25"/>
      <c r="M316" s="30"/>
      <c r="N316" s="30"/>
      <c r="O316" s="30"/>
      <c r="P316" s="30"/>
      <c r="Q316" s="26"/>
      <c r="R316" s="26"/>
      <c r="S316" s="26"/>
      <c r="T316" s="26"/>
      <c r="U316" s="26"/>
      <c r="V316" s="26"/>
      <c r="W316" s="26"/>
      <c r="X316" s="26"/>
      <c r="Y316" s="26"/>
      <c r="Z316" s="26"/>
      <c r="AA316" s="26"/>
      <c r="AB316" s="26"/>
      <c r="AC316" s="26"/>
      <c r="AD316" s="26"/>
      <c r="AE316" s="26"/>
      <c r="AF316" s="26"/>
      <c r="AG316" s="26"/>
      <c r="AH316" s="26"/>
      <c r="AI316" s="26"/>
      <c r="AJ316" s="26"/>
      <c r="AK316" s="26"/>
      <c r="AL316" s="26"/>
      <c r="AM316" s="26"/>
      <c r="AN316" s="26"/>
      <c r="AO316" s="26"/>
      <c r="AP316" s="26"/>
      <c r="AQ316" s="26"/>
      <c r="AR316" s="26"/>
      <c r="AS316" s="26"/>
      <c r="AT316" s="26"/>
      <c r="AU316" s="26"/>
      <c r="AV316" s="26"/>
      <c r="AW316" s="26"/>
      <c r="AX316" s="26"/>
      <c r="AY316" s="26"/>
      <c r="AZ316" s="26"/>
      <c r="BA316" s="26"/>
      <c r="BB316" s="26"/>
      <c r="BC316" s="26"/>
      <c r="BD316" s="26"/>
      <c r="BE316" s="26"/>
      <c r="BF316" s="26"/>
      <c r="BG316" s="26"/>
      <c r="BH316" s="26"/>
      <c r="BI316" s="26"/>
      <c r="BJ316" s="26"/>
      <c r="BK316" s="26"/>
      <c r="BL316" s="26"/>
      <c r="BM316" s="26"/>
      <c r="BN316" s="26"/>
      <c r="BO316" s="26"/>
      <c r="BP316" s="26"/>
      <c r="BQ316" s="26"/>
      <c r="BR316" s="26"/>
      <c r="BS316" s="26"/>
      <c r="BT316" s="26"/>
      <c r="BU316" s="26"/>
      <c r="BV316" s="26"/>
      <c r="BW316" s="26"/>
      <c r="BX316" s="26"/>
      <c r="BY316" s="26"/>
      <c r="BZ316" s="26"/>
      <c r="CA316" s="26"/>
      <c r="CB316" s="26"/>
      <c r="CC316" s="26"/>
      <c r="CD316" s="26"/>
      <c r="CE316" s="26"/>
      <c r="CF316" s="26"/>
      <c r="CG316" s="26"/>
      <c r="CH316" s="26"/>
      <c r="CI316" s="26"/>
      <c r="CJ316" s="26"/>
      <c r="CK316" s="26"/>
      <c r="CL316" s="26"/>
      <c r="CM316" s="26"/>
      <c r="CN316" s="26"/>
      <c r="CO316" s="26"/>
      <c r="CP316" s="26"/>
      <c r="CQ316" s="26"/>
      <c r="CR316" s="26"/>
      <c r="CS316" s="26"/>
      <c r="CT316" s="26"/>
      <c r="CU316" s="26"/>
      <c r="CV316" s="26"/>
      <c r="CW316" s="26"/>
      <c r="CX316" s="26"/>
      <c r="CY316" s="26"/>
      <c r="CZ316" s="26"/>
      <c r="DA316" s="26"/>
      <c r="DB316" s="26"/>
      <c r="DC316" s="26"/>
      <c r="DD316" s="26"/>
      <c r="DE316" s="26"/>
      <c r="DF316" s="26"/>
      <c r="DG316" s="26"/>
      <c r="DH316" s="26"/>
      <c r="DI316" s="26"/>
      <c r="DJ316" s="26"/>
      <c r="DK316" s="26"/>
      <c r="DL316" s="26"/>
      <c r="DM316" s="26"/>
      <c r="DN316" s="26"/>
      <c r="DO316" s="26"/>
      <c r="DP316" s="26"/>
      <c r="DQ316" s="26"/>
      <c r="DR316" s="26"/>
      <c r="DS316" s="26"/>
      <c r="DT316" s="26"/>
      <c r="DU316" s="26"/>
      <c r="DV316" s="26"/>
      <c r="DW316" s="26"/>
      <c r="DX316" s="26"/>
      <c r="DY316" s="26"/>
      <c r="DZ316" s="26"/>
    </row>
    <row r="317" spans="1:130" s="24" customFormat="1">
      <c r="A317" s="84"/>
      <c r="B317" s="62">
        <v>43586</v>
      </c>
      <c r="C317" s="63"/>
      <c r="D317" s="27"/>
    </row>
    <row r="318" spans="1:130" s="24" customFormat="1">
      <c r="A318" s="84"/>
      <c r="B318" s="62">
        <v>43556</v>
      </c>
      <c r="C318" s="63" t="s">
        <v>240</v>
      </c>
      <c r="D318" s="27"/>
    </row>
    <row r="319" spans="1:130" s="24" customFormat="1">
      <c r="A319" s="84"/>
      <c r="B319" s="62">
        <v>43525</v>
      </c>
      <c r="C319" s="63" t="s">
        <v>230</v>
      </c>
      <c r="D319" s="27"/>
    </row>
    <row r="320" spans="1:130" s="24" customFormat="1">
      <c r="A320" s="84"/>
      <c r="B320" s="62">
        <v>43497</v>
      </c>
      <c r="C320" s="63" t="s">
        <v>219</v>
      </c>
      <c r="D320" s="27"/>
    </row>
    <row r="321" spans="1:130" s="24" customFormat="1">
      <c r="A321" s="84"/>
      <c r="B321" s="62">
        <v>43466</v>
      </c>
      <c r="C321" s="63" t="s">
        <v>208</v>
      </c>
      <c r="D321" s="25"/>
      <c r="E321" s="25"/>
      <c r="F321" s="25"/>
      <c r="G321" s="25"/>
      <c r="H321" s="25"/>
      <c r="I321" s="25"/>
      <c r="J321" s="25"/>
      <c r="K321" s="25"/>
      <c r="L321" s="25"/>
      <c r="M321" s="30"/>
      <c r="N321" s="30"/>
      <c r="O321" s="30"/>
      <c r="P321" s="30"/>
      <c r="Q321" s="26"/>
      <c r="R321" s="26"/>
      <c r="S321" s="26"/>
      <c r="T321" s="26"/>
      <c r="U321" s="26"/>
      <c r="V321" s="26"/>
      <c r="W321" s="26"/>
      <c r="X321" s="26"/>
      <c r="Y321" s="26"/>
      <c r="Z321" s="26"/>
      <c r="AA321" s="26"/>
      <c r="AB321" s="26"/>
      <c r="AC321" s="26"/>
      <c r="AD321" s="26"/>
      <c r="AE321" s="26"/>
      <c r="AF321" s="26"/>
      <c r="AG321" s="26"/>
      <c r="AH321" s="26"/>
      <c r="AI321" s="26"/>
      <c r="AJ321" s="26"/>
      <c r="AK321" s="26"/>
      <c r="AL321" s="26"/>
      <c r="AM321" s="26"/>
      <c r="AN321" s="26"/>
      <c r="AO321" s="26"/>
      <c r="AP321" s="26"/>
      <c r="AQ321" s="26"/>
      <c r="AR321" s="26"/>
      <c r="AS321" s="26"/>
      <c r="AT321" s="26"/>
      <c r="AU321" s="26"/>
      <c r="AV321" s="26"/>
      <c r="AW321" s="26"/>
      <c r="AX321" s="26"/>
      <c r="AY321" s="26"/>
      <c r="AZ321" s="26"/>
      <c r="BA321" s="26"/>
      <c r="BB321" s="26"/>
      <c r="BC321" s="26"/>
      <c r="BD321" s="26"/>
      <c r="BE321" s="26"/>
      <c r="BF321" s="26"/>
      <c r="BG321" s="26"/>
      <c r="BH321" s="26"/>
      <c r="BI321" s="26"/>
      <c r="BJ321" s="26"/>
      <c r="BK321" s="26"/>
      <c r="BL321" s="26"/>
      <c r="BM321" s="26"/>
      <c r="BN321" s="26"/>
      <c r="BO321" s="26"/>
      <c r="BP321" s="26"/>
      <c r="BQ321" s="26"/>
      <c r="BR321" s="26"/>
      <c r="BS321" s="26"/>
      <c r="BT321" s="26"/>
      <c r="BU321" s="26"/>
      <c r="BV321" s="26"/>
      <c r="BW321" s="26"/>
      <c r="BX321" s="26"/>
      <c r="BY321" s="26"/>
      <c r="BZ321" s="26"/>
      <c r="CA321" s="26"/>
      <c r="CB321" s="26"/>
      <c r="CC321" s="26"/>
      <c r="CD321" s="26"/>
      <c r="CE321" s="26"/>
      <c r="CF321" s="26"/>
      <c r="CG321" s="26"/>
      <c r="CH321" s="26"/>
      <c r="CI321" s="26"/>
      <c r="CJ321" s="26"/>
      <c r="CK321" s="26"/>
      <c r="CL321" s="26"/>
      <c r="CM321" s="26"/>
      <c r="CN321" s="26"/>
      <c r="CO321" s="26"/>
      <c r="CP321" s="26"/>
      <c r="CQ321" s="26"/>
      <c r="CR321" s="26"/>
      <c r="CS321" s="26"/>
      <c r="CT321" s="26"/>
      <c r="CU321" s="26"/>
      <c r="CV321" s="26"/>
      <c r="CW321" s="26"/>
      <c r="CX321" s="26"/>
      <c r="CY321" s="26"/>
      <c r="CZ321" s="26"/>
      <c r="DA321" s="26"/>
      <c r="DB321" s="26"/>
      <c r="DC321" s="26"/>
      <c r="DD321" s="26"/>
      <c r="DE321" s="26"/>
      <c r="DF321" s="26"/>
      <c r="DG321" s="26"/>
      <c r="DH321" s="26"/>
      <c r="DI321" s="26"/>
      <c r="DJ321" s="26"/>
      <c r="DK321" s="26"/>
      <c r="DL321" s="26"/>
      <c r="DM321" s="26"/>
      <c r="DN321" s="26"/>
      <c r="DO321" s="26"/>
      <c r="DP321" s="26"/>
      <c r="DQ321" s="26"/>
      <c r="DR321" s="26"/>
      <c r="DS321" s="26"/>
      <c r="DT321" s="26"/>
      <c r="DU321" s="26"/>
      <c r="DV321" s="26"/>
      <c r="DW321" s="26"/>
      <c r="DX321" s="26"/>
      <c r="DY321" s="26"/>
      <c r="DZ321" s="26"/>
    </row>
    <row r="322" spans="1:130" s="24" customFormat="1">
      <c r="A322" s="84"/>
      <c r="B322" s="62">
        <v>43435</v>
      </c>
      <c r="C322" s="63" t="s">
        <v>198</v>
      </c>
      <c r="D322" s="27"/>
    </row>
    <row r="323" spans="1:130" s="24" customFormat="1">
      <c r="A323" s="84"/>
      <c r="B323" s="62">
        <v>43405</v>
      </c>
      <c r="C323" s="63" t="s">
        <v>189</v>
      </c>
      <c r="D323" s="25"/>
      <c r="E323" s="25"/>
      <c r="F323" s="25"/>
      <c r="G323" s="25"/>
      <c r="H323" s="25"/>
      <c r="I323" s="25"/>
      <c r="J323" s="25"/>
      <c r="K323" s="25"/>
      <c r="L323" s="25"/>
      <c r="M323" s="30"/>
      <c r="N323" s="30"/>
      <c r="O323" s="30"/>
      <c r="P323" s="30"/>
      <c r="Q323" s="26"/>
      <c r="R323" s="26"/>
      <c r="S323" s="26"/>
      <c r="T323" s="26"/>
      <c r="U323" s="26"/>
      <c r="V323" s="26"/>
      <c r="W323" s="26"/>
      <c r="X323" s="26"/>
      <c r="Y323" s="26"/>
      <c r="Z323" s="26"/>
      <c r="AA323" s="26"/>
      <c r="AB323" s="26"/>
      <c r="AC323" s="26"/>
      <c r="AD323" s="26"/>
      <c r="AE323" s="26"/>
      <c r="AF323" s="26"/>
      <c r="AG323" s="26"/>
      <c r="AH323" s="26"/>
      <c r="AI323" s="26"/>
      <c r="AJ323" s="26"/>
      <c r="AK323" s="26"/>
      <c r="AL323" s="26"/>
      <c r="AM323" s="26"/>
      <c r="AN323" s="26"/>
      <c r="AO323" s="26"/>
      <c r="AP323" s="26"/>
      <c r="AQ323" s="26"/>
      <c r="AR323" s="26"/>
      <c r="AS323" s="26"/>
      <c r="AT323" s="26"/>
      <c r="AU323" s="26"/>
      <c r="AV323" s="26"/>
      <c r="AW323" s="26"/>
      <c r="AX323" s="26"/>
      <c r="AY323" s="26"/>
      <c r="AZ323" s="26"/>
      <c r="BA323" s="26"/>
      <c r="BB323" s="26"/>
      <c r="BC323" s="26"/>
      <c r="BD323" s="26"/>
      <c r="BE323" s="26"/>
      <c r="BF323" s="26"/>
      <c r="BG323" s="26"/>
      <c r="BH323" s="26"/>
      <c r="BI323" s="26"/>
      <c r="BJ323" s="26"/>
      <c r="BK323" s="26"/>
      <c r="BL323" s="26"/>
      <c r="BM323" s="26"/>
      <c r="BN323" s="26"/>
      <c r="BO323" s="26"/>
      <c r="BP323" s="26"/>
      <c r="BQ323" s="26"/>
      <c r="BR323" s="26"/>
      <c r="BS323" s="26"/>
      <c r="BT323" s="26"/>
      <c r="BU323" s="26"/>
      <c r="BV323" s="26"/>
      <c r="BW323" s="26"/>
      <c r="BX323" s="26"/>
      <c r="BY323" s="26"/>
      <c r="BZ323" s="26"/>
      <c r="CA323" s="26"/>
      <c r="CB323" s="26"/>
      <c r="CC323" s="26"/>
      <c r="CD323" s="26"/>
      <c r="CE323" s="26"/>
      <c r="CF323" s="26"/>
      <c r="CG323" s="26"/>
      <c r="CH323" s="26"/>
      <c r="CI323" s="26"/>
      <c r="CJ323" s="26"/>
      <c r="CK323" s="26"/>
      <c r="CL323" s="26"/>
      <c r="CM323" s="26"/>
      <c r="CN323" s="26"/>
      <c r="CO323" s="26"/>
      <c r="CP323" s="26"/>
      <c r="CQ323" s="26"/>
      <c r="CR323" s="26"/>
      <c r="CS323" s="26"/>
      <c r="CT323" s="26"/>
      <c r="CU323" s="26"/>
      <c r="CV323" s="26"/>
      <c r="CW323" s="26"/>
      <c r="CX323" s="26"/>
      <c r="CY323" s="26"/>
      <c r="CZ323" s="26"/>
      <c r="DA323" s="26"/>
      <c r="DB323" s="26"/>
      <c r="DC323" s="26"/>
      <c r="DD323" s="26"/>
      <c r="DE323" s="26"/>
      <c r="DF323" s="26"/>
      <c r="DG323" s="26"/>
      <c r="DH323" s="26"/>
      <c r="DI323" s="26"/>
      <c r="DJ323" s="26"/>
      <c r="DK323" s="26"/>
      <c r="DL323" s="26"/>
      <c r="DM323" s="26"/>
      <c r="DN323" s="26"/>
      <c r="DO323" s="26"/>
      <c r="DP323" s="26"/>
      <c r="DQ323" s="26"/>
      <c r="DR323" s="26"/>
      <c r="DS323" s="26"/>
      <c r="DT323" s="26"/>
      <c r="DU323" s="26"/>
      <c r="DV323" s="26"/>
      <c r="DW323" s="26"/>
      <c r="DX323" s="26"/>
      <c r="DY323" s="26"/>
      <c r="DZ323" s="26"/>
    </row>
    <row r="324" spans="1:130" s="24" customFormat="1">
      <c r="A324" s="84"/>
      <c r="B324" s="62">
        <v>43374</v>
      </c>
      <c r="C324" s="63"/>
      <c r="D324" s="27"/>
    </row>
    <row r="325" spans="1:130" s="24" customFormat="1">
      <c r="A325" s="84"/>
      <c r="B325" s="62">
        <v>43344</v>
      </c>
      <c r="C325" s="63" t="s">
        <v>159</v>
      </c>
      <c r="D325" s="27"/>
    </row>
    <row r="326" spans="1:130" s="24" customFormat="1" ht="14">
      <c r="A326" s="84"/>
      <c r="B326" s="62">
        <v>43313</v>
      </c>
      <c r="C326" s="69"/>
      <c r="D326" s="27"/>
    </row>
    <row r="327" spans="1:130" s="24" customFormat="1">
      <c r="A327" s="84"/>
      <c r="B327" s="62">
        <v>43282</v>
      </c>
      <c r="C327" s="63"/>
      <c r="D327" s="27"/>
    </row>
    <row r="328" spans="1:130" s="24" customFormat="1">
      <c r="A328" s="84"/>
      <c r="B328" s="62">
        <v>43252</v>
      </c>
      <c r="C328" s="63" t="s">
        <v>135</v>
      </c>
      <c r="D328" s="25"/>
      <c r="E328" s="25"/>
      <c r="F328" s="25"/>
      <c r="G328" s="25"/>
      <c r="H328" s="25"/>
      <c r="I328" s="25"/>
      <c r="J328" s="25"/>
      <c r="K328" s="25"/>
      <c r="L328" s="25"/>
      <c r="M328" s="30"/>
      <c r="N328" s="30"/>
      <c r="O328" s="30"/>
      <c r="P328" s="30"/>
      <c r="Q328" s="26"/>
      <c r="R328" s="26"/>
      <c r="S328" s="26"/>
      <c r="T328" s="26"/>
      <c r="U328" s="26"/>
      <c r="V328" s="26"/>
      <c r="W328" s="26"/>
      <c r="X328" s="26"/>
      <c r="Y328" s="26"/>
      <c r="Z328" s="26"/>
      <c r="AA328" s="26"/>
      <c r="AB328" s="26"/>
      <c r="AC328" s="26"/>
      <c r="AD328" s="26"/>
      <c r="AE328" s="26"/>
      <c r="AF328" s="26"/>
      <c r="AG328" s="26"/>
      <c r="AH328" s="26"/>
      <c r="AI328" s="26"/>
      <c r="AJ328" s="26"/>
      <c r="AK328" s="26"/>
      <c r="AL328" s="26"/>
      <c r="AM328" s="26"/>
      <c r="AN328" s="26"/>
      <c r="AO328" s="26"/>
      <c r="AP328" s="26"/>
      <c r="AQ328" s="26"/>
      <c r="AR328" s="26"/>
      <c r="AS328" s="26"/>
      <c r="AT328" s="26"/>
      <c r="AU328" s="26"/>
      <c r="AV328" s="26"/>
      <c r="AW328" s="26"/>
      <c r="AX328" s="26"/>
      <c r="AY328" s="26"/>
      <c r="AZ328" s="26"/>
      <c r="BA328" s="26"/>
      <c r="BB328" s="26"/>
      <c r="BC328" s="26"/>
      <c r="BD328" s="26"/>
      <c r="BE328" s="26"/>
      <c r="BF328" s="26"/>
      <c r="BG328" s="26"/>
      <c r="BH328" s="26"/>
      <c r="BI328" s="26"/>
      <c r="BJ328" s="26"/>
      <c r="BK328" s="26"/>
      <c r="BL328" s="26"/>
      <c r="BM328" s="26"/>
      <c r="BN328" s="26"/>
      <c r="BO328" s="26"/>
      <c r="BP328" s="26"/>
      <c r="BQ328" s="26"/>
      <c r="BR328" s="26"/>
      <c r="BS328" s="26"/>
      <c r="BT328" s="26"/>
      <c r="BU328" s="26"/>
      <c r="BV328" s="26"/>
      <c r="BW328" s="26"/>
      <c r="BX328" s="26"/>
      <c r="BY328" s="26"/>
      <c r="BZ328" s="26"/>
      <c r="CA328" s="26"/>
      <c r="CB328" s="26"/>
      <c r="CC328" s="26"/>
      <c r="CD328" s="26"/>
      <c r="CE328" s="26"/>
      <c r="CF328" s="26"/>
      <c r="CG328" s="26"/>
      <c r="CH328" s="26"/>
      <c r="CI328" s="26"/>
      <c r="CJ328" s="26"/>
      <c r="CK328" s="26"/>
      <c r="CL328" s="26"/>
      <c r="CM328" s="26"/>
      <c r="CN328" s="26"/>
      <c r="CO328" s="26"/>
      <c r="CP328" s="26"/>
      <c r="CQ328" s="26"/>
      <c r="CR328" s="26"/>
      <c r="CS328" s="26"/>
      <c r="CT328" s="26"/>
      <c r="CU328" s="26"/>
      <c r="CV328" s="26"/>
      <c r="CW328" s="26"/>
      <c r="CX328" s="26"/>
      <c r="CY328" s="26"/>
      <c r="CZ328" s="26"/>
      <c r="DA328" s="26"/>
      <c r="DB328" s="26"/>
      <c r="DC328" s="26"/>
      <c r="DD328" s="26"/>
      <c r="DE328" s="26"/>
      <c r="DF328" s="26"/>
      <c r="DG328" s="26"/>
      <c r="DH328" s="26"/>
      <c r="DI328" s="26"/>
      <c r="DJ328" s="26"/>
      <c r="DK328" s="26"/>
      <c r="DL328" s="26"/>
      <c r="DM328" s="26"/>
      <c r="DN328" s="26"/>
      <c r="DO328" s="26"/>
      <c r="DP328" s="26"/>
      <c r="DQ328" s="26"/>
      <c r="DR328" s="26"/>
      <c r="DS328" s="26"/>
      <c r="DT328" s="26"/>
      <c r="DU328" s="26"/>
      <c r="DV328" s="26"/>
      <c r="DW328" s="26"/>
      <c r="DX328" s="26"/>
      <c r="DY328" s="26"/>
      <c r="DZ328" s="26"/>
    </row>
    <row r="329" spans="1:130" s="24" customFormat="1">
      <c r="A329" s="84"/>
      <c r="B329" s="62">
        <v>43221</v>
      </c>
      <c r="C329" s="63"/>
      <c r="D329" s="27"/>
    </row>
    <row r="330" spans="1:130" s="24" customFormat="1">
      <c r="A330" s="84"/>
      <c r="B330" s="62">
        <v>43191</v>
      </c>
      <c r="C330" s="63" t="s">
        <v>118</v>
      </c>
      <c r="D330" s="27"/>
    </row>
    <row r="331" spans="1:130" s="24" customFormat="1">
      <c r="A331" s="84"/>
      <c r="B331" s="62">
        <v>43160</v>
      </c>
      <c r="C331" s="63" t="s">
        <v>106</v>
      </c>
      <c r="D331" s="27"/>
    </row>
    <row r="332" spans="1:130" s="24" customFormat="1">
      <c r="A332" s="84"/>
      <c r="B332" s="62">
        <v>43132</v>
      </c>
      <c r="C332" s="63"/>
      <c r="D332" s="33"/>
    </row>
    <row r="333" spans="1:130" s="24" customFormat="1">
      <c r="A333" s="84"/>
      <c r="B333" s="62">
        <v>43101</v>
      </c>
      <c r="C333" s="64" t="s">
        <v>53</v>
      </c>
      <c r="D333" s="34"/>
      <c r="E333" s="28"/>
      <c r="F333" s="28"/>
      <c r="G333" s="28"/>
      <c r="H333" s="28"/>
      <c r="I333" s="28"/>
      <c r="J333" s="28"/>
      <c r="K333" s="28"/>
      <c r="L333" s="28"/>
      <c r="M333" s="29"/>
      <c r="N333" s="29"/>
      <c r="O333" s="29"/>
      <c r="P333" s="29"/>
      <c r="Q333" s="26"/>
      <c r="R333" s="26"/>
      <c r="S333" s="26"/>
      <c r="T333" s="26"/>
      <c r="U333" s="26"/>
      <c r="V333" s="26"/>
      <c r="W333" s="26"/>
      <c r="X333" s="26"/>
      <c r="Y333" s="26"/>
      <c r="Z333" s="26"/>
      <c r="AA333" s="26"/>
      <c r="AB333" s="26"/>
      <c r="AC333" s="26"/>
      <c r="AD333" s="26"/>
      <c r="AE333" s="26"/>
      <c r="AF333" s="26"/>
      <c r="AG333" s="26"/>
      <c r="AH333" s="26"/>
      <c r="AI333" s="26"/>
      <c r="AJ333" s="26"/>
      <c r="AK333" s="26"/>
      <c r="AL333" s="26"/>
      <c r="AM333" s="26"/>
      <c r="AN333" s="26"/>
      <c r="AO333" s="26"/>
      <c r="AP333" s="26"/>
      <c r="AQ333" s="26"/>
      <c r="AR333" s="26"/>
      <c r="AS333" s="26"/>
      <c r="AT333" s="26"/>
      <c r="AU333" s="26"/>
      <c r="AV333" s="26"/>
      <c r="AW333" s="26"/>
      <c r="AX333" s="26"/>
      <c r="AY333" s="26"/>
      <c r="AZ333" s="26"/>
      <c r="BA333" s="26"/>
      <c r="BB333" s="26"/>
      <c r="BC333" s="26"/>
      <c r="BD333" s="26"/>
      <c r="BE333" s="26"/>
      <c r="BF333" s="26"/>
      <c r="BG333" s="26"/>
      <c r="BH333" s="26"/>
      <c r="BI333" s="26"/>
      <c r="BJ333" s="26"/>
      <c r="BK333" s="26"/>
      <c r="BL333" s="26"/>
      <c r="BM333" s="26"/>
      <c r="BN333" s="26"/>
      <c r="BO333" s="26"/>
      <c r="BP333" s="26"/>
      <c r="BQ333" s="26"/>
      <c r="BR333" s="26"/>
      <c r="BS333" s="26"/>
      <c r="BT333" s="26"/>
      <c r="BU333" s="26"/>
      <c r="BV333" s="26"/>
      <c r="BW333" s="26"/>
      <c r="BX333" s="26"/>
      <c r="BY333" s="26"/>
      <c r="BZ333" s="26"/>
      <c r="CA333" s="26"/>
      <c r="CB333" s="26"/>
      <c r="CC333" s="26"/>
      <c r="CD333" s="26"/>
      <c r="CE333" s="26"/>
      <c r="CF333" s="26"/>
      <c r="CG333" s="26"/>
      <c r="CH333" s="26"/>
      <c r="CI333" s="26"/>
      <c r="CJ333" s="26"/>
      <c r="CK333" s="26"/>
      <c r="CL333" s="26"/>
      <c r="CM333" s="26"/>
      <c r="CN333" s="26"/>
      <c r="CO333" s="26"/>
      <c r="CP333" s="26"/>
      <c r="CQ333" s="26"/>
      <c r="CR333" s="26"/>
      <c r="CS333" s="26"/>
      <c r="CT333" s="26"/>
      <c r="CU333" s="26"/>
      <c r="CV333" s="26"/>
      <c r="CW333" s="26"/>
      <c r="CX333" s="26"/>
      <c r="CY333" s="26"/>
      <c r="CZ333" s="26"/>
      <c r="DA333" s="26"/>
      <c r="DB333" s="26"/>
      <c r="DC333" s="26"/>
      <c r="DD333" s="26"/>
      <c r="DE333" s="26"/>
      <c r="DF333" s="26"/>
      <c r="DG333" s="26"/>
      <c r="DH333" s="26"/>
      <c r="DI333" s="26"/>
      <c r="DJ333" s="26"/>
      <c r="DK333" s="26"/>
      <c r="DL333" s="26"/>
      <c r="DM333" s="26"/>
      <c r="DN333" s="26"/>
      <c r="DO333" s="26"/>
      <c r="DP333" s="26"/>
      <c r="DQ333" s="26"/>
      <c r="DR333" s="26"/>
      <c r="DS333" s="26"/>
      <c r="DT333" s="26"/>
      <c r="DU333" s="26"/>
      <c r="DV333" s="26"/>
      <c r="DW333" s="26"/>
      <c r="DX333" s="26"/>
      <c r="DY333" s="26"/>
      <c r="DZ333" s="26"/>
    </row>
    <row r="334" spans="1:130" s="20" customFormat="1" ht="12.75" customHeight="1">
      <c r="A334" s="84"/>
      <c r="B334" s="65">
        <v>43070</v>
      </c>
      <c r="C334" s="64" t="s">
        <v>53</v>
      </c>
      <c r="D334" s="35"/>
    </row>
    <row r="335" spans="1:130" s="20" customFormat="1">
      <c r="A335" s="84"/>
      <c r="B335" s="65">
        <v>43040</v>
      </c>
      <c r="C335" s="64" t="s">
        <v>53</v>
      </c>
      <c r="D335" s="35"/>
    </row>
    <row r="336" spans="1:130" s="20" customFormat="1">
      <c r="A336" s="84"/>
      <c r="B336" s="65">
        <v>43009</v>
      </c>
      <c r="C336" s="64" t="s">
        <v>53</v>
      </c>
      <c r="D336" s="35"/>
    </row>
    <row r="337" spans="1:130" s="21" customFormat="1">
      <c r="A337" s="84"/>
      <c r="B337" s="65">
        <v>42979</v>
      </c>
      <c r="C337" s="63"/>
      <c r="D337" s="36"/>
    </row>
    <row r="338" spans="1:130" s="24" customFormat="1" ht="16" customHeight="1">
      <c r="A338" s="85" t="s">
        <v>38</v>
      </c>
      <c r="B338" s="57">
        <v>43800</v>
      </c>
      <c r="C338" s="58"/>
      <c r="D338" s="27"/>
    </row>
    <row r="339" spans="1:130" s="24" customFormat="1">
      <c r="A339" s="85"/>
      <c r="B339" s="57">
        <v>43770</v>
      </c>
      <c r="C339" s="58"/>
      <c r="D339" s="25"/>
      <c r="E339" s="25"/>
      <c r="F339" s="25"/>
      <c r="G339" s="25"/>
      <c r="H339" s="25"/>
      <c r="I339" s="25"/>
      <c r="J339" s="25"/>
      <c r="K339" s="25"/>
      <c r="L339" s="25"/>
      <c r="M339" s="30"/>
      <c r="N339" s="30"/>
      <c r="O339" s="30"/>
      <c r="P339" s="30"/>
      <c r="Q339" s="26"/>
      <c r="R339" s="26"/>
      <c r="S339" s="26"/>
      <c r="T339" s="26"/>
      <c r="U339" s="26"/>
      <c r="V339" s="26"/>
      <c r="W339" s="26"/>
      <c r="X339" s="26"/>
      <c r="Y339" s="26"/>
      <c r="Z339" s="26"/>
      <c r="AA339" s="26"/>
      <c r="AB339" s="26"/>
      <c r="AC339" s="26"/>
      <c r="AD339" s="26"/>
      <c r="AE339" s="26"/>
      <c r="AF339" s="26"/>
      <c r="AG339" s="26"/>
      <c r="AH339" s="26"/>
      <c r="AI339" s="26"/>
      <c r="AJ339" s="26"/>
      <c r="AK339" s="26"/>
      <c r="AL339" s="26"/>
      <c r="AM339" s="26"/>
      <c r="AN339" s="26"/>
      <c r="AO339" s="26"/>
      <c r="AP339" s="26"/>
      <c r="AQ339" s="26"/>
      <c r="AR339" s="26"/>
      <c r="AS339" s="26"/>
      <c r="AT339" s="26"/>
      <c r="AU339" s="26"/>
      <c r="AV339" s="26"/>
      <c r="AW339" s="26"/>
      <c r="AX339" s="26"/>
      <c r="AY339" s="26"/>
      <c r="AZ339" s="26"/>
      <c r="BA339" s="26"/>
      <c r="BB339" s="26"/>
      <c r="BC339" s="26"/>
      <c r="BD339" s="26"/>
      <c r="BE339" s="26"/>
      <c r="BF339" s="26"/>
      <c r="BG339" s="26"/>
      <c r="BH339" s="26"/>
      <c r="BI339" s="26"/>
      <c r="BJ339" s="26"/>
      <c r="BK339" s="26"/>
      <c r="BL339" s="26"/>
      <c r="BM339" s="26"/>
      <c r="BN339" s="26"/>
      <c r="BO339" s="26"/>
      <c r="BP339" s="26"/>
      <c r="BQ339" s="26"/>
      <c r="BR339" s="26"/>
      <c r="BS339" s="26"/>
      <c r="BT339" s="26"/>
      <c r="BU339" s="26"/>
      <c r="BV339" s="26"/>
      <c r="BW339" s="26"/>
      <c r="BX339" s="26"/>
      <c r="BY339" s="26"/>
      <c r="BZ339" s="26"/>
      <c r="CA339" s="26"/>
      <c r="CB339" s="26"/>
      <c r="CC339" s="26"/>
      <c r="CD339" s="26"/>
      <c r="CE339" s="26"/>
      <c r="CF339" s="26"/>
      <c r="CG339" s="26"/>
      <c r="CH339" s="26"/>
      <c r="CI339" s="26"/>
      <c r="CJ339" s="26"/>
      <c r="CK339" s="26"/>
      <c r="CL339" s="26"/>
      <c r="CM339" s="26"/>
      <c r="CN339" s="26"/>
      <c r="CO339" s="26"/>
      <c r="CP339" s="26"/>
      <c r="CQ339" s="26"/>
      <c r="CR339" s="26"/>
      <c r="CS339" s="26"/>
      <c r="CT339" s="26"/>
      <c r="CU339" s="26"/>
      <c r="CV339" s="26"/>
      <c r="CW339" s="26"/>
      <c r="CX339" s="26"/>
      <c r="CY339" s="26"/>
      <c r="CZ339" s="26"/>
      <c r="DA339" s="26"/>
      <c r="DB339" s="26"/>
      <c r="DC339" s="26"/>
      <c r="DD339" s="26"/>
      <c r="DE339" s="26"/>
      <c r="DF339" s="26"/>
      <c r="DG339" s="26"/>
      <c r="DH339" s="26"/>
      <c r="DI339" s="26"/>
      <c r="DJ339" s="26"/>
      <c r="DK339" s="26"/>
      <c r="DL339" s="26"/>
      <c r="DM339" s="26"/>
      <c r="DN339" s="26"/>
      <c r="DO339" s="26"/>
      <c r="DP339" s="26"/>
      <c r="DQ339" s="26"/>
      <c r="DR339" s="26"/>
      <c r="DS339" s="26"/>
      <c r="DT339" s="26"/>
      <c r="DU339" s="26"/>
      <c r="DV339" s="26"/>
      <c r="DW339" s="26"/>
      <c r="DX339" s="26"/>
      <c r="DY339" s="26"/>
      <c r="DZ339" s="26"/>
    </row>
    <row r="340" spans="1:130" s="24" customFormat="1">
      <c r="A340" s="85"/>
      <c r="B340" s="57">
        <v>43739</v>
      </c>
      <c r="C340" s="58"/>
      <c r="D340" s="27"/>
    </row>
    <row r="341" spans="1:130" s="24" customFormat="1">
      <c r="A341" s="85"/>
      <c r="B341" s="57">
        <v>43709</v>
      </c>
      <c r="C341" s="58"/>
      <c r="D341" s="27"/>
    </row>
    <row r="342" spans="1:130" s="24" customFormat="1">
      <c r="A342" s="85"/>
      <c r="B342" s="57">
        <v>43678</v>
      </c>
      <c r="C342" s="58"/>
      <c r="D342" s="27"/>
    </row>
    <row r="343" spans="1:130" s="24" customFormat="1">
      <c r="A343" s="85"/>
      <c r="B343" s="57">
        <v>43647</v>
      </c>
      <c r="C343" s="58"/>
      <c r="D343" s="27"/>
    </row>
    <row r="344" spans="1:130" s="24" customFormat="1">
      <c r="A344" s="85"/>
      <c r="B344" s="57">
        <v>43617</v>
      </c>
      <c r="C344" s="58"/>
      <c r="D344" s="25"/>
      <c r="E344" s="25"/>
      <c r="F344" s="25"/>
      <c r="G344" s="25"/>
      <c r="H344" s="25"/>
      <c r="I344" s="25"/>
      <c r="J344" s="25"/>
      <c r="K344" s="25"/>
      <c r="L344" s="25"/>
      <c r="M344" s="30"/>
      <c r="N344" s="30"/>
      <c r="O344" s="30"/>
      <c r="P344" s="30"/>
      <c r="Q344" s="26"/>
      <c r="R344" s="26"/>
      <c r="S344" s="26"/>
      <c r="T344" s="26"/>
      <c r="U344" s="26"/>
      <c r="V344" s="26"/>
      <c r="W344" s="26"/>
      <c r="X344" s="26"/>
      <c r="Y344" s="26"/>
      <c r="Z344" s="26"/>
      <c r="AA344" s="26"/>
      <c r="AB344" s="26"/>
      <c r="AC344" s="26"/>
      <c r="AD344" s="26"/>
      <c r="AE344" s="26"/>
      <c r="AF344" s="26"/>
      <c r="AG344" s="26"/>
      <c r="AH344" s="26"/>
      <c r="AI344" s="26"/>
      <c r="AJ344" s="26"/>
      <c r="AK344" s="26"/>
      <c r="AL344" s="26"/>
      <c r="AM344" s="26"/>
      <c r="AN344" s="26"/>
      <c r="AO344" s="26"/>
      <c r="AP344" s="26"/>
      <c r="AQ344" s="26"/>
      <c r="AR344" s="26"/>
      <c r="AS344" s="26"/>
      <c r="AT344" s="26"/>
      <c r="AU344" s="26"/>
      <c r="AV344" s="26"/>
      <c r="AW344" s="26"/>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6"/>
      <c r="BX344" s="26"/>
      <c r="BY344" s="26"/>
      <c r="BZ344" s="26"/>
      <c r="CA344" s="26"/>
      <c r="CB344" s="26"/>
      <c r="CC344" s="26"/>
      <c r="CD344" s="26"/>
      <c r="CE344" s="26"/>
      <c r="CF344" s="26"/>
      <c r="CG344" s="26"/>
      <c r="CH344" s="26"/>
      <c r="CI344" s="26"/>
      <c r="CJ344" s="26"/>
      <c r="CK344" s="26"/>
      <c r="CL344" s="26"/>
      <c r="CM344" s="26"/>
      <c r="CN344" s="26"/>
      <c r="CO344" s="26"/>
      <c r="CP344" s="26"/>
      <c r="CQ344" s="26"/>
      <c r="CR344" s="26"/>
      <c r="CS344" s="26"/>
      <c r="CT344" s="26"/>
      <c r="CU344" s="26"/>
      <c r="CV344" s="26"/>
      <c r="CW344" s="26"/>
      <c r="CX344" s="26"/>
      <c r="CY344" s="26"/>
      <c r="CZ344" s="26"/>
      <c r="DA344" s="26"/>
      <c r="DB344" s="26"/>
      <c r="DC344" s="26"/>
      <c r="DD344" s="26"/>
      <c r="DE344" s="26"/>
      <c r="DF344" s="26"/>
      <c r="DG344" s="26"/>
      <c r="DH344" s="26"/>
      <c r="DI344" s="26"/>
      <c r="DJ344" s="26"/>
      <c r="DK344" s="26"/>
      <c r="DL344" s="26"/>
      <c r="DM344" s="26"/>
      <c r="DN344" s="26"/>
      <c r="DO344" s="26"/>
      <c r="DP344" s="26"/>
      <c r="DQ344" s="26"/>
      <c r="DR344" s="26"/>
      <c r="DS344" s="26"/>
      <c r="DT344" s="26"/>
      <c r="DU344" s="26"/>
      <c r="DV344" s="26"/>
      <c r="DW344" s="26"/>
      <c r="DX344" s="26"/>
      <c r="DY344" s="26"/>
      <c r="DZ344" s="26"/>
    </row>
    <row r="345" spans="1:130" s="24" customFormat="1">
      <c r="A345" s="85"/>
      <c r="B345" s="57">
        <v>43586</v>
      </c>
      <c r="C345" s="58"/>
      <c r="D345" s="27"/>
    </row>
    <row r="346" spans="1:130" s="24" customFormat="1">
      <c r="A346" s="85"/>
      <c r="B346" s="57">
        <v>43556</v>
      </c>
      <c r="C346" s="58" t="s">
        <v>241</v>
      </c>
      <c r="D346" s="27"/>
    </row>
    <row r="347" spans="1:130" s="24" customFormat="1">
      <c r="A347" s="85"/>
      <c r="B347" s="57">
        <v>43525</v>
      </c>
      <c r="C347" s="58" t="s">
        <v>231</v>
      </c>
      <c r="D347" s="27"/>
    </row>
    <row r="348" spans="1:130" s="24" customFormat="1">
      <c r="A348" s="85"/>
      <c r="B348" s="57">
        <v>43497</v>
      </c>
      <c r="C348" s="58" t="s">
        <v>220</v>
      </c>
      <c r="D348" s="27"/>
    </row>
    <row r="349" spans="1:130" s="24" customFormat="1">
      <c r="A349" s="85"/>
      <c r="B349" s="57">
        <v>43466</v>
      </c>
      <c r="C349" s="58"/>
      <c r="D349" s="25"/>
      <c r="E349" s="25"/>
      <c r="F349" s="25"/>
      <c r="G349" s="25"/>
      <c r="H349" s="25"/>
      <c r="I349" s="25"/>
      <c r="J349" s="25"/>
      <c r="K349" s="25"/>
      <c r="L349" s="25"/>
      <c r="M349" s="30"/>
      <c r="N349" s="30"/>
      <c r="O349" s="30"/>
      <c r="P349" s="30"/>
      <c r="Q349" s="26"/>
      <c r="R349" s="26"/>
      <c r="S349" s="26"/>
      <c r="T349" s="26"/>
      <c r="U349" s="26"/>
      <c r="V349" s="26"/>
      <c r="W349" s="26"/>
      <c r="X349" s="26"/>
      <c r="Y349" s="26"/>
      <c r="Z349" s="26"/>
      <c r="AA349" s="26"/>
      <c r="AB349" s="26"/>
      <c r="AC349" s="26"/>
      <c r="AD349" s="26"/>
      <c r="AE349" s="26"/>
      <c r="AF349" s="26"/>
      <c r="AG349" s="26"/>
      <c r="AH349" s="26"/>
      <c r="AI349" s="26"/>
      <c r="AJ349" s="26"/>
      <c r="AK349" s="26"/>
      <c r="AL349" s="26"/>
      <c r="AM349" s="26"/>
      <c r="AN349" s="26"/>
      <c r="AO349" s="26"/>
      <c r="AP349" s="26"/>
      <c r="AQ349" s="26"/>
      <c r="AR349" s="26"/>
      <c r="AS349" s="26"/>
      <c r="AT349" s="26"/>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26"/>
      <c r="CG349" s="26"/>
      <c r="CH349" s="26"/>
      <c r="CI349" s="26"/>
      <c r="CJ349" s="26"/>
      <c r="CK349" s="26"/>
      <c r="CL349" s="26"/>
      <c r="CM349" s="26"/>
      <c r="CN349" s="26"/>
      <c r="CO349" s="26"/>
      <c r="CP349" s="26"/>
      <c r="CQ349" s="26"/>
      <c r="CR349" s="26"/>
      <c r="CS349" s="26"/>
      <c r="CT349" s="26"/>
      <c r="CU349" s="26"/>
      <c r="CV349" s="26"/>
      <c r="CW349" s="26"/>
      <c r="CX349" s="26"/>
      <c r="CY349" s="26"/>
      <c r="CZ349" s="26"/>
      <c r="DA349" s="26"/>
      <c r="DB349" s="26"/>
      <c r="DC349" s="26"/>
      <c r="DD349" s="26"/>
      <c r="DE349" s="26"/>
      <c r="DF349" s="26"/>
      <c r="DG349" s="26"/>
      <c r="DH349" s="26"/>
      <c r="DI349" s="26"/>
      <c r="DJ349" s="26"/>
      <c r="DK349" s="26"/>
      <c r="DL349" s="26"/>
      <c r="DM349" s="26"/>
      <c r="DN349" s="26"/>
      <c r="DO349" s="26"/>
      <c r="DP349" s="26"/>
      <c r="DQ349" s="26"/>
      <c r="DR349" s="26"/>
      <c r="DS349" s="26"/>
      <c r="DT349" s="26"/>
      <c r="DU349" s="26"/>
      <c r="DV349" s="26"/>
      <c r="DW349" s="26"/>
      <c r="DX349" s="26"/>
      <c r="DY349" s="26"/>
      <c r="DZ349" s="26"/>
    </row>
    <row r="350" spans="1:130" s="24" customFormat="1">
      <c r="A350" s="85"/>
      <c r="B350" s="57">
        <v>43435</v>
      </c>
      <c r="C350" s="58"/>
      <c r="D350" s="27"/>
    </row>
    <row r="351" spans="1:130" s="24" customFormat="1">
      <c r="A351" s="85"/>
      <c r="B351" s="57">
        <v>43405</v>
      </c>
      <c r="C351" s="58" t="s">
        <v>184</v>
      </c>
      <c r="D351" s="25"/>
      <c r="E351" s="25"/>
      <c r="F351" s="25"/>
      <c r="G351" s="25"/>
      <c r="H351" s="25"/>
      <c r="I351" s="25"/>
      <c r="J351" s="25"/>
      <c r="K351" s="25"/>
      <c r="L351" s="25"/>
      <c r="M351" s="30"/>
      <c r="N351" s="30"/>
      <c r="O351" s="30"/>
      <c r="P351" s="30"/>
      <c r="Q351" s="26"/>
      <c r="R351" s="26"/>
      <c r="S351" s="26"/>
      <c r="T351" s="26"/>
      <c r="U351" s="26"/>
      <c r="V351" s="26"/>
      <c r="W351" s="26"/>
      <c r="X351" s="26"/>
      <c r="Y351" s="26"/>
      <c r="Z351" s="26"/>
      <c r="AA351" s="26"/>
      <c r="AB351" s="26"/>
      <c r="AC351" s="26"/>
      <c r="AD351" s="26"/>
      <c r="AE351" s="26"/>
      <c r="AF351" s="26"/>
      <c r="AG351" s="26"/>
      <c r="AH351" s="26"/>
      <c r="AI351" s="26"/>
      <c r="AJ351" s="26"/>
      <c r="AK351" s="26"/>
      <c r="AL351" s="26"/>
      <c r="AM351" s="26"/>
      <c r="AN351" s="26"/>
      <c r="AO351" s="26"/>
      <c r="AP351" s="26"/>
      <c r="AQ351" s="26"/>
      <c r="AR351" s="26"/>
      <c r="AS351" s="26"/>
      <c r="AT351" s="26"/>
      <c r="AU351" s="26"/>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26"/>
      <c r="CG351" s="26"/>
      <c r="CH351" s="26"/>
      <c r="CI351" s="26"/>
      <c r="CJ351" s="26"/>
      <c r="CK351" s="26"/>
      <c r="CL351" s="26"/>
      <c r="CM351" s="26"/>
      <c r="CN351" s="26"/>
      <c r="CO351" s="26"/>
      <c r="CP351" s="26"/>
      <c r="CQ351" s="26"/>
      <c r="CR351" s="26"/>
      <c r="CS351" s="26"/>
      <c r="CT351" s="26"/>
      <c r="CU351" s="26"/>
      <c r="CV351" s="26"/>
      <c r="CW351" s="26"/>
      <c r="CX351" s="26"/>
      <c r="CY351" s="26"/>
      <c r="CZ351" s="26"/>
      <c r="DA351" s="26"/>
      <c r="DB351" s="26"/>
      <c r="DC351" s="26"/>
      <c r="DD351" s="26"/>
      <c r="DE351" s="26"/>
      <c r="DF351" s="26"/>
      <c r="DG351" s="26"/>
      <c r="DH351" s="26"/>
      <c r="DI351" s="26"/>
      <c r="DJ351" s="26"/>
      <c r="DK351" s="26"/>
      <c r="DL351" s="26"/>
      <c r="DM351" s="26"/>
      <c r="DN351" s="26"/>
      <c r="DO351" s="26"/>
      <c r="DP351" s="26"/>
      <c r="DQ351" s="26"/>
      <c r="DR351" s="26"/>
      <c r="DS351" s="26"/>
      <c r="DT351" s="26"/>
      <c r="DU351" s="26"/>
      <c r="DV351" s="26"/>
      <c r="DW351" s="26"/>
      <c r="DX351" s="26"/>
      <c r="DY351" s="26"/>
      <c r="DZ351" s="26"/>
    </row>
    <row r="352" spans="1:130" s="24" customFormat="1">
      <c r="A352" s="85"/>
      <c r="B352" s="57">
        <v>43374</v>
      </c>
      <c r="C352" s="58" t="s">
        <v>176</v>
      </c>
      <c r="D352" s="27"/>
    </row>
    <row r="353" spans="1:130" s="24" customFormat="1">
      <c r="A353" s="85"/>
      <c r="B353" s="57">
        <v>43344</v>
      </c>
      <c r="C353" s="58" t="s">
        <v>156</v>
      </c>
      <c r="D353" s="27"/>
    </row>
    <row r="354" spans="1:130" s="24" customFormat="1" ht="14">
      <c r="A354" s="85"/>
      <c r="B354" s="57">
        <v>43313</v>
      </c>
      <c r="C354" s="68" t="s">
        <v>167</v>
      </c>
      <c r="D354" s="27"/>
    </row>
    <row r="355" spans="1:130" s="24" customFormat="1">
      <c r="A355" s="85"/>
      <c r="B355" s="57">
        <v>43282</v>
      </c>
      <c r="C355" s="58"/>
      <c r="D355" s="27"/>
    </row>
    <row r="356" spans="1:130" s="24" customFormat="1">
      <c r="A356" s="85"/>
      <c r="B356" s="57">
        <v>43252</v>
      </c>
      <c r="C356" s="58"/>
      <c r="D356" s="25"/>
      <c r="E356" s="25"/>
      <c r="F356" s="25"/>
      <c r="G356" s="25"/>
      <c r="H356" s="25"/>
      <c r="I356" s="25"/>
      <c r="J356" s="25"/>
      <c r="K356" s="25"/>
      <c r="L356" s="25"/>
      <c r="M356" s="30"/>
      <c r="N356" s="30"/>
      <c r="O356" s="30"/>
      <c r="P356" s="30"/>
      <c r="Q356" s="26"/>
      <c r="R356" s="26"/>
      <c r="S356" s="26"/>
      <c r="T356" s="26"/>
      <c r="U356" s="26"/>
      <c r="V356" s="26"/>
      <c r="W356" s="26"/>
      <c r="X356" s="26"/>
      <c r="Y356" s="26"/>
      <c r="Z356" s="26"/>
      <c r="AA356" s="26"/>
      <c r="AB356" s="26"/>
      <c r="AC356" s="26"/>
      <c r="AD356" s="26"/>
      <c r="AE356" s="26"/>
      <c r="AF356" s="26"/>
      <c r="AG356" s="26"/>
      <c r="AH356" s="26"/>
      <c r="AI356" s="26"/>
      <c r="AJ356" s="26"/>
      <c r="AK356" s="26"/>
      <c r="AL356" s="26"/>
      <c r="AM356" s="26"/>
      <c r="AN356" s="26"/>
      <c r="AO356" s="26"/>
      <c r="AP356" s="26"/>
      <c r="AQ356" s="26"/>
      <c r="AR356" s="26"/>
      <c r="AS356" s="26"/>
      <c r="AT356" s="26"/>
      <c r="AU356" s="26"/>
      <c r="AV356" s="26"/>
      <c r="AW356" s="26"/>
      <c r="AX356" s="26"/>
      <c r="AY356" s="26"/>
      <c r="AZ356" s="26"/>
      <c r="BA356" s="26"/>
      <c r="BB356" s="26"/>
      <c r="BC356" s="26"/>
      <c r="BD356" s="26"/>
      <c r="BE356" s="26"/>
      <c r="BF356" s="26"/>
      <c r="BG356" s="26"/>
      <c r="BH356" s="26"/>
      <c r="BI356" s="26"/>
      <c r="BJ356" s="26"/>
      <c r="BK356" s="26"/>
      <c r="BL356" s="26"/>
      <c r="BM356" s="26"/>
      <c r="BN356" s="26"/>
      <c r="BO356" s="26"/>
      <c r="BP356" s="26"/>
      <c r="BQ356" s="26"/>
      <c r="BR356" s="26"/>
      <c r="BS356" s="26"/>
      <c r="BT356" s="26"/>
      <c r="BU356" s="26"/>
      <c r="BV356" s="26"/>
      <c r="BW356" s="26"/>
      <c r="BX356" s="26"/>
      <c r="BY356" s="26"/>
      <c r="BZ356" s="26"/>
      <c r="CA356" s="26"/>
      <c r="CB356" s="26"/>
      <c r="CC356" s="26"/>
      <c r="CD356" s="26"/>
      <c r="CE356" s="26"/>
      <c r="CF356" s="26"/>
      <c r="CG356" s="26"/>
      <c r="CH356" s="26"/>
      <c r="CI356" s="26"/>
      <c r="CJ356" s="26"/>
      <c r="CK356" s="26"/>
      <c r="CL356" s="26"/>
      <c r="CM356" s="26"/>
      <c r="CN356" s="26"/>
      <c r="CO356" s="26"/>
      <c r="CP356" s="26"/>
      <c r="CQ356" s="26"/>
      <c r="CR356" s="26"/>
      <c r="CS356" s="26"/>
      <c r="CT356" s="26"/>
      <c r="CU356" s="26"/>
      <c r="CV356" s="26"/>
      <c r="CW356" s="26"/>
      <c r="CX356" s="26"/>
      <c r="CY356" s="26"/>
      <c r="CZ356" s="26"/>
      <c r="DA356" s="26"/>
      <c r="DB356" s="26"/>
      <c r="DC356" s="26"/>
      <c r="DD356" s="26"/>
      <c r="DE356" s="26"/>
      <c r="DF356" s="26"/>
      <c r="DG356" s="26"/>
      <c r="DH356" s="26"/>
      <c r="DI356" s="26"/>
      <c r="DJ356" s="26"/>
      <c r="DK356" s="26"/>
      <c r="DL356" s="26"/>
      <c r="DM356" s="26"/>
      <c r="DN356" s="26"/>
      <c r="DO356" s="26"/>
      <c r="DP356" s="26"/>
      <c r="DQ356" s="26"/>
      <c r="DR356" s="26"/>
      <c r="DS356" s="26"/>
      <c r="DT356" s="26"/>
      <c r="DU356" s="26"/>
      <c r="DV356" s="26"/>
      <c r="DW356" s="26"/>
      <c r="DX356" s="26"/>
      <c r="DY356" s="26"/>
      <c r="DZ356" s="26"/>
    </row>
    <row r="357" spans="1:130" s="24" customFormat="1">
      <c r="A357" s="85"/>
      <c r="B357" s="57">
        <v>43221</v>
      </c>
      <c r="C357" s="58"/>
      <c r="D357" s="27"/>
    </row>
    <row r="358" spans="1:130" s="24" customFormat="1">
      <c r="A358" s="85"/>
      <c r="B358" s="57">
        <v>43191</v>
      </c>
      <c r="C358" s="58" t="s">
        <v>125</v>
      </c>
      <c r="D358" s="27"/>
    </row>
    <row r="359" spans="1:130" s="24" customFormat="1">
      <c r="A359" s="85"/>
      <c r="B359" s="57">
        <v>43160</v>
      </c>
      <c r="C359" s="58" t="s">
        <v>107</v>
      </c>
      <c r="D359" s="27"/>
    </row>
    <row r="360" spans="1:130" s="24" customFormat="1">
      <c r="A360" s="85"/>
      <c r="B360" s="57">
        <v>43132</v>
      </c>
      <c r="C360" s="66" t="s">
        <v>99</v>
      </c>
      <c r="D360" s="27"/>
    </row>
    <row r="361" spans="1:130" s="24" customFormat="1">
      <c r="A361" s="85"/>
      <c r="B361" s="57">
        <v>43101</v>
      </c>
      <c r="C361" s="59" t="s">
        <v>82</v>
      </c>
      <c r="D361" s="25"/>
      <c r="E361" s="25"/>
      <c r="F361" s="25"/>
      <c r="G361" s="25"/>
      <c r="H361" s="25"/>
      <c r="I361" s="25"/>
      <c r="J361" s="25"/>
      <c r="K361" s="25"/>
      <c r="L361" s="25"/>
      <c r="M361" s="30"/>
      <c r="N361" s="30"/>
      <c r="O361" s="30"/>
      <c r="P361" s="26"/>
      <c r="Q361" s="26"/>
      <c r="R361" s="26"/>
      <c r="S361" s="26"/>
      <c r="T361" s="26"/>
      <c r="U361" s="26"/>
      <c r="V361" s="26"/>
      <c r="W361" s="26"/>
      <c r="X361" s="26"/>
      <c r="Y361" s="26"/>
      <c r="Z361" s="26"/>
      <c r="AA361" s="26"/>
      <c r="AB361" s="26"/>
      <c r="AC361" s="26"/>
      <c r="AD361" s="26"/>
      <c r="AE361" s="26"/>
      <c r="AF361" s="26"/>
      <c r="AG361" s="26"/>
      <c r="AH361" s="26"/>
      <c r="AI361" s="26"/>
      <c r="AJ361" s="26"/>
      <c r="AK361" s="26"/>
      <c r="AL361" s="26"/>
      <c r="AM361" s="26"/>
      <c r="AN361" s="26"/>
      <c r="AO361" s="26"/>
      <c r="AP361" s="26"/>
      <c r="AQ361" s="26"/>
      <c r="AR361" s="26"/>
      <c r="AS361" s="26"/>
      <c r="AT361" s="26"/>
      <c r="AU361" s="26"/>
      <c r="AV361" s="26"/>
      <c r="AW361" s="26"/>
      <c r="AX361" s="26"/>
      <c r="AY361" s="26"/>
      <c r="AZ361" s="26"/>
      <c r="BA361" s="26"/>
      <c r="BB361" s="26"/>
      <c r="BC361" s="26"/>
      <c r="BD361" s="26"/>
      <c r="BE361" s="26"/>
      <c r="BF361" s="26"/>
      <c r="BG361" s="26"/>
      <c r="BH361" s="26"/>
      <c r="BI361" s="26"/>
      <c r="BJ361" s="26"/>
      <c r="BK361" s="26"/>
      <c r="BL361" s="26"/>
      <c r="BM361" s="26"/>
      <c r="BN361" s="26"/>
      <c r="BO361" s="26"/>
      <c r="BP361" s="26"/>
      <c r="BQ361" s="26"/>
      <c r="BR361" s="26"/>
      <c r="BS361" s="26"/>
      <c r="BT361" s="26"/>
      <c r="BU361" s="26"/>
      <c r="BV361" s="26"/>
      <c r="BW361" s="26"/>
      <c r="BX361" s="26"/>
      <c r="BY361" s="26"/>
      <c r="BZ361" s="26"/>
      <c r="CA361" s="26"/>
      <c r="CB361" s="26"/>
      <c r="CC361" s="26"/>
      <c r="CD361" s="26"/>
      <c r="CE361" s="26"/>
      <c r="CF361" s="26"/>
      <c r="CG361" s="26"/>
      <c r="CH361" s="26"/>
      <c r="CI361" s="26"/>
      <c r="CJ361" s="26"/>
      <c r="CK361" s="26"/>
      <c r="CL361" s="26"/>
      <c r="CM361" s="26"/>
      <c r="CN361" s="26"/>
      <c r="CO361" s="26"/>
      <c r="CP361" s="26"/>
      <c r="CQ361" s="26"/>
      <c r="CR361" s="26"/>
      <c r="CS361" s="26"/>
      <c r="CT361" s="26"/>
      <c r="CU361" s="26"/>
      <c r="CV361" s="26"/>
      <c r="CW361" s="26"/>
      <c r="CX361" s="26"/>
      <c r="CY361" s="26"/>
      <c r="CZ361" s="26"/>
      <c r="DA361" s="26"/>
      <c r="DB361" s="26"/>
      <c r="DC361" s="26"/>
      <c r="DD361" s="26"/>
      <c r="DE361" s="26"/>
      <c r="DF361" s="26"/>
      <c r="DG361" s="26"/>
      <c r="DH361" s="26"/>
      <c r="DI361" s="26"/>
      <c r="DJ361" s="26"/>
      <c r="DK361" s="26"/>
      <c r="DL361" s="26"/>
      <c r="DM361" s="26"/>
      <c r="DN361" s="26"/>
      <c r="DO361" s="26"/>
      <c r="DP361" s="26"/>
      <c r="DQ361" s="26"/>
      <c r="DR361" s="26"/>
      <c r="DS361" s="26"/>
      <c r="DT361" s="26"/>
      <c r="DU361" s="26"/>
      <c r="DV361" s="26"/>
      <c r="DW361" s="26"/>
      <c r="DX361" s="26"/>
      <c r="DY361" s="26"/>
      <c r="DZ361" s="26"/>
    </row>
    <row r="362" spans="1:130" s="22" customFormat="1" ht="12.75" customHeight="1">
      <c r="A362" s="85"/>
      <c r="B362" s="60">
        <v>43070</v>
      </c>
      <c r="C362" s="59" t="s">
        <v>83</v>
      </c>
      <c r="D362" s="31"/>
      <c r="E362" s="31"/>
      <c r="F362" s="31"/>
      <c r="G362" s="31"/>
      <c r="H362" s="31"/>
      <c r="I362" s="31"/>
      <c r="J362" s="31"/>
      <c r="K362" s="31"/>
      <c r="L362" s="31"/>
      <c r="M362" s="31"/>
      <c r="N362" s="31"/>
      <c r="O362" s="31"/>
    </row>
    <row r="363" spans="1:130" s="22" customFormat="1">
      <c r="A363" s="85"/>
      <c r="B363" s="60">
        <v>43040</v>
      </c>
      <c r="C363" s="59" t="s">
        <v>84</v>
      </c>
      <c r="D363" s="31"/>
      <c r="E363" s="31"/>
      <c r="F363" s="31"/>
      <c r="G363" s="31"/>
      <c r="H363" s="31"/>
      <c r="I363" s="31"/>
      <c r="J363" s="31"/>
      <c r="K363" s="31"/>
      <c r="L363" s="31"/>
      <c r="M363" s="31"/>
      <c r="N363" s="31"/>
      <c r="O363" s="31"/>
    </row>
    <row r="364" spans="1:130" s="22" customFormat="1">
      <c r="A364" s="85"/>
      <c r="B364" s="60">
        <v>43009</v>
      </c>
      <c r="C364" s="59" t="s">
        <v>85</v>
      </c>
      <c r="D364" s="31"/>
      <c r="E364" s="31"/>
      <c r="F364" s="31"/>
      <c r="G364" s="31"/>
      <c r="H364" s="31"/>
      <c r="I364" s="31"/>
      <c r="J364" s="31"/>
      <c r="K364" s="31"/>
      <c r="L364" s="31"/>
      <c r="M364" s="31"/>
      <c r="N364" s="31"/>
      <c r="O364" s="31"/>
    </row>
    <row r="365" spans="1:130" s="23" customFormat="1">
      <c r="A365" s="85"/>
      <c r="B365" s="60">
        <v>42979</v>
      </c>
      <c r="C365" s="58"/>
      <c r="D365" s="32"/>
      <c r="E365" s="32"/>
      <c r="F365" s="32"/>
      <c r="G365" s="32"/>
      <c r="H365" s="32"/>
      <c r="I365" s="32"/>
      <c r="J365" s="32"/>
      <c r="K365" s="32"/>
      <c r="L365" s="32"/>
      <c r="M365" s="32"/>
      <c r="N365" s="32"/>
      <c r="O365" s="32"/>
    </row>
    <row r="366" spans="1:130" s="24" customFormat="1" ht="16" customHeight="1">
      <c r="A366" s="84" t="s">
        <v>35</v>
      </c>
      <c r="B366" s="62">
        <v>43800</v>
      </c>
      <c r="C366" s="63"/>
      <c r="D366" s="27"/>
    </row>
    <row r="367" spans="1:130" s="24" customFormat="1">
      <c r="A367" s="84"/>
      <c r="B367" s="62">
        <v>43770</v>
      </c>
      <c r="C367" s="63"/>
      <c r="D367" s="25"/>
      <c r="E367" s="25"/>
      <c r="F367" s="25"/>
      <c r="G367" s="25"/>
      <c r="H367" s="25"/>
      <c r="I367" s="25"/>
      <c r="J367" s="25"/>
      <c r="K367" s="25"/>
      <c r="L367" s="25"/>
      <c r="M367" s="30"/>
      <c r="N367" s="30"/>
      <c r="O367" s="30"/>
      <c r="P367" s="30"/>
      <c r="Q367" s="26"/>
      <c r="R367" s="26"/>
      <c r="S367" s="26"/>
      <c r="T367" s="26"/>
      <c r="U367" s="26"/>
      <c r="V367" s="26"/>
      <c r="W367" s="26"/>
      <c r="X367" s="26"/>
      <c r="Y367" s="26"/>
      <c r="Z367" s="26"/>
      <c r="AA367" s="26"/>
      <c r="AB367" s="26"/>
      <c r="AC367" s="26"/>
      <c r="AD367" s="26"/>
      <c r="AE367" s="26"/>
      <c r="AF367" s="26"/>
      <c r="AG367" s="26"/>
      <c r="AH367" s="26"/>
      <c r="AI367" s="26"/>
      <c r="AJ367" s="26"/>
      <c r="AK367" s="26"/>
      <c r="AL367" s="26"/>
      <c r="AM367" s="26"/>
      <c r="AN367" s="26"/>
      <c r="AO367" s="26"/>
      <c r="AP367" s="26"/>
      <c r="AQ367" s="26"/>
      <c r="AR367" s="26"/>
      <c r="AS367" s="26"/>
      <c r="AT367" s="26"/>
      <c r="AU367" s="26"/>
      <c r="AV367" s="26"/>
      <c r="AW367" s="26"/>
      <c r="AX367" s="26"/>
      <c r="AY367" s="26"/>
      <c r="AZ367" s="26"/>
      <c r="BA367" s="26"/>
      <c r="BB367" s="26"/>
      <c r="BC367" s="26"/>
      <c r="BD367" s="26"/>
      <c r="BE367" s="26"/>
      <c r="BF367" s="26"/>
      <c r="BG367" s="26"/>
      <c r="BH367" s="26"/>
      <c r="BI367" s="26"/>
      <c r="BJ367" s="26"/>
      <c r="BK367" s="26"/>
      <c r="BL367" s="26"/>
      <c r="BM367" s="26"/>
      <c r="BN367" s="26"/>
      <c r="BO367" s="26"/>
      <c r="BP367" s="26"/>
      <c r="BQ367" s="26"/>
      <c r="BR367" s="26"/>
      <c r="BS367" s="26"/>
      <c r="BT367" s="26"/>
      <c r="BU367" s="26"/>
      <c r="BV367" s="26"/>
      <c r="BW367" s="26"/>
      <c r="BX367" s="26"/>
      <c r="BY367" s="26"/>
      <c r="BZ367" s="26"/>
      <c r="CA367" s="26"/>
      <c r="CB367" s="26"/>
      <c r="CC367" s="26"/>
      <c r="CD367" s="26"/>
      <c r="CE367" s="26"/>
      <c r="CF367" s="26"/>
      <c r="CG367" s="26"/>
      <c r="CH367" s="26"/>
      <c r="CI367" s="26"/>
      <c r="CJ367" s="26"/>
      <c r="CK367" s="26"/>
      <c r="CL367" s="26"/>
      <c r="CM367" s="26"/>
      <c r="CN367" s="26"/>
      <c r="CO367" s="26"/>
      <c r="CP367" s="26"/>
      <c r="CQ367" s="26"/>
      <c r="CR367" s="26"/>
      <c r="CS367" s="26"/>
      <c r="CT367" s="26"/>
      <c r="CU367" s="26"/>
      <c r="CV367" s="26"/>
      <c r="CW367" s="26"/>
      <c r="CX367" s="26"/>
      <c r="CY367" s="26"/>
      <c r="CZ367" s="26"/>
      <c r="DA367" s="26"/>
      <c r="DB367" s="26"/>
      <c r="DC367" s="26"/>
      <c r="DD367" s="26"/>
      <c r="DE367" s="26"/>
      <c r="DF367" s="26"/>
      <c r="DG367" s="26"/>
      <c r="DH367" s="26"/>
      <c r="DI367" s="26"/>
      <c r="DJ367" s="26"/>
      <c r="DK367" s="26"/>
      <c r="DL367" s="26"/>
      <c r="DM367" s="26"/>
      <c r="DN367" s="26"/>
      <c r="DO367" s="26"/>
      <c r="DP367" s="26"/>
      <c r="DQ367" s="26"/>
      <c r="DR367" s="26"/>
      <c r="DS367" s="26"/>
      <c r="DT367" s="26"/>
      <c r="DU367" s="26"/>
      <c r="DV367" s="26"/>
      <c r="DW367" s="26"/>
      <c r="DX367" s="26"/>
      <c r="DY367" s="26"/>
      <c r="DZ367" s="26"/>
    </row>
    <row r="368" spans="1:130" s="24" customFormat="1">
      <c r="A368" s="84"/>
      <c r="B368" s="62">
        <v>43739</v>
      </c>
      <c r="C368" s="63"/>
      <c r="D368" s="27"/>
    </row>
    <row r="369" spans="1:130" s="24" customFormat="1">
      <c r="A369" s="84"/>
      <c r="B369" s="62">
        <v>43709</v>
      </c>
      <c r="C369" s="63"/>
      <c r="D369" s="27"/>
    </row>
    <row r="370" spans="1:130" s="24" customFormat="1">
      <c r="A370" s="84"/>
      <c r="B370" s="62">
        <v>43678</v>
      </c>
      <c r="C370" s="63"/>
      <c r="D370" s="27"/>
    </row>
    <row r="371" spans="1:130" s="24" customFormat="1">
      <c r="A371" s="84"/>
      <c r="B371" s="62">
        <v>43647</v>
      </c>
      <c r="C371" s="63"/>
      <c r="D371" s="27"/>
    </row>
    <row r="372" spans="1:130" s="24" customFormat="1">
      <c r="A372" s="84"/>
      <c r="B372" s="62">
        <v>43617</v>
      </c>
      <c r="C372" s="63"/>
      <c r="D372" s="25"/>
      <c r="E372" s="25"/>
      <c r="F372" s="25"/>
      <c r="G372" s="25"/>
      <c r="H372" s="25"/>
      <c r="I372" s="25"/>
      <c r="J372" s="25"/>
      <c r="K372" s="25"/>
      <c r="L372" s="25"/>
      <c r="M372" s="30"/>
      <c r="N372" s="30"/>
      <c r="O372" s="30"/>
      <c r="P372" s="30"/>
      <c r="Q372" s="26"/>
      <c r="R372" s="26"/>
      <c r="S372" s="26"/>
      <c r="T372" s="26"/>
      <c r="U372" s="26"/>
      <c r="V372" s="26"/>
      <c r="W372" s="26"/>
      <c r="X372" s="26"/>
      <c r="Y372" s="26"/>
      <c r="Z372" s="26"/>
      <c r="AA372" s="26"/>
      <c r="AB372" s="26"/>
      <c r="AC372" s="26"/>
      <c r="AD372" s="26"/>
      <c r="AE372" s="26"/>
      <c r="AF372" s="26"/>
      <c r="AG372" s="26"/>
      <c r="AH372" s="26"/>
      <c r="AI372" s="26"/>
      <c r="AJ372" s="26"/>
      <c r="AK372" s="26"/>
      <c r="AL372" s="26"/>
      <c r="AM372" s="26"/>
      <c r="AN372" s="26"/>
      <c r="AO372" s="26"/>
      <c r="AP372" s="26"/>
      <c r="AQ372" s="26"/>
      <c r="AR372" s="26"/>
      <c r="AS372" s="26"/>
      <c r="AT372" s="26"/>
      <c r="AU372" s="26"/>
      <c r="AV372" s="26"/>
      <c r="AW372" s="26"/>
      <c r="AX372" s="26"/>
      <c r="AY372" s="26"/>
      <c r="AZ372" s="26"/>
      <c r="BA372" s="26"/>
      <c r="BB372" s="26"/>
      <c r="BC372" s="26"/>
      <c r="BD372" s="26"/>
      <c r="BE372" s="26"/>
      <c r="BF372" s="26"/>
      <c r="BG372" s="26"/>
      <c r="BH372" s="26"/>
      <c r="BI372" s="26"/>
      <c r="BJ372" s="26"/>
      <c r="BK372" s="26"/>
      <c r="BL372" s="26"/>
      <c r="BM372" s="26"/>
      <c r="BN372" s="26"/>
      <c r="BO372" s="26"/>
      <c r="BP372" s="26"/>
      <c r="BQ372" s="26"/>
      <c r="BR372" s="26"/>
      <c r="BS372" s="26"/>
      <c r="BT372" s="26"/>
      <c r="BU372" s="26"/>
      <c r="BV372" s="26"/>
      <c r="BW372" s="26"/>
      <c r="BX372" s="26"/>
      <c r="BY372" s="26"/>
      <c r="BZ372" s="26"/>
      <c r="CA372" s="26"/>
      <c r="CB372" s="26"/>
      <c r="CC372" s="26"/>
      <c r="CD372" s="26"/>
      <c r="CE372" s="26"/>
      <c r="CF372" s="26"/>
      <c r="CG372" s="26"/>
      <c r="CH372" s="26"/>
      <c r="CI372" s="26"/>
      <c r="CJ372" s="26"/>
      <c r="CK372" s="26"/>
      <c r="CL372" s="26"/>
      <c r="CM372" s="26"/>
      <c r="CN372" s="26"/>
      <c r="CO372" s="26"/>
      <c r="CP372" s="26"/>
      <c r="CQ372" s="26"/>
      <c r="CR372" s="26"/>
      <c r="CS372" s="26"/>
      <c r="CT372" s="26"/>
      <c r="CU372" s="26"/>
      <c r="CV372" s="26"/>
      <c r="CW372" s="26"/>
      <c r="CX372" s="26"/>
      <c r="CY372" s="26"/>
      <c r="CZ372" s="26"/>
      <c r="DA372" s="26"/>
      <c r="DB372" s="26"/>
      <c r="DC372" s="26"/>
      <c r="DD372" s="26"/>
      <c r="DE372" s="26"/>
      <c r="DF372" s="26"/>
      <c r="DG372" s="26"/>
      <c r="DH372" s="26"/>
      <c r="DI372" s="26"/>
      <c r="DJ372" s="26"/>
      <c r="DK372" s="26"/>
      <c r="DL372" s="26"/>
      <c r="DM372" s="26"/>
      <c r="DN372" s="26"/>
      <c r="DO372" s="26"/>
      <c r="DP372" s="26"/>
      <c r="DQ372" s="26"/>
      <c r="DR372" s="26"/>
      <c r="DS372" s="26"/>
      <c r="DT372" s="26"/>
      <c r="DU372" s="26"/>
      <c r="DV372" s="26"/>
      <c r="DW372" s="26"/>
      <c r="DX372" s="26"/>
      <c r="DY372" s="26"/>
      <c r="DZ372" s="26"/>
    </row>
    <row r="373" spans="1:130" s="24" customFormat="1">
      <c r="A373" s="84"/>
      <c r="B373" s="62">
        <v>43586</v>
      </c>
      <c r="C373" s="63"/>
      <c r="D373" s="27"/>
    </row>
    <row r="374" spans="1:130" s="24" customFormat="1">
      <c r="A374" s="84"/>
      <c r="B374" s="62">
        <v>43556</v>
      </c>
      <c r="C374" s="63" t="s">
        <v>242</v>
      </c>
      <c r="D374" s="27"/>
    </row>
    <row r="375" spans="1:130" s="24" customFormat="1">
      <c r="A375" s="84"/>
      <c r="B375" s="62">
        <v>43525</v>
      </c>
      <c r="C375" s="63"/>
      <c r="D375" s="27"/>
    </row>
    <row r="376" spans="1:130" s="24" customFormat="1">
      <c r="A376" s="84"/>
      <c r="B376" s="62">
        <v>43497</v>
      </c>
      <c r="C376" s="63"/>
      <c r="D376" s="27"/>
    </row>
    <row r="377" spans="1:130" s="24" customFormat="1">
      <c r="A377" s="84"/>
      <c r="B377" s="62">
        <v>43466</v>
      </c>
      <c r="C377" s="63"/>
      <c r="D377" s="25"/>
      <c r="E377" s="25"/>
      <c r="F377" s="25"/>
      <c r="G377" s="25"/>
      <c r="H377" s="25"/>
      <c r="I377" s="25"/>
      <c r="J377" s="25"/>
      <c r="K377" s="25"/>
      <c r="L377" s="25"/>
      <c r="M377" s="30"/>
      <c r="N377" s="30"/>
      <c r="O377" s="30"/>
      <c r="P377" s="30"/>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6"/>
      <c r="AN377" s="26"/>
      <c r="AO377" s="26"/>
      <c r="AP377" s="26"/>
      <c r="AQ377" s="26"/>
      <c r="AR377" s="26"/>
      <c r="AS377" s="26"/>
      <c r="AT377" s="26"/>
      <c r="AU377" s="26"/>
      <c r="AV377" s="26"/>
      <c r="AW377" s="26"/>
      <c r="AX377" s="26"/>
      <c r="AY377" s="26"/>
      <c r="AZ377" s="26"/>
      <c r="BA377" s="26"/>
      <c r="BB377" s="26"/>
      <c r="BC377" s="26"/>
      <c r="BD377" s="26"/>
      <c r="BE377" s="26"/>
      <c r="BF377" s="26"/>
      <c r="BG377" s="26"/>
      <c r="BH377" s="26"/>
      <c r="BI377" s="26"/>
      <c r="BJ377" s="26"/>
      <c r="BK377" s="26"/>
      <c r="BL377" s="26"/>
      <c r="BM377" s="26"/>
      <c r="BN377" s="26"/>
      <c r="BO377" s="26"/>
      <c r="BP377" s="26"/>
      <c r="BQ377" s="26"/>
      <c r="BR377" s="26"/>
      <c r="BS377" s="26"/>
      <c r="BT377" s="26"/>
      <c r="BU377" s="26"/>
      <c r="BV377" s="26"/>
      <c r="BW377" s="26"/>
      <c r="BX377" s="26"/>
      <c r="BY377" s="26"/>
      <c r="BZ377" s="26"/>
      <c r="CA377" s="26"/>
      <c r="CB377" s="26"/>
      <c r="CC377" s="26"/>
      <c r="CD377" s="26"/>
      <c r="CE377" s="26"/>
      <c r="CF377" s="26"/>
      <c r="CG377" s="26"/>
      <c r="CH377" s="26"/>
      <c r="CI377" s="26"/>
      <c r="CJ377" s="26"/>
      <c r="CK377" s="26"/>
      <c r="CL377" s="26"/>
      <c r="CM377" s="26"/>
      <c r="CN377" s="26"/>
      <c r="CO377" s="26"/>
      <c r="CP377" s="26"/>
      <c r="CQ377" s="26"/>
      <c r="CR377" s="26"/>
      <c r="CS377" s="26"/>
      <c r="CT377" s="26"/>
      <c r="CU377" s="26"/>
      <c r="CV377" s="26"/>
      <c r="CW377" s="26"/>
      <c r="CX377" s="26"/>
      <c r="CY377" s="26"/>
      <c r="CZ377" s="26"/>
      <c r="DA377" s="26"/>
      <c r="DB377" s="26"/>
      <c r="DC377" s="26"/>
      <c r="DD377" s="26"/>
      <c r="DE377" s="26"/>
      <c r="DF377" s="26"/>
      <c r="DG377" s="26"/>
      <c r="DH377" s="26"/>
      <c r="DI377" s="26"/>
      <c r="DJ377" s="26"/>
      <c r="DK377" s="26"/>
      <c r="DL377" s="26"/>
      <c r="DM377" s="26"/>
      <c r="DN377" s="26"/>
      <c r="DO377" s="26"/>
      <c r="DP377" s="26"/>
      <c r="DQ377" s="26"/>
      <c r="DR377" s="26"/>
      <c r="DS377" s="26"/>
      <c r="DT377" s="26"/>
      <c r="DU377" s="26"/>
      <c r="DV377" s="26"/>
      <c r="DW377" s="26"/>
      <c r="DX377" s="26"/>
      <c r="DY377" s="26"/>
      <c r="DZ377" s="26"/>
    </row>
    <row r="378" spans="1:130" s="24" customFormat="1">
      <c r="A378" s="84"/>
      <c r="B378" s="62">
        <v>43435</v>
      </c>
      <c r="C378" s="63"/>
      <c r="D378" s="27"/>
    </row>
    <row r="379" spans="1:130" s="24" customFormat="1">
      <c r="A379" s="84"/>
      <c r="B379" s="62">
        <v>43405</v>
      </c>
      <c r="C379" s="63" t="s">
        <v>185</v>
      </c>
      <c r="D379" s="25"/>
      <c r="E379" s="25"/>
      <c r="F379" s="25"/>
      <c r="G379" s="25"/>
      <c r="H379" s="25"/>
      <c r="I379" s="25"/>
      <c r="J379" s="25"/>
      <c r="K379" s="25"/>
      <c r="L379" s="25"/>
      <c r="M379" s="30"/>
      <c r="N379" s="30"/>
      <c r="O379" s="30"/>
      <c r="P379" s="30"/>
      <c r="Q379" s="26"/>
      <c r="R379" s="26"/>
      <c r="S379" s="26"/>
      <c r="T379" s="26"/>
      <c r="U379" s="26"/>
      <c r="V379" s="26"/>
      <c r="W379" s="26"/>
      <c r="X379" s="26"/>
      <c r="Y379" s="26"/>
      <c r="Z379" s="26"/>
      <c r="AA379" s="26"/>
      <c r="AB379" s="26"/>
      <c r="AC379" s="26"/>
      <c r="AD379" s="26"/>
      <c r="AE379" s="26"/>
      <c r="AF379" s="26"/>
      <c r="AG379" s="26"/>
      <c r="AH379" s="26"/>
      <c r="AI379" s="26"/>
      <c r="AJ379" s="26"/>
      <c r="AK379" s="26"/>
      <c r="AL379" s="26"/>
      <c r="AM379" s="26"/>
      <c r="AN379" s="26"/>
      <c r="AO379" s="26"/>
      <c r="AP379" s="26"/>
      <c r="AQ379" s="26"/>
      <c r="AR379" s="26"/>
      <c r="AS379" s="26"/>
      <c r="AT379" s="26"/>
      <c r="AU379" s="26"/>
      <c r="AV379" s="26"/>
      <c r="AW379" s="26"/>
      <c r="AX379" s="26"/>
      <c r="AY379" s="26"/>
      <c r="AZ379" s="26"/>
      <c r="BA379" s="26"/>
      <c r="BB379" s="26"/>
      <c r="BC379" s="26"/>
      <c r="BD379" s="26"/>
      <c r="BE379" s="26"/>
      <c r="BF379" s="26"/>
      <c r="BG379" s="26"/>
      <c r="BH379" s="26"/>
      <c r="BI379" s="26"/>
      <c r="BJ379" s="26"/>
      <c r="BK379" s="26"/>
      <c r="BL379" s="26"/>
      <c r="BM379" s="26"/>
      <c r="BN379" s="26"/>
      <c r="BO379" s="26"/>
      <c r="BP379" s="26"/>
      <c r="BQ379" s="26"/>
      <c r="BR379" s="26"/>
      <c r="BS379" s="26"/>
      <c r="BT379" s="26"/>
      <c r="BU379" s="26"/>
      <c r="BV379" s="26"/>
      <c r="BW379" s="26"/>
      <c r="BX379" s="26"/>
      <c r="BY379" s="26"/>
      <c r="BZ379" s="26"/>
      <c r="CA379" s="26"/>
      <c r="CB379" s="26"/>
      <c r="CC379" s="26"/>
      <c r="CD379" s="26"/>
      <c r="CE379" s="26"/>
      <c r="CF379" s="26"/>
      <c r="CG379" s="26"/>
      <c r="CH379" s="26"/>
      <c r="CI379" s="26"/>
      <c r="CJ379" s="26"/>
      <c r="CK379" s="26"/>
      <c r="CL379" s="26"/>
      <c r="CM379" s="26"/>
      <c r="CN379" s="26"/>
      <c r="CO379" s="26"/>
      <c r="CP379" s="26"/>
      <c r="CQ379" s="26"/>
      <c r="CR379" s="26"/>
      <c r="CS379" s="26"/>
      <c r="CT379" s="26"/>
      <c r="CU379" s="26"/>
      <c r="CV379" s="26"/>
      <c r="CW379" s="26"/>
      <c r="CX379" s="26"/>
      <c r="CY379" s="26"/>
      <c r="CZ379" s="26"/>
      <c r="DA379" s="26"/>
      <c r="DB379" s="26"/>
      <c r="DC379" s="26"/>
      <c r="DD379" s="26"/>
      <c r="DE379" s="26"/>
      <c r="DF379" s="26"/>
      <c r="DG379" s="26"/>
      <c r="DH379" s="26"/>
      <c r="DI379" s="26"/>
      <c r="DJ379" s="26"/>
      <c r="DK379" s="26"/>
      <c r="DL379" s="26"/>
      <c r="DM379" s="26"/>
      <c r="DN379" s="26"/>
      <c r="DO379" s="26"/>
      <c r="DP379" s="26"/>
      <c r="DQ379" s="26"/>
      <c r="DR379" s="26"/>
      <c r="DS379" s="26"/>
      <c r="DT379" s="26"/>
      <c r="DU379" s="26"/>
      <c r="DV379" s="26"/>
      <c r="DW379" s="26"/>
      <c r="DX379" s="26"/>
      <c r="DY379" s="26"/>
      <c r="DZ379" s="26"/>
    </row>
    <row r="380" spans="1:130" s="24" customFormat="1">
      <c r="A380" s="84"/>
      <c r="B380" s="62">
        <v>43374</v>
      </c>
      <c r="C380" s="63" t="s">
        <v>178</v>
      </c>
      <c r="D380" s="27"/>
    </row>
    <row r="381" spans="1:130" s="24" customFormat="1">
      <c r="A381" s="84"/>
      <c r="B381" s="62">
        <v>43344</v>
      </c>
      <c r="C381" s="63"/>
      <c r="D381" s="27"/>
    </row>
    <row r="382" spans="1:130" s="24" customFormat="1">
      <c r="A382" s="84"/>
      <c r="B382" s="62">
        <v>43313</v>
      </c>
      <c r="C382" s="63" t="s">
        <v>168</v>
      </c>
      <c r="D382" s="27"/>
    </row>
    <row r="383" spans="1:130" s="24" customFormat="1">
      <c r="A383" s="84"/>
      <c r="B383" s="62">
        <v>43282</v>
      </c>
      <c r="C383" s="63"/>
      <c r="D383" s="27"/>
    </row>
    <row r="384" spans="1:130" s="24" customFormat="1">
      <c r="A384" s="84"/>
      <c r="B384" s="62">
        <v>43252</v>
      </c>
      <c r="C384" s="63" t="s">
        <v>137</v>
      </c>
      <c r="D384" s="25"/>
      <c r="E384" s="25"/>
      <c r="F384" s="25"/>
      <c r="G384" s="25"/>
      <c r="H384" s="25"/>
      <c r="I384" s="25"/>
      <c r="J384" s="25"/>
      <c r="K384" s="25"/>
      <c r="L384" s="25"/>
      <c r="M384" s="30"/>
      <c r="N384" s="30"/>
      <c r="O384" s="30"/>
      <c r="P384" s="30"/>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6"/>
      <c r="AN384" s="26"/>
      <c r="AO384" s="26"/>
      <c r="AP384" s="26"/>
      <c r="AQ384" s="26"/>
      <c r="AR384" s="26"/>
      <c r="AS384" s="26"/>
      <c r="AT384" s="26"/>
      <c r="AU384" s="26"/>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6"/>
      <c r="BY384" s="26"/>
      <c r="BZ384" s="26"/>
      <c r="CA384" s="26"/>
      <c r="CB384" s="26"/>
      <c r="CC384" s="26"/>
      <c r="CD384" s="26"/>
      <c r="CE384" s="26"/>
      <c r="CF384" s="26"/>
      <c r="CG384" s="26"/>
      <c r="CH384" s="26"/>
      <c r="CI384" s="26"/>
      <c r="CJ384" s="26"/>
      <c r="CK384" s="26"/>
      <c r="CL384" s="26"/>
      <c r="CM384" s="26"/>
      <c r="CN384" s="26"/>
      <c r="CO384" s="26"/>
      <c r="CP384" s="26"/>
      <c r="CQ384" s="26"/>
      <c r="CR384" s="26"/>
      <c r="CS384" s="26"/>
      <c r="CT384" s="26"/>
      <c r="CU384" s="26"/>
      <c r="CV384" s="26"/>
      <c r="CW384" s="26"/>
      <c r="CX384" s="26"/>
      <c r="CY384" s="26"/>
      <c r="CZ384" s="26"/>
      <c r="DA384" s="26"/>
      <c r="DB384" s="26"/>
      <c r="DC384" s="26"/>
      <c r="DD384" s="26"/>
      <c r="DE384" s="26"/>
      <c r="DF384" s="26"/>
      <c r="DG384" s="26"/>
      <c r="DH384" s="26"/>
      <c r="DI384" s="26"/>
      <c r="DJ384" s="26"/>
      <c r="DK384" s="26"/>
      <c r="DL384" s="26"/>
      <c r="DM384" s="26"/>
      <c r="DN384" s="26"/>
      <c r="DO384" s="26"/>
      <c r="DP384" s="26"/>
      <c r="DQ384" s="26"/>
      <c r="DR384" s="26"/>
      <c r="DS384" s="26"/>
      <c r="DT384" s="26"/>
      <c r="DU384" s="26"/>
      <c r="DV384" s="26"/>
      <c r="DW384" s="26"/>
      <c r="DX384" s="26"/>
      <c r="DY384" s="26"/>
      <c r="DZ384" s="26"/>
    </row>
    <row r="385" spans="1:130" s="24" customFormat="1">
      <c r="A385" s="84"/>
      <c r="B385" s="62">
        <v>43221</v>
      </c>
      <c r="C385" s="63" t="s">
        <v>127</v>
      </c>
      <c r="D385" s="27"/>
    </row>
    <row r="386" spans="1:130" s="24" customFormat="1">
      <c r="A386" s="84"/>
      <c r="B386" s="62">
        <v>43191</v>
      </c>
      <c r="C386" s="63" t="s">
        <v>116</v>
      </c>
      <c r="D386" s="27"/>
    </row>
    <row r="387" spans="1:130" s="24" customFormat="1">
      <c r="A387" s="84"/>
      <c r="B387" s="62">
        <v>43160</v>
      </c>
      <c r="C387" s="63"/>
      <c r="D387" s="27"/>
    </row>
    <row r="388" spans="1:130" s="24" customFormat="1">
      <c r="A388" s="84"/>
      <c r="B388" s="62">
        <v>43132</v>
      </c>
      <c r="C388" s="63"/>
      <c r="D388" s="33"/>
    </row>
    <row r="389" spans="1:130" s="24" customFormat="1">
      <c r="A389" s="84"/>
      <c r="B389" s="62">
        <v>43101</v>
      </c>
      <c r="C389" s="64" t="s">
        <v>53</v>
      </c>
      <c r="D389" s="34"/>
      <c r="E389" s="28"/>
      <c r="F389" s="28"/>
      <c r="G389" s="28"/>
      <c r="H389" s="28"/>
      <c r="I389" s="28"/>
      <c r="J389" s="28"/>
      <c r="K389" s="28"/>
      <c r="L389" s="28"/>
      <c r="M389" s="29"/>
      <c r="N389" s="29"/>
      <c r="O389" s="29"/>
      <c r="P389" s="29"/>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6"/>
      <c r="AN389" s="26"/>
      <c r="AO389" s="26"/>
      <c r="AP389" s="26"/>
      <c r="AQ389" s="26"/>
      <c r="AR389" s="26"/>
      <c r="AS389" s="26"/>
      <c r="AT389" s="26"/>
      <c r="AU389" s="26"/>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6"/>
      <c r="BY389" s="26"/>
      <c r="BZ389" s="26"/>
      <c r="CA389" s="26"/>
      <c r="CB389" s="26"/>
      <c r="CC389" s="26"/>
      <c r="CD389" s="26"/>
      <c r="CE389" s="26"/>
      <c r="CF389" s="26"/>
      <c r="CG389" s="26"/>
      <c r="CH389" s="26"/>
      <c r="CI389" s="26"/>
      <c r="CJ389" s="26"/>
      <c r="CK389" s="26"/>
      <c r="CL389" s="26"/>
      <c r="CM389" s="26"/>
      <c r="CN389" s="26"/>
      <c r="CO389" s="26"/>
      <c r="CP389" s="26"/>
      <c r="CQ389" s="26"/>
      <c r="CR389" s="26"/>
      <c r="CS389" s="26"/>
      <c r="CT389" s="26"/>
      <c r="CU389" s="26"/>
      <c r="CV389" s="26"/>
      <c r="CW389" s="26"/>
      <c r="CX389" s="26"/>
      <c r="CY389" s="26"/>
      <c r="CZ389" s="26"/>
      <c r="DA389" s="26"/>
      <c r="DB389" s="26"/>
      <c r="DC389" s="26"/>
      <c r="DD389" s="26"/>
      <c r="DE389" s="26"/>
      <c r="DF389" s="26"/>
      <c r="DG389" s="26"/>
      <c r="DH389" s="26"/>
      <c r="DI389" s="26"/>
      <c r="DJ389" s="26"/>
      <c r="DK389" s="26"/>
      <c r="DL389" s="26"/>
      <c r="DM389" s="26"/>
      <c r="DN389" s="26"/>
      <c r="DO389" s="26"/>
      <c r="DP389" s="26"/>
      <c r="DQ389" s="26"/>
      <c r="DR389" s="26"/>
      <c r="DS389" s="26"/>
      <c r="DT389" s="26"/>
      <c r="DU389" s="26"/>
      <c r="DV389" s="26"/>
      <c r="DW389" s="26"/>
      <c r="DX389" s="26"/>
      <c r="DY389" s="26"/>
      <c r="DZ389" s="26"/>
    </row>
    <row r="390" spans="1:130" s="20" customFormat="1">
      <c r="A390" s="84"/>
      <c r="B390" s="65">
        <v>43070</v>
      </c>
      <c r="C390" s="64" t="s">
        <v>53</v>
      </c>
      <c r="D390" s="35"/>
    </row>
    <row r="391" spans="1:130" s="20" customFormat="1">
      <c r="A391" s="84"/>
      <c r="B391" s="65">
        <v>43040</v>
      </c>
      <c r="C391" s="64" t="s">
        <v>53</v>
      </c>
      <c r="D391" s="35"/>
    </row>
    <row r="392" spans="1:130" s="20" customFormat="1">
      <c r="A392" s="84"/>
      <c r="B392" s="65">
        <v>43009</v>
      </c>
      <c r="C392" s="56" t="s">
        <v>53</v>
      </c>
      <c r="D392" s="35"/>
    </row>
    <row r="393" spans="1:130" s="21" customFormat="1">
      <c r="A393" s="84"/>
      <c r="B393" s="65">
        <v>42979</v>
      </c>
      <c r="C393" s="63"/>
      <c r="D393" s="36"/>
    </row>
    <row r="394" spans="1:130" s="24" customFormat="1" ht="16" customHeight="1">
      <c r="A394" s="85" t="s">
        <v>34</v>
      </c>
      <c r="B394" s="57">
        <v>43800</v>
      </c>
      <c r="C394" s="58"/>
      <c r="D394" s="27"/>
    </row>
    <row r="395" spans="1:130" s="24" customFormat="1">
      <c r="A395" s="85"/>
      <c r="B395" s="57">
        <v>43770</v>
      </c>
      <c r="C395" s="58"/>
      <c r="D395" s="25"/>
      <c r="E395" s="25"/>
      <c r="F395" s="25"/>
      <c r="G395" s="25"/>
      <c r="H395" s="25"/>
      <c r="I395" s="25"/>
      <c r="J395" s="25"/>
      <c r="K395" s="25"/>
      <c r="L395" s="25"/>
      <c r="M395" s="30"/>
      <c r="N395" s="30"/>
      <c r="O395" s="30"/>
      <c r="P395" s="30"/>
      <c r="Q395" s="26"/>
      <c r="R395" s="26"/>
      <c r="S395" s="26"/>
      <c r="T395" s="26"/>
      <c r="U395" s="26"/>
      <c r="V395" s="26"/>
      <c r="W395" s="26"/>
      <c r="X395" s="26"/>
      <c r="Y395" s="26"/>
      <c r="Z395" s="26"/>
      <c r="AA395" s="26"/>
      <c r="AB395" s="26"/>
      <c r="AC395" s="26"/>
      <c r="AD395" s="26"/>
      <c r="AE395" s="26"/>
      <c r="AF395" s="26"/>
      <c r="AG395" s="26"/>
      <c r="AH395" s="26"/>
      <c r="AI395" s="26"/>
      <c r="AJ395" s="26"/>
      <c r="AK395" s="26"/>
      <c r="AL395" s="26"/>
      <c r="AM395" s="26"/>
      <c r="AN395" s="26"/>
      <c r="AO395" s="26"/>
      <c r="AP395" s="26"/>
      <c r="AQ395" s="26"/>
      <c r="AR395" s="26"/>
      <c r="AS395" s="26"/>
      <c r="AT395" s="26"/>
      <c r="AU395" s="26"/>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6"/>
      <c r="BY395" s="26"/>
      <c r="BZ395" s="26"/>
      <c r="CA395" s="26"/>
      <c r="CB395" s="26"/>
      <c r="CC395" s="26"/>
      <c r="CD395" s="26"/>
      <c r="CE395" s="26"/>
      <c r="CF395" s="26"/>
      <c r="CG395" s="26"/>
      <c r="CH395" s="26"/>
      <c r="CI395" s="26"/>
      <c r="CJ395" s="26"/>
      <c r="CK395" s="26"/>
      <c r="CL395" s="26"/>
      <c r="CM395" s="26"/>
      <c r="CN395" s="26"/>
      <c r="CO395" s="26"/>
      <c r="CP395" s="26"/>
      <c r="CQ395" s="26"/>
      <c r="CR395" s="26"/>
      <c r="CS395" s="26"/>
      <c r="CT395" s="26"/>
      <c r="CU395" s="26"/>
      <c r="CV395" s="26"/>
      <c r="CW395" s="26"/>
      <c r="CX395" s="26"/>
      <c r="CY395" s="26"/>
      <c r="CZ395" s="26"/>
      <c r="DA395" s="26"/>
      <c r="DB395" s="26"/>
      <c r="DC395" s="26"/>
      <c r="DD395" s="26"/>
      <c r="DE395" s="26"/>
      <c r="DF395" s="26"/>
      <c r="DG395" s="26"/>
      <c r="DH395" s="26"/>
      <c r="DI395" s="26"/>
      <c r="DJ395" s="26"/>
      <c r="DK395" s="26"/>
      <c r="DL395" s="26"/>
      <c r="DM395" s="26"/>
      <c r="DN395" s="26"/>
      <c r="DO395" s="26"/>
      <c r="DP395" s="26"/>
      <c r="DQ395" s="26"/>
      <c r="DR395" s="26"/>
      <c r="DS395" s="26"/>
      <c r="DT395" s="26"/>
      <c r="DU395" s="26"/>
      <c r="DV395" s="26"/>
      <c r="DW395" s="26"/>
      <c r="DX395" s="26"/>
      <c r="DY395" s="26"/>
      <c r="DZ395" s="26"/>
    </row>
    <row r="396" spans="1:130" s="24" customFormat="1">
      <c r="A396" s="85"/>
      <c r="B396" s="57">
        <v>43739</v>
      </c>
      <c r="C396" s="58"/>
      <c r="D396" s="27"/>
    </row>
    <row r="397" spans="1:130" s="24" customFormat="1">
      <c r="A397" s="85"/>
      <c r="B397" s="57">
        <v>43709</v>
      </c>
      <c r="C397" s="58"/>
      <c r="D397" s="27"/>
    </row>
    <row r="398" spans="1:130" s="24" customFormat="1">
      <c r="A398" s="85"/>
      <c r="B398" s="57">
        <v>43678</v>
      </c>
      <c r="C398" s="58"/>
      <c r="D398" s="27"/>
    </row>
    <row r="399" spans="1:130" s="24" customFormat="1">
      <c r="A399" s="85"/>
      <c r="B399" s="57">
        <v>43647</v>
      </c>
      <c r="C399" s="58"/>
      <c r="D399" s="27"/>
    </row>
    <row r="400" spans="1:130" s="24" customFormat="1">
      <c r="A400" s="85"/>
      <c r="B400" s="57">
        <v>43617</v>
      </c>
      <c r="C400" s="58"/>
      <c r="D400" s="25"/>
      <c r="E400" s="25"/>
      <c r="F400" s="25"/>
      <c r="G400" s="25"/>
      <c r="H400" s="25"/>
      <c r="I400" s="25"/>
      <c r="J400" s="25"/>
      <c r="K400" s="25"/>
      <c r="L400" s="25"/>
      <c r="M400" s="30"/>
      <c r="N400" s="30"/>
      <c r="O400" s="30"/>
      <c r="P400" s="30"/>
      <c r="Q400" s="26"/>
      <c r="R400" s="26"/>
      <c r="S400" s="26"/>
      <c r="T400" s="26"/>
      <c r="U400" s="26"/>
      <c r="V400" s="26"/>
      <c r="W400" s="26"/>
      <c r="X400" s="26"/>
      <c r="Y400" s="26"/>
      <c r="Z400" s="26"/>
      <c r="AA400" s="26"/>
      <c r="AB400" s="26"/>
      <c r="AC400" s="26"/>
      <c r="AD400" s="26"/>
      <c r="AE400" s="26"/>
      <c r="AF400" s="26"/>
      <c r="AG400" s="26"/>
      <c r="AH400" s="26"/>
      <c r="AI400" s="26"/>
      <c r="AJ400" s="26"/>
      <c r="AK400" s="26"/>
      <c r="AL400" s="26"/>
      <c r="AM400" s="26"/>
      <c r="AN400" s="26"/>
      <c r="AO400" s="26"/>
      <c r="AP400" s="26"/>
      <c r="AQ400" s="26"/>
      <c r="AR400" s="26"/>
      <c r="AS400" s="26"/>
      <c r="AT400" s="26"/>
      <c r="AU400" s="26"/>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6"/>
      <c r="BY400" s="26"/>
      <c r="BZ400" s="26"/>
      <c r="CA400" s="26"/>
      <c r="CB400" s="26"/>
      <c r="CC400" s="26"/>
      <c r="CD400" s="26"/>
      <c r="CE400" s="26"/>
      <c r="CF400" s="26"/>
      <c r="CG400" s="26"/>
      <c r="CH400" s="26"/>
      <c r="CI400" s="26"/>
      <c r="CJ400" s="26"/>
      <c r="CK400" s="26"/>
      <c r="CL400" s="26"/>
      <c r="CM400" s="26"/>
      <c r="CN400" s="26"/>
      <c r="CO400" s="26"/>
      <c r="CP400" s="26"/>
      <c r="CQ400" s="26"/>
      <c r="CR400" s="26"/>
      <c r="CS400" s="26"/>
      <c r="CT400" s="26"/>
      <c r="CU400" s="26"/>
      <c r="CV400" s="26"/>
      <c r="CW400" s="26"/>
      <c r="CX400" s="26"/>
      <c r="CY400" s="26"/>
      <c r="CZ400" s="26"/>
      <c r="DA400" s="26"/>
      <c r="DB400" s="26"/>
      <c r="DC400" s="26"/>
      <c r="DD400" s="26"/>
      <c r="DE400" s="26"/>
      <c r="DF400" s="26"/>
      <c r="DG400" s="26"/>
      <c r="DH400" s="26"/>
      <c r="DI400" s="26"/>
      <c r="DJ400" s="26"/>
      <c r="DK400" s="26"/>
      <c r="DL400" s="26"/>
      <c r="DM400" s="26"/>
      <c r="DN400" s="26"/>
      <c r="DO400" s="26"/>
      <c r="DP400" s="26"/>
      <c r="DQ400" s="26"/>
      <c r="DR400" s="26"/>
      <c r="DS400" s="26"/>
      <c r="DT400" s="26"/>
      <c r="DU400" s="26"/>
      <c r="DV400" s="26"/>
      <c r="DW400" s="26"/>
      <c r="DX400" s="26"/>
      <c r="DY400" s="26"/>
      <c r="DZ400" s="26"/>
    </row>
    <row r="401" spans="1:130" s="24" customFormat="1">
      <c r="A401" s="85"/>
      <c r="B401" s="57">
        <v>43586</v>
      </c>
      <c r="C401" s="58"/>
      <c r="D401" s="27"/>
    </row>
    <row r="402" spans="1:130" s="24" customFormat="1">
      <c r="A402" s="85"/>
      <c r="B402" s="57">
        <v>43556</v>
      </c>
      <c r="C402" s="58"/>
      <c r="D402" s="27"/>
    </row>
    <row r="403" spans="1:130" s="24" customFormat="1">
      <c r="A403" s="85"/>
      <c r="B403" s="57">
        <v>43525</v>
      </c>
      <c r="C403" s="58"/>
      <c r="D403" s="27"/>
    </row>
    <row r="404" spans="1:130" s="24" customFormat="1">
      <c r="A404" s="85"/>
      <c r="B404" s="57">
        <v>43497</v>
      </c>
      <c r="C404" s="58"/>
      <c r="D404" s="27"/>
    </row>
    <row r="405" spans="1:130" s="24" customFormat="1">
      <c r="A405" s="85"/>
      <c r="B405" s="57">
        <v>43466</v>
      </c>
      <c r="C405" s="58"/>
      <c r="D405" s="25"/>
      <c r="E405" s="25"/>
      <c r="F405" s="25"/>
      <c r="G405" s="25"/>
      <c r="H405" s="25"/>
      <c r="I405" s="25"/>
      <c r="J405" s="25"/>
      <c r="K405" s="25"/>
      <c r="L405" s="25"/>
      <c r="M405" s="30"/>
      <c r="N405" s="30"/>
      <c r="O405" s="30"/>
      <c r="P405" s="30"/>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6"/>
      <c r="AN405" s="26"/>
      <c r="AO405" s="26"/>
      <c r="AP405" s="26"/>
      <c r="AQ405" s="26"/>
      <c r="AR405" s="26"/>
      <c r="AS405" s="26"/>
      <c r="AT405" s="26"/>
      <c r="AU405" s="26"/>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6"/>
      <c r="BY405" s="26"/>
      <c r="BZ405" s="26"/>
      <c r="CA405" s="26"/>
      <c r="CB405" s="26"/>
      <c r="CC405" s="26"/>
      <c r="CD405" s="26"/>
      <c r="CE405" s="26"/>
      <c r="CF405" s="26"/>
      <c r="CG405" s="26"/>
      <c r="CH405" s="26"/>
      <c r="CI405" s="26"/>
      <c r="CJ405" s="26"/>
      <c r="CK405" s="26"/>
      <c r="CL405" s="26"/>
      <c r="CM405" s="26"/>
      <c r="CN405" s="26"/>
      <c r="CO405" s="26"/>
      <c r="CP405" s="26"/>
      <c r="CQ405" s="26"/>
      <c r="CR405" s="26"/>
      <c r="CS405" s="26"/>
      <c r="CT405" s="26"/>
      <c r="CU405" s="26"/>
      <c r="CV405" s="26"/>
      <c r="CW405" s="26"/>
      <c r="CX405" s="26"/>
      <c r="CY405" s="26"/>
      <c r="CZ405" s="26"/>
      <c r="DA405" s="26"/>
      <c r="DB405" s="26"/>
      <c r="DC405" s="26"/>
      <c r="DD405" s="26"/>
      <c r="DE405" s="26"/>
      <c r="DF405" s="26"/>
      <c r="DG405" s="26"/>
      <c r="DH405" s="26"/>
      <c r="DI405" s="26"/>
      <c r="DJ405" s="26"/>
      <c r="DK405" s="26"/>
      <c r="DL405" s="26"/>
      <c r="DM405" s="26"/>
      <c r="DN405" s="26"/>
      <c r="DO405" s="26"/>
      <c r="DP405" s="26"/>
      <c r="DQ405" s="26"/>
      <c r="DR405" s="26"/>
      <c r="DS405" s="26"/>
      <c r="DT405" s="26"/>
      <c r="DU405" s="26"/>
      <c r="DV405" s="26"/>
      <c r="DW405" s="26"/>
      <c r="DX405" s="26"/>
      <c r="DY405" s="26"/>
      <c r="DZ405" s="26"/>
    </row>
    <row r="406" spans="1:130" s="24" customFormat="1">
      <c r="A406" s="85"/>
      <c r="B406" s="57">
        <v>43435</v>
      </c>
      <c r="C406" s="58"/>
      <c r="D406" s="27"/>
    </row>
    <row r="407" spans="1:130" s="24" customFormat="1">
      <c r="A407" s="85"/>
      <c r="B407" s="57">
        <v>43405</v>
      </c>
      <c r="C407" s="58"/>
      <c r="D407" s="25"/>
      <c r="E407" s="25"/>
      <c r="F407" s="25"/>
      <c r="G407" s="25"/>
      <c r="H407" s="25"/>
      <c r="I407" s="25"/>
      <c r="J407" s="25"/>
      <c r="K407" s="25"/>
      <c r="L407" s="25"/>
      <c r="M407" s="30"/>
      <c r="N407" s="30"/>
      <c r="O407" s="30"/>
      <c r="P407" s="30"/>
      <c r="Q407" s="26"/>
      <c r="R407" s="26"/>
      <c r="S407" s="26"/>
      <c r="T407" s="26"/>
      <c r="U407" s="26"/>
      <c r="V407" s="26"/>
      <c r="W407" s="26"/>
      <c r="X407" s="26"/>
      <c r="Y407" s="26"/>
      <c r="Z407" s="26"/>
      <c r="AA407" s="26"/>
      <c r="AB407" s="26"/>
      <c r="AC407" s="26"/>
      <c r="AD407" s="26"/>
      <c r="AE407" s="26"/>
      <c r="AF407" s="26"/>
      <c r="AG407" s="26"/>
      <c r="AH407" s="26"/>
      <c r="AI407" s="26"/>
      <c r="AJ407" s="26"/>
      <c r="AK407" s="26"/>
      <c r="AL407" s="26"/>
      <c r="AM407" s="26"/>
      <c r="AN407" s="26"/>
      <c r="AO407" s="26"/>
      <c r="AP407" s="26"/>
      <c r="AQ407" s="26"/>
      <c r="AR407" s="26"/>
      <c r="AS407" s="26"/>
      <c r="AT407" s="26"/>
      <c r="AU407" s="26"/>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6"/>
      <c r="BY407" s="26"/>
      <c r="BZ407" s="26"/>
      <c r="CA407" s="26"/>
      <c r="CB407" s="26"/>
      <c r="CC407" s="26"/>
      <c r="CD407" s="26"/>
      <c r="CE407" s="26"/>
      <c r="CF407" s="26"/>
      <c r="CG407" s="26"/>
      <c r="CH407" s="26"/>
      <c r="CI407" s="26"/>
      <c r="CJ407" s="26"/>
      <c r="CK407" s="26"/>
      <c r="CL407" s="26"/>
      <c r="CM407" s="26"/>
      <c r="CN407" s="26"/>
      <c r="CO407" s="26"/>
      <c r="CP407" s="26"/>
      <c r="CQ407" s="26"/>
      <c r="CR407" s="26"/>
      <c r="CS407" s="26"/>
      <c r="CT407" s="26"/>
      <c r="CU407" s="26"/>
      <c r="CV407" s="26"/>
      <c r="CW407" s="26"/>
      <c r="CX407" s="26"/>
      <c r="CY407" s="26"/>
      <c r="CZ407" s="26"/>
      <c r="DA407" s="26"/>
      <c r="DB407" s="26"/>
      <c r="DC407" s="26"/>
      <c r="DD407" s="26"/>
      <c r="DE407" s="26"/>
      <c r="DF407" s="26"/>
      <c r="DG407" s="26"/>
      <c r="DH407" s="26"/>
      <c r="DI407" s="26"/>
      <c r="DJ407" s="26"/>
      <c r="DK407" s="26"/>
      <c r="DL407" s="26"/>
      <c r="DM407" s="26"/>
      <c r="DN407" s="26"/>
      <c r="DO407" s="26"/>
      <c r="DP407" s="26"/>
      <c r="DQ407" s="26"/>
      <c r="DR407" s="26"/>
      <c r="DS407" s="26"/>
      <c r="DT407" s="26"/>
      <c r="DU407" s="26"/>
      <c r="DV407" s="26"/>
      <c r="DW407" s="26"/>
      <c r="DX407" s="26"/>
      <c r="DY407" s="26"/>
      <c r="DZ407" s="26"/>
    </row>
    <row r="408" spans="1:130" s="24" customFormat="1">
      <c r="A408" s="85"/>
      <c r="B408" s="57">
        <v>43374</v>
      </c>
      <c r="C408" s="58"/>
      <c r="D408" s="27"/>
    </row>
    <row r="409" spans="1:130" s="24" customFormat="1">
      <c r="A409" s="85"/>
      <c r="B409" s="57">
        <v>43344</v>
      </c>
      <c r="C409" s="58"/>
      <c r="D409" s="27"/>
    </row>
    <row r="410" spans="1:130" s="24" customFormat="1">
      <c r="A410" s="85"/>
      <c r="B410" s="57">
        <v>43313</v>
      </c>
      <c r="C410" s="58"/>
      <c r="D410" s="27"/>
    </row>
    <row r="411" spans="1:130" s="24" customFormat="1">
      <c r="A411" s="85"/>
      <c r="B411" s="57">
        <v>43282</v>
      </c>
      <c r="C411" s="58"/>
      <c r="D411" s="27"/>
    </row>
    <row r="412" spans="1:130" s="24" customFormat="1">
      <c r="A412" s="85"/>
      <c r="B412" s="57">
        <v>43252</v>
      </c>
      <c r="C412" s="58"/>
      <c r="D412" s="25"/>
      <c r="E412" s="25"/>
      <c r="F412" s="25"/>
      <c r="G412" s="25"/>
      <c r="H412" s="25"/>
      <c r="I412" s="25"/>
      <c r="J412" s="25"/>
      <c r="K412" s="25"/>
      <c r="L412" s="25"/>
      <c r="M412" s="30"/>
      <c r="N412" s="30"/>
      <c r="O412" s="30"/>
      <c r="P412" s="30"/>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6"/>
      <c r="AN412" s="26"/>
      <c r="AO412" s="26"/>
      <c r="AP412" s="26"/>
      <c r="AQ412" s="26"/>
      <c r="AR412" s="26"/>
      <c r="AS412" s="26"/>
      <c r="AT412" s="26"/>
      <c r="AU412" s="26"/>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6"/>
      <c r="BY412" s="26"/>
      <c r="BZ412" s="26"/>
      <c r="CA412" s="26"/>
      <c r="CB412" s="26"/>
      <c r="CC412" s="26"/>
      <c r="CD412" s="26"/>
      <c r="CE412" s="26"/>
      <c r="CF412" s="26"/>
      <c r="CG412" s="26"/>
      <c r="CH412" s="26"/>
      <c r="CI412" s="26"/>
      <c r="CJ412" s="26"/>
      <c r="CK412" s="26"/>
      <c r="CL412" s="26"/>
      <c r="CM412" s="26"/>
      <c r="CN412" s="26"/>
      <c r="CO412" s="26"/>
      <c r="CP412" s="26"/>
      <c r="CQ412" s="26"/>
      <c r="CR412" s="26"/>
      <c r="CS412" s="26"/>
      <c r="CT412" s="26"/>
      <c r="CU412" s="26"/>
      <c r="CV412" s="26"/>
      <c r="CW412" s="26"/>
      <c r="CX412" s="26"/>
      <c r="CY412" s="26"/>
      <c r="CZ412" s="26"/>
      <c r="DA412" s="26"/>
      <c r="DB412" s="26"/>
      <c r="DC412" s="26"/>
      <c r="DD412" s="26"/>
      <c r="DE412" s="26"/>
      <c r="DF412" s="26"/>
      <c r="DG412" s="26"/>
      <c r="DH412" s="26"/>
      <c r="DI412" s="26"/>
      <c r="DJ412" s="26"/>
      <c r="DK412" s="26"/>
      <c r="DL412" s="26"/>
      <c r="DM412" s="26"/>
      <c r="DN412" s="26"/>
      <c r="DO412" s="26"/>
      <c r="DP412" s="26"/>
      <c r="DQ412" s="26"/>
      <c r="DR412" s="26"/>
      <c r="DS412" s="26"/>
      <c r="DT412" s="26"/>
      <c r="DU412" s="26"/>
      <c r="DV412" s="26"/>
      <c r="DW412" s="26"/>
      <c r="DX412" s="26"/>
      <c r="DY412" s="26"/>
      <c r="DZ412" s="26"/>
    </row>
    <row r="413" spans="1:130" s="24" customFormat="1">
      <c r="A413" s="85"/>
      <c r="B413" s="57">
        <v>43221</v>
      </c>
      <c r="C413" s="58"/>
      <c r="D413" s="27"/>
    </row>
    <row r="414" spans="1:130" s="24" customFormat="1">
      <c r="A414" s="85"/>
      <c r="B414" s="57">
        <v>43191</v>
      </c>
      <c r="C414" s="58"/>
      <c r="D414" s="27"/>
    </row>
    <row r="415" spans="1:130" s="24" customFormat="1">
      <c r="A415" s="85"/>
      <c r="B415" s="57">
        <v>43160</v>
      </c>
      <c r="C415" s="58"/>
      <c r="D415" s="27"/>
    </row>
    <row r="416" spans="1:130" s="24" customFormat="1">
      <c r="A416" s="85"/>
      <c r="B416" s="57">
        <v>43132</v>
      </c>
      <c r="C416" s="58"/>
      <c r="D416" s="27"/>
    </row>
    <row r="417" spans="1:130" s="24" customFormat="1">
      <c r="A417" s="85"/>
      <c r="B417" s="57">
        <v>43101</v>
      </c>
      <c r="C417" s="59" t="s">
        <v>53</v>
      </c>
      <c r="D417" s="25"/>
      <c r="E417" s="25"/>
      <c r="F417" s="25"/>
      <c r="G417" s="25"/>
      <c r="H417" s="25"/>
      <c r="I417" s="25"/>
      <c r="J417" s="25"/>
      <c r="K417" s="25"/>
      <c r="L417" s="25"/>
      <c r="M417" s="30"/>
      <c r="N417" s="30"/>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6"/>
      <c r="AN417" s="26"/>
      <c r="AO417" s="26"/>
      <c r="AP417" s="26"/>
      <c r="AQ417" s="26"/>
      <c r="AR417" s="26"/>
      <c r="AS417" s="26"/>
      <c r="AT417" s="26"/>
      <c r="AU417" s="26"/>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6"/>
      <c r="BY417" s="26"/>
      <c r="BZ417" s="26"/>
      <c r="CA417" s="26"/>
      <c r="CB417" s="26"/>
      <c r="CC417" s="26"/>
      <c r="CD417" s="26"/>
      <c r="CE417" s="26"/>
      <c r="CF417" s="26"/>
      <c r="CG417" s="26"/>
      <c r="CH417" s="26"/>
      <c r="CI417" s="26"/>
      <c r="CJ417" s="26"/>
      <c r="CK417" s="26"/>
      <c r="CL417" s="26"/>
      <c r="CM417" s="26"/>
      <c r="CN417" s="26"/>
      <c r="CO417" s="26"/>
      <c r="CP417" s="26"/>
      <c r="CQ417" s="26"/>
      <c r="CR417" s="26"/>
      <c r="CS417" s="26"/>
      <c r="CT417" s="26"/>
      <c r="CU417" s="26"/>
      <c r="CV417" s="26"/>
      <c r="CW417" s="26"/>
      <c r="CX417" s="26"/>
      <c r="CY417" s="26"/>
      <c r="CZ417" s="26"/>
      <c r="DA417" s="26"/>
      <c r="DB417" s="26"/>
      <c r="DC417" s="26"/>
      <c r="DD417" s="26"/>
      <c r="DE417" s="26"/>
      <c r="DF417" s="26"/>
      <c r="DG417" s="26"/>
      <c r="DH417" s="26"/>
      <c r="DI417" s="26"/>
      <c r="DJ417" s="26"/>
      <c r="DK417" s="26"/>
      <c r="DL417" s="26"/>
      <c r="DM417" s="26"/>
      <c r="DN417" s="26"/>
      <c r="DO417" s="26"/>
      <c r="DP417" s="26"/>
      <c r="DQ417" s="26"/>
      <c r="DR417" s="26"/>
      <c r="DS417" s="26"/>
      <c r="DT417" s="26"/>
      <c r="DU417" s="26"/>
      <c r="DV417" s="26"/>
      <c r="DW417" s="26"/>
      <c r="DX417" s="26"/>
      <c r="DY417" s="26"/>
      <c r="DZ417" s="26"/>
    </row>
    <row r="418" spans="1:130" s="22" customFormat="1" ht="12.75" customHeight="1">
      <c r="A418" s="85"/>
      <c r="B418" s="60">
        <v>43070</v>
      </c>
      <c r="C418" s="59" t="s">
        <v>53</v>
      </c>
      <c r="D418" s="31"/>
      <c r="E418" s="31"/>
      <c r="F418" s="31"/>
      <c r="G418" s="31"/>
      <c r="H418" s="31"/>
      <c r="I418" s="31"/>
      <c r="J418" s="31"/>
      <c r="K418" s="31"/>
      <c r="L418" s="31"/>
      <c r="M418" s="31"/>
      <c r="N418" s="31"/>
    </row>
    <row r="419" spans="1:130" s="22" customFormat="1">
      <c r="A419" s="85"/>
      <c r="B419" s="60">
        <v>43040</v>
      </c>
      <c r="C419" s="61" t="s">
        <v>53</v>
      </c>
      <c r="D419" s="31"/>
      <c r="E419" s="31"/>
      <c r="F419" s="31"/>
      <c r="G419" s="31"/>
      <c r="H419" s="31"/>
      <c r="I419" s="31"/>
      <c r="J419" s="31"/>
      <c r="K419" s="31"/>
      <c r="L419" s="31"/>
      <c r="M419" s="31"/>
      <c r="N419" s="31"/>
    </row>
    <row r="420" spans="1:130" s="22" customFormat="1">
      <c r="A420" s="85"/>
      <c r="B420" s="60">
        <v>43009</v>
      </c>
      <c r="C420" s="59" t="s">
        <v>53</v>
      </c>
      <c r="D420" s="31"/>
      <c r="E420" s="31"/>
      <c r="F420" s="31"/>
      <c r="G420" s="31"/>
      <c r="H420" s="31"/>
      <c r="I420" s="31"/>
      <c r="J420" s="31"/>
      <c r="K420" s="31"/>
      <c r="L420" s="31"/>
      <c r="M420" s="31"/>
      <c r="N420" s="31"/>
    </row>
    <row r="421" spans="1:130" s="23" customFormat="1">
      <c r="A421" s="85"/>
      <c r="B421" s="60">
        <v>42979</v>
      </c>
      <c r="C421" s="58"/>
      <c r="D421" s="32"/>
      <c r="E421" s="32"/>
      <c r="F421" s="32"/>
      <c r="G421" s="32"/>
      <c r="H421" s="32"/>
      <c r="I421" s="32"/>
      <c r="J421" s="32"/>
      <c r="K421" s="32"/>
      <c r="L421" s="32"/>
      <c r="M421" s="32"/>
      <c r="N421" s="32"/>
    </row>
    <row r="422" spans="1:130" s="24" customFormat="1" ht="16" customHeight="1">
      <c r="A422" s="84" t="s">
        <v>28</v>
      </c>
      <c r="B422" s="62">
        <v>43800</v>
      </c>
      <c r="C422" s="63"/>
      <c r="D422" s="27"/>
    </row>
    <row r="423" spans="1:130" s="24" customFormat="1">
      <c r="A423" s="84"/>
      <c r="B423" s="62">
        <v>43770</v>
      </c>
      <c r="C423" s="63"/>
      <c r="D423" s="25"/>
      <c r="E423" s="25"/>
      <c r="F423" s="25"/>
      <c r="G423" s="25"/>
      <c r="H423" s="25"/>
      <c r="I423" s="25"/>
      <c r="J423" s="25"/>
      <c r="K423" s="25"/>
      <c r="L423" s="25"/>
      <c r="M423" s="30"/>
      <c r="N423" s="30"/>
      <c r="O423" s="30"/>
      <c r="P423" s="30"/>
      <c r="Q423" s="26"/>
      <c r="R423" s="26"/>
      <c r="S423" s="26"/>
      <c r="T423" s="26"/>
      <c r="U423" s="26"/>
      <c r="V423" s="26"/>
      <c r="W423" s="26"/>
      <c r="X423" s="26"/>
      <c r="Y423" s="26"/>
      <c r="Z423" s="26"/>
      <c r="AA423" s="26"/>
      <c r="AB423" s="26"/>
      <c r="AC423" s="26"/>
      <c r="AD423" s="26"/>
      <c r="AE423" s="26"/>
      <c r="AF423" s="26"/>
      <c r="AG423" s="26"/>
      <c r="AH423" s="26"/>
      <c r="AI423" s="26"/>
      <c r="AJ423" s="26"/>
      <c r="AK423" s="26"/>
      <c r="AL423" s="26"/>
      <c r="AM423" s="26"/>
      <c r="AN423" s="26"/>
      <c r="AO423" s="26"/>
      <c r="AP423" s="26"/>
      <c r="AQ423" s="26"/>
      <c r="AR423" s="26"/>
      <c r="AS423" s="26"/>
      <c r="AT423" s="26"/>
      <c r="AU423" s="26"/>
      <c r="AV423" s="26"/>
      <c r="AW423" s="26"/>
      <c r="AX423" s="26"/>
      <c r="AY423" s="26"/>
      <c r="AZ423" s="26"/>
      <c r="BA423" s="26"/>
      <c r="BB423" s="26"/>
      <c r="BC423" s="26"/>
      <c r="BD423" s="26"/>
      <c r="BE423" s="26"/>
      <c r="BF423" s="26"/>
      <c r="BG423" s="26"/>
      <c r="BH423" s="26"/>
      <c r="BI423" s="26"/>
      <c r="BJ423" s="26"/>
      <c r="BK423" s="26"/>
      <c r="BL423" s="26"/>
      <c r="BM423" s="26"/>
      <c r="BN423" s="26"/>
      <c r="BO423" s="26"/>
      <c r="BP423" s="26"/>
      <c r="BQ423" s="26"/>
      <c r="BR423" s="26"/>
      <c r="BS423" s="26"/>
      <c r="BT423" s="26"/>
      <c r="BU423" s="26"/>
      <c r="BV423" s="26"/>
      <c r="BW423" s="26"/>
      <c r="BX423" s="26"/>
      <c r="BY423" s="26"/>
      <c r="BZ423" s="26"/>
      <c r="CA423" s="26"/>
      <c r="CB423" s="26"/>
      <c r="CC423" s="26"/>
      <c r="CD423" s="26"/>
      <c r="CE423" s="26"/>
      <c r="CF423" s="26"/>
      <c r="CG423" s="26"/>
      <c r="CH423" s="26"/>
      <c r="CI423" s="26"/>
      <c r="CJ423" s="26"/>
      <c r="CK423" s="26"/>
      <c r="CL423" s="26"/>
      <c r="CM423" s="26"/>
      <c r="CN423" s="26"/>
      <c r="CO423" s="26"/>
      <c r="CP423" s="26"/>
      <c r="CQ423" s="26"/>
      <c r="CR423" s="26"/>
      <c r="CS423" s="26"/>
      <c r="CT423" s="26"/>
      <c r="CU423" s="26"/>
      <c r="CV423" s="26"/>
      <c r="CW423" s="26"/>
      <c r="CX423" s="26"/>
      <c r="CY423" s="26"/>
      <c r="CZ423" s="26"/>
      <c r="DA423" s="26"/>
      <c r="DB423" s="26"/>
      <c r="DC423" s="26"/>
      <c r="DD423" s="26"/>
      <c r="DE423" s="26"/>
      <c r="DF423" s="26"/>
      <c r="DG423" s="26"/>
      <c r="DH423" s="26"/>
      <c r="DI423" s="26"/>
      <c r="DJ423" s="26"/>
      <c r="DK423" s="26"/>
      <c r="DL423" s="26"/>
      <c r="DM423" s="26"/>
      <c r="DN423" s="26"/>
      <c r="DO423" s="26"/>
      <c r="DP423" s="26"/>
      <c r="DQ423" s="26"/>
      <c r="DR423" s="26"/>
      <c r="DS423" s="26"/>
      <c r="DT423" s="26"/>
      <c r="DU423" s="26"/>
      <c r="DV423" s="26"/>
      <c r="DW423" s="26"/>
      <c r="DX423" s="26"/>
      <c r="DY423" s="26"/>
      <c r="DZ423" s="26"/>
    </row>
    <row r="424" spans="1:130" s="24" customFormat="1">
      <c r="A424" s="84"/>
      <c r="B424" s="62">
        <v>43739</v>
      </c>
      <c r="C424" s="63"/>
      <c r="D424" s="27"/>
    </row>
    <row r="425" spans="1:130" s="24" customFormat="1">
      <c r="A425" s="84"/>
      <c r="B425" s="62">
        <v>43709</v>
      </c>
      <c r="C425" s="63"/>
      <c r="D425" s="27"/>
    </row>
    <row r="426" spans="1:130" s="24" customFormat="1">
      <c r="A426" s="84"/>
      <c r="B426" s="62">
        <v>43678</v>
      </c>
      <c r="C426" s="63"/>
      <c r="D426" s="27"/>
    </row>
    <row r="427" spans="1:130" s="24" customFormat="1">
      <c r="A427" s="84"/>
      <c r="B427" s="62">
        <v>43647</v>
      </c>
      <c r="C427" s="63"/>
      <c r="D427" s="27"/>
    </row>
    <row r="428" spans="1:130" s="24" customFormat="1">
      <c r="A428" s="84"/>
      <c r="B428" s="62">
        <v>43617</v>
      </c>
      <c r="C428" s="63"/>
      <c r="D428" s="25"/>
      <c r="E428" s="25"/>
      <c r="F428" s="25"/>
      <c r="G428" s="25"/>
      <c r="H428" s="25"/>
      <c r="I428" s="25"/>
      <c r="J428" s="25"/>
      <c r="K428" s="25"/>
      <c r="L428" s="25"/>
      <c r="M428" s="30"/>
      <c r="N428" s="30"/>
      <c r="O428" s="30"/>
      <c r="P428" s="30"/>
      <c r="Q428" s="26"/>
      <c r="R428" s="26"/>
      <c r="S428" s="26"/>
      <c r="T428" s="26"/>
      <c r="U428" s="26"/>
      <c r="V428" s="26"/>
      <c r="W428" s="26"/>
      <c r="X428" s="26"/>
      <c r="Y428" s="26"/>
      <c r="Z428" s="26"/>
      <c r="AA428" s="26"/>
      <c r="AB428" s="26"/>
      <c r="AC428" s="26"/>
      <c r="AD428" s="26"/>
      <c r="AE428" s="26"/>
      <c r="AF428" s="26"/>
      <c r="AG428" s="26"/>
      <c r="AH428" s="26"/>
      <c r="AI428" s="26"/>
      <c r="AJ428" s="26"/>
      <c r="AK428" s="26"/>
      <c r="AL428" s="26"/>
      <c r="AM428" s="26"/>
      <c r="AN428" s="26"/>
      <c r="AO428" s="26"/>
      <c r="AP428" s="26"/>
      <c r="AQ428" s="26"/>
      <c r="AR428" s="26"/>
      <c r="AS428" s="26"/>
      <c r="AT428" s="26"/>
      <c r="AU428" s="26"/>
      <c r="AV428" s="26"/>
      <c r="AW428" s="26"/>
      <c r="AX428" s="26"/>
      <c r="AY428" s="26"/>
      <c r="AZ428" s="26"/>
      <c r="BA428" s="26"/>
      <c r="BB428" s="26"/>
      <c r="BC428" s="26"/>
      <c r="BD428" s="26"/>
      <c r="BE428" s="26"/>
      <c r="BF428" s="26"/>
      <c r="BG428" s="26"/>
      <c r="BH428" s="26"/>
      <c r="BI428" s="26"/>
      <c r="BJ428" s="26"/>
      <c r="BK428" s="26"/>
      <c r="BL428" s="26"/>
      <c r="BM428" s="26"/>
      <c r="BN428" s="26"/>
      <c r="BO428" s="26"/>
      <c r="BP428" s="26"/>
      <c r="BQ428" s="26"/>
      <c r="BR428" s="26"/>
      <c r="BS428" s="26"/>
      <c r="BT428" s="26"/>
      <c r="BU428" s="26"/>
      <c r="BV428" s="26"/>
      <c r="BW428" s="26"/>
      <c r="BX428" s="26"/>
      <c r="BY428" s="26"/>
      <c r="BZ428" s="26"/>
      <c r="CA428" s="26"/>
      <c r="CB428" s="26"/>
      <c r="CC428" s="26"/>
      <c r="CD428" s="26"/>
      <c r="CE428" s="26"/>
      <c r="CF428" s="26"/>
      <c r="CG428" s="26"/>
      <c r="CH428" s="26"/>
      <c r="CI428" s="26"/>
      <c r="CJ428" s="26"/>
      <c r="CK428" s="26"/>
      <c r="CL428" s="26"/>
      <c r="CM428" s="26"/>
      <c r="CN428" s="26"/>
      <c r="CO428" s="26"/>
      <c r="CP428" s="26"/>
      <c r="CQ428" s="26"/>
      <c r="CR428" s="26"/>
      <c r="CS428" s="26"/>
      <c r="CT428" s="26"/>
      <c r="CU428" s="26"/>
      <c r="CV428" s="26"/>
      <c r="CW428" s="26"/>
      <c r="CX428" s="26"/>
      <c r="CY428" s="26"/>
      <c r="CZ428" s="26"/>
      <c r="DA428" s="26"/>
      <c r="DB428" s="26"/>
      <c r="DC428" s="26"/>
      <c r="DD428" s="26"/>
      <c r="DE428" s="26"/>
      <c r="DF428" s="26"/>
      <c r="DG428" s="26"/>
      <c r="DH428" s="26"/>
      <c r="DI428" s="26"/>
      <c r="DJ428" s="26"/>
      <c r="DK428" s="26"/>
      <c r="DL428" s="26"/>
      <c r="DM428" s="26"/>
      <c r="DN428" s="26"/>
      <c r="DO428" s="26"/>
      <c r="DP428" s="26"/>
      <c r="DQ428" s="26"/>
      <c r="DR428" s="26"/>
      <c r="DS428" s="26"/>
      <c r="DT428" s="26"/>
      <c r="DU428" s="26"/>
      <c r="DV428" s="26"/>
      <c r="DW428" s="26"/>
      <c r="DX428" s="26"/>
      <c r="DY428" s="26"/>
      <c r="DZ428" s="26"/>
    </row>
    <row r="429" spans="1:130" s="24" customFormat="1">
      <c r="A429" s="84"/>
      <c r="B429" s="62">
        <v>43586</v>
      </c>
      <c r="C429" s="63"/>
      <c r="D429" s="27"/>
    </row>
    <row r="430" spans="1:130" s="24" customFormat="1">
      <c r="A430" s="84"/>
      <c r="B430" s="62">
        <v>43556</v>
      </c>
      <c r="C430" s="63" t="s">
        <v>232</v>
      </c>
      <c r="D430" s="27"/>
    </row>
    <row r="431" spans="1:130" s="24" customFormat="1">
      <c r="A431" s="84"/>
      <c r="B431" s="62">
        <v>43525</v>
      </c>
      <c r="C431" s="63"/>
      <c r="D431" s="27"/>
    </row>
    <row r="432" spans="1:130" s="24" customFormat="1">
      <c r="A432" s="84"/>
      <c r="B432" s="62">
        <v>43497</v>
      </c>
      <c r="C432" s="63"/>
      <c r="D432" s="27"/>
    </row>
    <row r="433" spans="1:130" s="24" customFormat="1">
      <c r="A433" s="84"/>
      <c r="B433" s="62">
        <v>43466</v>
      </c>
      <c r="C433" s="63" t="s">
        <v>209</v>
      </c>
      <c r="D433" s="25"/>
      <c r="E433" s="25"/>
      <c r="F433" s="25"/>
      <c r="G433" s="25"/>
      <c r="H433" s="25"/>
      <c r="I433" s="25"/>
      <c r="J433" s="25"/>
      <c r="K433" s="25"/>
      <c r="L433" s="25"/>
      <c r="M433" s="30"/>
      <c r="N433" s="30"/>
      <c r="O433" s="30"/>
      <c r="P433" s="30"/>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6"/>
      <c r="AN433" s="26"/>
      <c r="AO433" s="26"/>
      <c r="AP433" s="26"/>
      <c r="AQ433" s="26"/>
      <c r="AR433" s="26"/>
      <c r="AS433" s="26"/>
      <c r="AT433" s="26"/>
      <c r="AU433" s="26"/>
      <c r="AV433" s="26"/>
      <c r="AW433" s="26"/>
      <c r="AX433" s="26"/>
      <c r="AY433" s="26"/>
      <c r="AZ433" s="26"/>
      <c r="BA433" s="26"/>
      <c r="BB433" s="26"/>
      <c r="BC433" s="26"/>
      <c r="BD433" s="26"/>
      <c r="BE433" s="26"/>
      <c r="BF433" s="26"/>
      <c r="BG433" s="26"/>
      <c r="BH433" s="26"/>
      <c r="BI433" s="26"/>
      <c r="BJ433" s="26"/>
      <c r="BK433" s="26"/>
      <c r="BL433" s="26"/>
      <c r="BM433" s="26"/>
      <c r="BN433" s="26"/>
      <c r="BO433" s="26"/>
      <c r="BP433" s="26"/>
      <c r="BQ433" s="26"/>
      <c r="BR433" s="26"/>
      <c r="BS433" s="26"/>
      <c r="BT433" s="26"/>
      <c r="BU433" s="26"/>
      <c r="BV433" s="26"/>
      <c r="BW433" s="26"/>
      <c r="BX433" s="26"/>
      <c r="BY433" s="26"/>
      <c r="BZ433" s="26"/>
      <c r="CA433" s="26"/>
      <c r="CB433" s="26"/>
      <c r="CC433" s="26"/>
      <c r="CD433" s="26"/>
      <c r="CE433" s="26"/>
      <c r="CF433" s="26"/>
      <c r="CG433" s="26"/>
      <c r="CH433" s="26"/>
      <c r="CI433" s="26"/>
      <c r="CJ433" s="26"/>
      <c r="CK433" s="26"/>
      <c r="CL433" s="26"/>
      <c r="CM433" s="26"/>
      <c r="CN433" s="26"/>
      <c r="CO433" s="26"/>
      <c r="CP433" s="26"/>
      <c r="CQ433" s="26"/>
      <c r="CR433" s="26"/>
      <c r="CS433" s="26"/>
      <c r="CT433" s="26"/>
      <c r="CU433" s="26"/>
      <c r="CV433" s="26"/>
      <c r="CW433" s="26"/>
      <c r="CX433" s="26"/>
      <c r="CY433" s="26"/>
      <c r="CZ433" s="26"/>
      <c r="DA433" s="26"/>
      <c r="DB433" s="26"/>
      <c r="DC433" s="26"/>
      <c r="DD433" s="26"/>
      <c r="DE433" s="26"/>
      <c r="DF433" s="26"/>
      <c r="DG433" s="26"/>
      <c r="DH433" s="26"/>
      <c r="DI433" s="26"/>
      <c r="DJ433" s="26"/>
      <c r="DK433" s="26"/>
      <c r="DL433" s="26"/>
      <c r="DM433" s="26"/>
      <c r="DN433" s="26"/>
      <c r="DO433" s="26"/>
      <c r="DP433" s="26"/>
      <c r="DQ433" s="26"/>
      <c r="DR433" s="26"/>
      <c r="DS433" s="26"/>
      <c r="DT433" s="26"/>
      <c r="DU433" s="26"/>
      <c r="DV433" s="26"/>
      <c r="DW433" s="26"/>
      <c r="DX433" s="26"/>
      <c r="DY433" s="26"/>
      <c r="DZ433" s="26"/>
    </row>
    <row r="434" spans="1:130" s="24" customFormat="1">
      <c r="A434" s="84"/>
      <c r="B434" s="62">
        <v>43435</v>
      </c>
      <c r="C434" s="63"/>
      <c r="D434" s="27"/>
    </row>
    <row r="435" spans="1:130" s="24" customFormat="1">
      <c r="A435" s="84"/>
      <c r="B435" s="62">
        <v>43405</v>
      </c>
      <c r="C435" s="63"/>
      <c r="D435" s="25"/>
      <c r="E435" s="25"/>
      <c r="F435" s="25"/>
      <c r="G435" s="25"/>
      <c r="H435" s="25"/>
      <c r="I435" s="25"/>
      <c r="J435" s="25"/>
      <c r="K435" s="25"/>
      <c r="L435" s="25"/>
      <c r="M435" s="30"/>
      <c r="N435" s="30"/>
      <c r="O435" s="30"/>
      <c r="P435" s="30"/>
      <c r="Q435" s="26"/>
      <c r="R435" s="26"/>
      <c r="S435" s="26"/>
      <c r="T435" s="26"/>
      <c r="U435" s="26"/>
      <c r="V435" s="26"/>
      <c r="W435" s="26"/>
      <c r="X435" s="26"/>
      <c r="Y435" s="26"/>
      <c r="Z435" s="26"/>
      <c r="AA435" s="26"/>
      <c r="AB435" s="26"/>
      <c r="AC435" s="26"/>
      <c r="AD435" s="26"/>
      <c r="AE435" s="26"/>
      <c r="AF435" s="26"/>
      <c r="AG435" s="26"/>
      <c r="AH435" s="26"/>
      <c r="AI435" s="26"/>
      <c r="AJ435" s="26"/>
      <c r="AK435" s="26"/>
      <c r="AL435" s="26"/>
      <c r="AM435" s="26"/>
      <c r="AN435" s="26"/>
      <c r="AO435" s="26"/>
      <c r="AP435" s="26"/>
      <c r="AQ435" s="26"/>
      <c r="AR435" s="26"/>
      <c r="AS435" s="26"/>
      <c r="AT435" s="26"/>
      <c r="AU435" s="26"/>
      <c r="AV435" s="26"/>
      <c r="AW435" s="26"/>
      <c r="AX435" s="26"/>
      <c r="AY435" s="26"/>
      <c r="AZ435" s="26"/>
      <c r="BA435" s="26"/>
      <c r="BB435" s="26"/>
      <c r="BC435" s="26"/>
      <c r="BD435" s="26"/>
      <c r="BE435" s="26"/>
      <c r="BF435" s="26"/>
      <c r="BG435" s="26"/>
      <c r="BH435" s="26"/>
      <c r="BI435" s="26"/>
      <c r="BJ435" s="26"/>
      <c r="BK435" s="26"/>
      <c r="BL435" s="26"/>
      <c r="BM435" s="26"/>
      <c r="BN435" s="26"/>
      <c r="BO435" s="26"/>
      <c r="BP435" s="26"/>
      <c r="BQ435" s="26"/>
      <c r="BR435" s="26"/>
      <c r="BS435" s="26"/>
      <c r="BT435" s="26"/>
      <c r="BU435" s="26"/>
      <c r="BV435" s="26"/>
      <c r="BW435" s="26"/>
      <c r="BX435" s="26"/>
      <c r="BY435" s="26"/>
      <c r="BZ435" s="26"/>
      <c r="CA435" s="26"/>
      <c r="CB435" s="26"/>
      <c r="CC435" s="26"/>
      <c r="CD435" s="26"/>
      <c r="CE435" s="26"/>
      <c r="CF435" s="26"/>
      <c r="CG435" s="26"/>
      <c r="CH435" s="26"/>
      <c r="CI435" s="26"/>
      <c r="CJ435" s="26"/>
      <c r="CK435" s="26"/>
      <c r="CL435" s="26"/>
      <c r="CM435" s="26"/>
      <c r="CN435" s="26"/>
      <c r="CO435" s="26"/>
      <c r="CP435" s="26"/>
      <c r="CQ435" s="26"/>
      <c r="CR435" s="26"/>
      <c r="CS435" s="26"/>
      <c r="CT435" s="26"/>
      <c r="CU435" s="26"/>
      <c r="CV435" s="26"/>
      <c r="CW435" s="26"/>
      <c r="CX435" s="26"/>
      <c r="CY435" s="26"/>
      <c r="CZ435" s="26"/>
      <c r="DA435" s="26"/>
      <c r="DB435" s="26"/>
      <c r="DC435" s="26"/>
      <c r="DD435" s="26"/>
      <c r="DE435" s="26"/>
      <c r="DF435" s="26"/>
      <c r="DG435" s="26"/>
      <c r="DH435" s="26"/>
      <c r="DI435" s="26"/>
      <c r="DJ435" s="26"/>
      <c r="DK435" s="26"/>
      <c r="DL435" s="26"/>
      <c r="DM435" s="26"/>
      <c r="DN435" s="26"/>
      <c r="DO435" s="26"/>
      <c r="DP435" s="26"/>
      <c r="DQ435" s="26"/>
      <c r="DR435" s="26"/>
      <c r="DS435" s="26"/>
      <c r="DT435" s="26"/>
      <c r="DU435" s="26"/>
      <c r="DV435" s="26"/>
      <c r="DW435" s="26"/>
      <c r="DX435" s="26"/>
      <c r="DY435" s="26"/>
      <c r="DZ435" s="26"/>
    </row>
    <row r="436" spans="1:130" s="24" customFormat="1">
      <c r="A436" s="84"/>
      <c r="B436" s="62">
        <v>43374</v>
      </c>
      <c r="C436" s="63"/>
      <c r="D436" s="27"/>
    </row>
    <row r="437" spans="1:130" s="24" customFormat="1">
      <c r="A437" s="84"/>
      <c r="B437" s="62">
        <v>43344</v>
      </c>
      <c r="C437" s="63"/>
      <c r="D437" s="27"/>
    </row>
    <row r="438" spans="1:130" s="24" customFormat="1">
      <c r="A438" s="84"/>
      <c r="B438" s="62">
        <v>43313</v>
      </c>
      <c r="C438" s="63"/>
      <c r="D438" s="27"/>
    </row>
    <row r="439" spans="1:130" s="24" customFormat="1">
      <c r="A439" s="84"/>
      <c r="B439" s="62">
        <v>43282</v>
      </c>
      <c r="C439" s="63"/>
      <c r="D439" s="27"/>
    </row>
    <row r="440" spans="1:130" s="24" customFormat="1">
      <c r="A440" s="84"/>
      <c r="B440" s="62">
        <v>43252</v>
      </c>
      <c r="C440" s="63"/>
      <c r="D440" s="25"/>
      <c r="E440" s="25"/>
      <c r="F440" s="25"/>
      <c r="G440" s="25"/>
      <c r="H440" s="25"/>
      <c r="I440" s="25"/>
      <c r="J440" s="25"/>
      <c r="K440" s="25"/>
      <c r="L440" s="25"/>
      <c r="M440" s="30"/>
      <c r="N440" s="30"/>
      <c r="O440" s="30"/>
      <c r="P440" s="30"/>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6"/>
      <c r="AN440" s="26"/>
      <c r="AO440" s="26"/>
      <c r="AP440" s="26"/>
      <c r="AQ440" s="26"/>
      <c r="AR440" s="26"/>
      <c r="AS440" s="26"/>
      <c r="AT440" s="26"/>
      <c r="AU440" s="26"/>
      <c r="AV440" s="26"/>
      <c r="AW440" s="26"/>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6"/>
      <c r="BY440" s="26"/>
      <c r="BZ440" s="26"/>
      <c r="CA440" s="26"/>
      <c r="CB440" s="26"/>
      <c r="CC440" s="26"/>
      <c r="CD440" s="26"/>
      <c r="CE440" s="26"/>
      <c r="CF440" s="26"/>
      <c r="CG440" s="26"/>
      <c r="CH440" s="26"/>
      <c r="CI440" s="26"/>
      <c r="CJ440" s="26"/>
      <c r="CK440" s="26"/>
      <c r="CL440" s="26"/>
      <c r="CM440" s="26"/>
      <c r="CN440" s="26"/>
      <c r="CO440" s="26"/>
      <c r="CP440" s="26"/>
      <c r="CQ440" s="26"/>
      <c r="CR440" s="26"/>
      <c r="CS440" s="26"/>
      <c r="CT440" s="26"/>
      <c r="CU440" s="26"/>
      <c r="CV440" s="26"/>
      <c r="CW440" s="26"/>
      <c r="CX440" s="26"/>
      <c r="CY440" s="26"/>
      <c r="CZ440" s="26"/>
      <c r="DA440" s="26"/>
      <c r="DB440" s="26"/>
      <c r="DC440" s="26"/>
      <c r="DD440" s="26"/>
      <c r="DE440" s="26"/>
      <c r="DF440" s="26"/>
      <c r="DG440" s="26"/>
      <c r="DH440" s="26"/>
      <c r="DI440" s="26"/>
      <c r="DJ440" s="26"/>
      <c r="DK440" s="26"/>
      <c r="DL440" s="26"/>
      <c r="DM440" s="26"/>
      <c r="DN440" s="26"/>
      <c r="DO440" s="26"/>
      <c r="DP440" s="26"/>
      <c r="DQ440" s="26"/>
      <c r="DR440" s="26"/>
      <c r="DS440" s="26"/>
      <c r="DT440" s="26"/>
      <c r="DU440" s="26"/>
      <c r="DV440" s="26"/>
      <c r="DW440" s="26"/>
      <c r="DX440" s="26"/>
      <c r="DY440" s="26"/>
      <c r="DZ440" s="26"/>
    </row>
    <row r="441" spans="1:130" s="24" customFormat="1">
      <c r="A441" s="84"/>
      <c r="B441" s="62">
        <v>43221</v>
      </c>
      <c r="C441" s="63"/>
      <c r="D441" s="27"/>
    </row>
    <row r="442" spans="1:130" s="24" customFormat="1">
      <c r="A442" s="84"/>
      <c r="B442" s="62">
        <v>43191</v>
      </c>
      <c r="C442" s="63" t="s">
        <v>117</v>
      </c>
      <c r="D442" s="27"/>
    </row>
    <row r="443" spans="1:130" s="24" customFormat="1">
      <c r="A443" s="84"/>
      <c r="B443" s="62">
        <v>43160</v>
      </c>
      <c r="C443" s="63"/>
      <c r="D443" s="27"/>
    </row>
    <row r="444" spans="1:130" s="24" customFormat="1">
      <c r="A444" s="84"/>
      <c r="B444" s="62">
        <v>43132</v>
      </c>
      <c r="C444" s="63"/>
      <c r="D444" s="33"/>
    </row>
    <row r="445" spans="1:130" s="24" customFormat="1">
      <c r="A445" s="84"/>
      <c r="B445" s="62">
        <v>43101</v>
      </c>
      <c r="C445" s="64" t="s">
        <v>53</v>
      </c>
      <c r="D445" s="34"/>
      <c r="E445" s="28"/>
      <c r="F445" s="28"/>
      <c r="G445" s="28"/>
      <c r="H445" s="28"/>
      <c r="I445" s="28"/>
      <c r="J445" s="28"/>
      <c r="K445" s="28"/>
      <c r="L445" s="28"/>
      <c r="M445" s="29"/>
      <c r="N445" s="29"/>
      <c r="O445" s="29"/>
      <c r="P445" s="29"/>
      <c r="Q445" s="26"/>
      <c r="R445" s="26"/>
      <c r="S445" s="26"/>
      <c r="T445" s="26"/>
      <c r="U445" s="26"/>
      <c r="V445" s="26"/>
      <c r="W445" s="26"/>
      <c r="X445" s="26"/>
      <c r="Y445" s="26"/>
      <c r="Z445" s="26"/>
      <c r="AA445" s="26"/>
      <c r="AB445" s="26"/>
      <c r="AC445" s="26"/>
      <c r="AD445" s="26"/>
      <c r="AE445" s="26"/>
      <c r="AF445" s="26"/>
      <c r="AG445" s="26"/>
      <c r="AH445" s="26"/>
      <c r="AI445" s="26"/>
      <c r="AJ445" s="26"/>
      <c r="AK445" s="26"/>
      <c r="AL445" s="26"/>
      <c r="AM445" s="26"/>
      <c r="AN445" s="26"/>
      <c r="AO445" s="26"/>
      <c r="AP445" s="26"/>
      <c r="AQ445" s="26"/>
      <c r="AR445" s="26"/>
      <c r="AS445" s="26"/>
      <c r="AT445" s="26"/>
      <c r="AU445" s="26"/>
      <c r="AV445" s="26"/>
      <c r="AW445" s="26"/>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6"/>
      <c r="BY445" s="26"/>
      <c r="BZ445" s="26"/>
      <c r="CA445" s="26"/>
      <c r="CB445" s="26"/>
      <c r="CC445" s="26"/>
      <c r="CD445" s="26"/>
      <c r="CE445" s="26"/>
      <c r="CF445" s="26"/>
      <c r="CG445" s="26"/>
      <c r="CH445" s="26"/>
      <c r="CI445" s="26"/>
      <c r="CJ445" s="26"/>
      <c r="CK445" s="26"/>
      <c r="CL445" s="26"/>
      <c r="CM445" s="26"/>
      <c r="CN445" s="26"/>
      <c r="CO445" s="26"/>
      <c r="CP445" s="26"/>
      <c r="CQ445" s="26"/>
      <c r="CR445" s="26"/>
      <c r="CS445" s="26"/>
      <c r="CT445" s="26"/>
      <c r="CU445" s="26"/>
      <c r="CV445" s="26"/>
      <c r="CW445" s="26"/>
      <c r="CX445" s="26"/>
      <c r="CY445" s="26"/>
      <c r="CZ445" s="26"/>
      <c r="DA445" s="26"/>
      <c r="DB445" s="26"/>
      <c r="DC445" s="26"/>
      <c r="DD445" s="26"/>
      <c r="DE445" s="26"/>
      <c r="DF445" s="26"/>
      <c r="DG445" s="26"/>
      <c r="DH445" s="26"/>
      <c r="DI445" s="26"/>
      <c r="DJ445" s="26"/>
      <c r="DK445" s="26"/>
      <c r="DL445" s="26"/>
      <c r="DM445" s="26"/>
      <c r="DN445" s="26"/>
      <c r="DO445" s="26"/>
      <c r="DP445" s="26"/>
      <c r="DQ445" s="26"/>
      <c r="DR445" s="26"/>
      <c r="DS445" s="26"/>
      <c r="DT445" s="26"/>
      <c r="DU445" s="26"/>
      <c r="DV445" s="26"/>
      <c r="DW445" s="26"/>
      <c r="DX445" s="26"/>
      <c r="DY445" s="26"/>
      <c r="DZ445" s="26"/>
    </row>
    <row r="446" spans="1:130" s="20" customFormat="1">
      <c r="A446" s="84"/>
      <c r="B446" s="65">
        <v>43070</v>
      </c>
      <c r="C446" s="64" t="s">
        <v>53</v>
      </c>
      <c r="D446" s="35"/>
    </row>
    <row r="447" spans="1:130" s="20" customFormat="1">
      <c r="A447" s="84"/>
      <c r="B447" s="65">
        <v>43040</v>
      </c>
      <c r="C447" s="64" t="s">
        <v>53</v>
      </c>
      <c r="D447" s="35"/>
    </row>
    <row r="448" spans="1:130" s="20" customFormat="1">
      <c r="A448" s="84"/>
      <c r="B448" s="65">
        <v>43009</v>
      </c>
      <c r="C448" s="64" t="s">
        <v>53</v>
      </c>
      <c r="D448" s="35"/>
    </row>
    <row r="449" spans="1:130" s="21" customFormat="1">
      <c r="A449" s="84"/>
      <c r="B449" s="65">
        <v>42979</v>
      </c>
      <c r="C449" s="63"/>
      <c r="D449" s="36"/>
    </row>
    <row r="450" spans="1:130" s="24" customFormat="1" ht="16" customHeight="1">
      <c r="A450" s="85" t="s">
        <v>42</v>
      </c>
      <c r="B450" s="57">
        <v>43800</v>
      </c>
      <c r="C450" s="58"/>
      <c r="D450" s="27"/>
    </row>
    <row r="451" spans="1:130" s="24" customFormat="1">
      <c r="A451" s="85"/>
      <c r="B451" s="57">
        <v>43770</v>
      </c>
      <c r="C451" s="58"/>
      <c r="D451" s="25"/>
      <c r="E451" s="25"/>
      <c r="F451" s="25"/>
      <c r="G451" s="25"/>
      <c r="H451" s="25"/>
      <c r="I451" s="25"/>
      <c r="J451" s="25"/>
      <c r="K451" s="25"/>
      <c r="L451" s="25"/>
      <c r="M451" s="30"/>
      <c r="N451" s="30"/>
      <c r="O451" s="30"/>
      <c r="P451" s="30"/>
      <c r="Q451" s="26"/>
      <c r="R451" s="26"/>
      <c r="S451" s="26"/>
      <c r="T451" s="26"/>
      <c r="U451" s="26"/>
      <c r="V451" s="26"/>
      <c r="W451" s="26"/>
      <c r="X451" s="26"/>
      <c r="Y451" s="26"/>
      <c r="Z451" s="26"/>
      <c r="AA451" s="26"/>
      <c r="AB451" s="26"/>
      <c r="AC451" s="26"/>
      <c r="AD451" s="26"/>
      <c r="AE451" s="26"/>
      <c r="AF451" s="26"/>
      <c r="AG451" s="26"/>
      <c r="AH451" s="26"/>
      <c r="AI451" s="26"/>
      <c r="AJ451" s="26"/>
      <c r="AK451" s="26"/>
      <c r="AL451" s="26"/>
      <c r="AM451" s="26"/>
      <c r="AN451" s="26"/>
      <c r="AO451" s="26"/>
      <c r="AP451" s="26"/>
      <c r="AQ451" s="26"/>
      <c r="AR451" s="26"/>
      <c r="AS451" s="26"/>
      <c r="AT451" s="26"/>
      <c r="AU451" s="26"/>
      <c r="AV451" s="26"/>
      <c r="AW451" s="26"/>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6"/>
      <c r="BY451" s="26"/>
      <c r="BZ451" s="26"/>
      <c r="CA451" s="26"/>
      <c r="CB451" s="26"/>
      <c r="CC451" s="26"/>
      <c r="CD451" s="26"/>
      <c r="CE451" s="26"/>
      <c r="CF451" s="26"/>
      <c r="CG451" s="26"/>
      <c r="CH451" s="26"/>
      <c r="CI451" s="26"/>
      <c r="CJ451" s="26"/>
      <c r="CK451" s="26"/>
      <c r="CL451" s="26"/>
      <c r="CM451" s="26"/>
      <c r="CN451" s="26"/>
      <c r="CO451" s="26"/>
      <c r="CP451" s="26"/>
      <c r="CQ451" s="26"/>
      <c r="CR451" s="26"/>
      <c r="CS451" s="26"/>
      <c r="CT451" s="26"/>
      <c r="CU451" s="26"/>
      <c r="CV451" s="26"/>
      <c r="CW451" s="26"/>
      <c r="CX451" s="26"/>
      <c r="CY451" s="26"/>
      <c r="CZ451" s="26"/>
      <c r="DA451" s="26"/>
      <c r="DB451" s="26"/>
      <c r="DC451" s="26"/>
      <c r="DD451" s="26"/>
      <c r="DE451" s="26"/>
      <c r="DF451" s="26"/>
      <c r="DG451" s="26"/>
      <c r="DH451" s="26"/>
      <c r="DI451" s="26"/>
      <c r="DJ451" s="26"/>
      <c r="DK451" s="26"/>
      <c r="DL451" s="26"/>
      <c r="DM451" s="26"/>
      <c r="DN451" s="26"/>
      <c r="DO451" s="26"/>
      <c r="DP451" s="26"/>
      <c r="DQ451" s="26"/>
      <c r="DR451" s="26"/>
      <c r="DS451" s="26"/>
      <c r="DT451" s="26"/>
      <c r="DU451" s="26"/>
      <c r="DV451" s="26"/>
      <c r="DW451" s="26"/>
      <c r="DX451" s="26"/>
      <c r="DY451" s="26"/>
      <c r="DZ451" s="26"/>
    </row>
    <row r="452" spans="1:130" s="24" customFormat="1">
      <c r="A452" s="85"/>
      <c r="B452" s="57">
        <v>43739</v>
      </c>
      <c r="C452" s="58"/>
      <c r="D452" s="27"/>
    </row>
    <row r="453" spans="1:130" s="24" customFormat="1">
      <c r="A453" s="85"/>
      <c r="B453" s="57">
        <v>43709</v>
      </c>
      <c r="C453" s="58"/>
      <c r="D453" s="27"/>
    </row>
    <row r="454" spans="1:130" s="24" customFormat="1">
      <c r="A454" s="85"/>
      <c r="B454" s="57">
        <v>43678</v>
      </c>
      <c r="C454" s="58"/>
      <c r="D454" s="27"/>
    </row>
    <row r="455" spans="1:130" s="24" customFormat="1">
      <c r="A455" s="85"/>
      <c r="B455" s="57">
        <v>43647</v>
      </c>
      <c r="C455" s="58"/>
      <c r="D455" s="27"/>
    </row>
    <row r="456" spans="1:130" s="24" customFormat="1">
      <c r="A456" s="85"/>
      <c r="B456" s="57">
        <v>43617</v>
      </c>
      <c r="C456" s="58"/>
      <c r="D456" s="25"/>
      <c r="E456" s="25"/>
      <c r="F456" s="25"/>
      <c r="G456" s="25"/>
      <c r="H456" s="25"/>
      <c r="I456" s="25"/>
      <c r="J456" s="25"/>
      <c r="K456" s="25"/>
      <c r="L456" s="25"/>
      <c r="M456" s="30"/>
      <c r="N456" s="30"/>
      <c r="O456" s="30"/>
      <c r="P456" s="30"/>
      <c r="Q456" s="26"/>
      <c r="R456" s="26"/>
      <c r="S456" s="26"/>
      <c r="T456" s="26"/>
      <c r="U456" s="26"/>
      <c r="V456" s="26"/>
      <c r="W456" s="26"/>
      <c r="X456" s="26"/>
      <c r="Y456" s="26"/>
      <c r="Z456" s="26"/>
      <c r="AA456" s="26"/>
      <c r="AB456" s="26"/>
      <c r="AC456" s="26"/>
      <c r="AD456" s="26"/>
      <c r="AE456" s="26"/>
      <c r="AF456" s="26"/>
      <c r="AG456" s="26"/>
      <c r="AH456" s="26"/>
      <c r="AI456" s="26"/>
      <c r="AJ456" s="26"/>
      <c r="AK456" s="26"/>
      <c r="AL456" s="26"/>
      <c r="AM456" s="26"/>
      <c r="AN456" s="26"/>
      <c r="AO456" s="26"/>
      <c r="AP456" s="26"/>
      <c r="AQ456" s="26"/>
      <c r="AR456" s="26"/>
      <c r="AS456" s="26"/>
      <c r="AT456" s="26"/>
      <c r="AU456" s="26"/>
      <c r="AV456" s="26"/>
      <c r="AW456" s="26"/>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6"/>
      <c r="BY456" s="26"/>
      <c r="BZ456" s="26"/>
      <c r="CA456" s="26"/>
      <c r="CB456" s="26"/>
      <c r="CC456" s="26"/>
      <c r="CD456" s="26"/>
      <c r="CE456" s="26"/>
      <c r="CF456" s="26"/>
      <c r="CG456" s="26"/>
      <c r="CH456" s="26"/>
      <c r="CI456" s="26"/>
      <c r="CJ456" s="26"/>
      <c r="CK456" s="26"/>
      <c r="CL456" s="26"/>
      <c r="CM456" s="26"/>
      <c r="CN456" s="26"/>
      <c r="CO456" s="26"/>
      <c r="CP456" s="26"/>
      <c r="CQ456" s="26"/>
      <c r="CR456" s="26"/>
      <c r="CS456" s="26"/>
      <c r="CT456" s="26"/>
      <c r="CU456" s="26"/>
      <c r="CV456" s="26"/>
      <c r="CW456" s="26"/>
      <c r="CX456" s="26"/>
      <c r="CY456" s="26"/>
      <c r="CZ456" s="26"/>
      <c r="DA456" s="26"/>
      <c r="DB456" s="26"/>
      <c r="DC456" s="26"/>
      <c r="DD456" s="26"/>
      <c r="DE456" s="26"/>
      <c r="DF456" s="26"/>
      <c r="DG456" s="26"/>
      <c r="DH456" s="26"/>
      <c r="DI456" s="26"/>
      <c r="DJ456" s="26"/>
      <c r="DK456" s="26"/>
      <c r="DL456" s="26"/>
      <c r="DM456" s="26"/>
      <c r="DN456" s="26"/>
      <c r="DO456" s="26"/>
      <c r="DP456" s="26"/>
      <c r="DQ456" s="26"/>
      <c r="DR456" s="26"/>
      <c r="DS456" s="26"/>
      <c r="DT456" s="26"/>
      <c r="DU456" s="26"/>
      <c r="DV456" s="26"/>
      <c r="DW456" s="26"/>
      <c r="DX456" s="26"/>
      <c r="DY456" s="26"/>
      <c r="DZ456" s="26"/>
    </row>
    <row r="457" spans="1:130" s="24" customFormat="1">
      <c r="A457" s="85"/>
      <c r="B457" s="57">
        <v>43586</v>
      </c>
      <c r="C457" s="58"/>
      <c r="D457" s="27"/>
    </row>
    <row r="458" spans="1:130" s="24" customFormat="1">
      <c r="A458" s="85"/>
      <c r="B458" s="57">
        <v>43556</v>
      </c>
      <c r="C458" s="58" t="s">
        <v>235</v>
      </c>
      <c r="D458" s="27"/>
    </row>
    <row r="459" spans="1:130" s="24" customFormat="1">
      <c r="A459" s="85"/>
      <c r="B459" s="57">
        <v>43525</v>
      </c>
      <c r="C459" s="58" t="s">
        <v>225</v>
      </c>
      <c r="D459" s="27"/>
    </row>
    <row r="460" spans="1:130" s="24" customFormat="1">
      <c r="A460" s="85"/>
      <c r="B460" s="57">
        <v>43497</v>
      </c>
      <c r="C460" s="58" t="s">
        <v>213</v>
      </c>
      <c r="D460" s="27"/>
    </row>
    <row r="461" spans="1:130" s="24" customFormat="1">
      <c r="A461" s="85"/>
      <c r="B461" s="57">
        <v>43466</v>
      </c>
      <c r="C461" s="58" t="s">
        <v>202</v>
      </c>
      <c r="D461" s="25"/>
      <c r="E461" s="25"/>
      <c r="F461" s="25"/>
      <c r="G461" s="25"/>
      <c r="H461" s="25"/>
      <c r="I461" s="25"/>
      <c r="J461" s="25"/>
      <c r="K461" s="25"/>
      <c r="L461" s="25"/>
      <c r="M461" s="30"/>
      <c r="N461" s="30"/>
      <c r="O461" s="30"/>
      <c r="P461" s="30"/>
      <c r="Q461" s="26"/>
      <c r="R461" s="26"/>
      <c r="S461" s="26"/>
      <c r="T461" s="26"/>
      <c r="U461" s="26"/>
      <c r="V461" s="26"/>
      <c r="W461" s="26"/>
      <c r="X461" s="26"/>
      <c r="Y461" s="26"/>
      <c r="Z461" s="26"/>
      <c r="AA461" s="26"/>
      <c r="AB461" s="26"/>
      <c r="AC461" s="26"/>
      <c r="AD461" s="26"/>
      <c r="AE461" s="26"/>
      <c r="AF461" s="26"/>
      <c r="AG461" s="26"/>
      <c r="AH461" s="26"/>
      <c r="AI461" s="26"/>
      <c r="AJ461" s="26"/>
      <c r="AK461" s="26"/>
      <c r="AL461" s="26"/>
      <c r="AM461" s="26"/>
      <c r="AN461" s="26"/>
      <c r="AO461" s="26"/>
      <c r="AP461" s="26"/>
      <c r="AQ461" s="26"/>
      <c r="AR461" s="26"/>
      <c r="AS461" s="26"/>
      <c r="AT461" s="26"/>
      <c r="AU461" s="26"/>
      <c r="AV461" s="26"/>
      <c r="AW461" s="26"/>
      <c r="AX461" s="26"/>
      <c r="AY461" s="26"/>
      <c r="AZ461" s="26"/>
      <c r="BA461" s="26"/>
      <c r="BB461" s="26"/>
      <c r="BC461" s="26"/>
      <c r="BD461" s="26"/>
      <c r="BE461" s="26"/>
      <c r="BF461" s="26"/>
      <c r="BG461" s="26"/>
      <c r="BH461" s="26"/>
      <c r="BI461" s="26"/>
      <c r="BJ461" s="26"/>
      <c r="BK461" s="26"/>
      <c r="BL461" s="26"/>
      <c r="BM461" s="26"/>
      <c r="BN461" s="26"/>
      <c r="BO461" s="26"/>
      <c r="BP461" s="26"/>
      <c r="BQ461" s="26"/>
      <c r="BR461" s="26"/>
      <c r="BS461" s="26"/>
      <c r="BT461" s="26"/>
      <c r="BU461" s="26"/>
      <c r="BV461" s="26"/>
      <c r="BW461" s="26"/>
      <c r="BX461" s="26"/>
      <c r="BY461" s="26"/>
      <c r="BZ461" s="26"/>
      <c r="CA461" s="26"/>
      <c r="CB461" s="26"/>
      <c r="CC461" s="26"/>
      <c r="CD461" s="26"/>
      <c r="CE461" s="26"/>
      <c r="CF461" s="26"/>
      <c r="CG461" s="26"/>
      <c r="CH461" s="26"/>
      <c r="CI461" s="26"/>
      <c r="CJ461" s="26"/>
      <c r="CK461" s="26"/>
      <c r="CL461" s="26"/>
      <c r="CM461" s="26"/>
      <c r="CN461" s="26"/>
      <c r="CO461" s="26"/>
      <c r="CP461" s="26"/>
      <c r="CQ461" s="26"/>
      <c r="CR461" s="26"/>
      <c r="CS461" s="26"/>
      <c r="CT461" s="26"/>
      <c r="CU461" s="26"/>
      <c r="CV461" s="26"/>
      <c r="CW461" s="26"/>
      <c r="CX461" s="26"/>
      <c r="CY461" s="26"/>
      <c r="CZ461" s="26"/>
      <c r="DA461" s="26"/>
      <c r="DB461" s="26"/>
      <c r="DC461" s="26"/>
      <c r="DD461" s="26"/>
      <c r="DE461" s="26"/>
      <c r="DF461" s="26"/>
      <c r="DG461" s="26"/>
      <c r="DH461" s="26"/>
      <c r="DI461" s="26"/>
      <c r="DJ461" s="26"/>
      <c r="DK461" s="26"/>
      <c r="DL461" s="26"/>
      <c r="DM461" s="26"/>
      <c r="DN461" s="26"/>
      <c r="DO461" s="26"/>
      <c r="DP461" s="26"/>
      <c r="DQ461" s="26"/>
      <c r="DR461" s="26"/>
      <c r="DS461" s="26"/>
      <c r="DT461" s="26"/>
      <c r="DU461" s="26"/>
      <c r="DV461" s="26"/>
      <c r="DW461" s="26"/>
      <c r="DX461" s="26"/>
      <c r="DY461" s="26"/>
      <c r="DZ461" s="26"/>
    </row>
    <row r="462" spans="1:130" s="24" customFormat="1">
      <c r="A462" s="85"/>
      <c r="B462" s="57">
        <v>43435</v>
      </c>
      <c r="C462" s="58" t="s">
        <v>192</v>
      </c>
      <c r="D462" s="27"/>
    </row>
    <row r="463" spans="1:130" s="24" customFormat="1">
      <c r="A463" s="85"/>
      <c r="B463" s="57">
        <v>43405</v>
      </c>
      <c r="C463" s="58" t="s">
        <v>187</v>
      </c>
      <c r="D463" s="25"/>
      <c r="E463" s="25"/>
      <c r="F463" s="25"/>
      <c r="G463" s="25"/>
      <c r="H463" s="25"/>
      <c r="I463" s="25"/>
      <c r="J463" s="25"/>
      <c r="K463" s="25"/>
      <c r="L463" s="25"/>
      <c r="M463" s="30"/>
      <c r="N463" s="30"/>
      <c r="O463" s="30"/>
      <c r="P463" s="30"/>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6"/>
      <c r="AN463" s="26"/>
      <c r="AO463" s="26"/>
      <c r="AP463" s="26"/>
      <c r="AQ463" s="26"/>
      <c r="AR463" s="26"/>
      <c r="AS463" s="26"/>
      <c r="AT463" s="26"/>
      <c r="AU463" s="26"/>
      <c r="AV463" s="26"/>
      <c r="AW463" s="26"/>
      <c r="AX463" s="26"/>
      <c r="AY463" s="26"/>
      <c r="AZ463" s="26"/>
      <c r="BA463" s="26"/>
      <c r="BB463" s="26"/>
      <c r="BC463" s="26"/>
      <c r="BD463" s="26"/>
      <c r="BE463" s="26"/>
      <c r="BF463" s="26"/>
      <c r="BG463" s="26"/>
      <c r="BH463" s="26"/>
      <c r="BI463" s="26"/>
      <c r="BJ463" s="26"/>
      <c r="BK463" s="26"/>
      <c r="BL463" s="26"/>
      <c r="BM463" s="26"/>
      <c r="BN463" s="26"/>
      <c r="BO463" s="26"/>
      <c r="BP463" s="26"/>
      <c r="BQ463" s="26"/>
      <c r="BR463" s="26"/>
      <c r="BS463" s="26"/>
      <c r="BT463" s="26"/>
      <c r="BU463" s="26"/>
      <c r="BV463" s="26"/>
      <c r="BW463" s="26"/>
      <c r="BX463" s="26"/>
      <c r="BY463" s="26"/>
      <c r="BZ463" s="26"/>
      <c r="CA463" s="26"/>
      <c r="CB463" s="26"/>
      <c r="CC463" s="26"/>
      <c r="CD463" s="26"/>
      <c r="CE463" s="26"/>
      <c r="CF463" s="26"/>
      <c r="CG463" s="26"/>
      <c r="CH463" s="26"/>
      <c r="CI463" s="26"/>
      <c r="CJ463" s="26"/>
      <c r="CK463" s="26"/>
      <c r="CL463" s="26"/>
      <c r="CM463" s="26"/>
      <c r="CN463" s="26"/>
      <c r="CO463" s="26"/>
      <c r="CP463" s="26"/>
      <c r="CQ463" s="26"/>
      <c r="CR463" s="26"/>
      <c r="CS463" s="26"/>
      <c r="CT463" s="26"/>
      <c r="CU463" s="26"/>
      <c r="CV463" s="26"/>
      <c r="CW463" s="26"/>
      <c r="CX463" s="26"/>
      <c r="CY463" s="26"/>
      <c r="CZ463" s="26"/>
      <c r="DA463" s="26"/>
      <c r="DB463" s="26"/>
      <c r="DC463" s="26"/>
      <c r="DD463" s="26"/>
      <c r="DE463" s="26"/>
      <c r="DF463" s="26"/>
      <c r="DG463" s="26"/>
      <c r="DH463" s="26"/>
      <c r="DI463" s="26"/>
      <c r="DJ463" s="26"/>
      <c r="DK463" s="26"/>
      <c r="DL463" s="26"/>
      <c r="DM463" s="26"/>
      <c r="DN463" s="26"/>
      <c r="DO463" s="26"/>
      <c r="DP463" s="26"/>
      <c r="DQ463" s="26"/>
      <c r="DR463" s="26"/>
      <c r="DS463" s="26"/>
      <c r="DT463" s="26"/>
      <c r="DU463" s="26"/>
      <c r="DV463" s="26"/>
      <c r="DW463" s="26"/>
      <c r="DX463" s="26"/>
      <c r="DY463" s="26"/>
      <c r="DZ463" s="26"/>
    </row>
    <row r="464" spans="1:130" s="24" customFormat="1">
      <c r="A464" s="85"/>
      <c r="B464" s="57">
        <v>43374</v>
      </c>
      <c r="C464" s="58"/>
      <c r="D464" s="27"/>
    </row>
    <row r="465" spans="1:130" s="24" customFormat="1">
      <c r="A465" s="85"/>
      <c r="B465" s="57">
        <v>43344</v>
      </c>
      <c r="C465" s="58" t="s">
        <v>152</v>
      </c>
      <c r="D465" s="27"/>
    </row>
    <row r="466" spans="1:130" s="24" customFormat="1" ht="14">
      <c r="A466" s="85"/>
      <c r="B466" s="57">
        <v>43313</v>
      </c>
      <c r="C466" s="68" t="s">
        <v>163</v>
      </c>
      <c r="D466" s="27"/>
    </row>
    <row r="467" spans="1:130" s="24" customFormat="1">
      <c r="A467" s="85"/>
      <c r="B467" s="57">
        <v>43282</v>
      </c>
      <c r="C467" s="58" t="s">
        <v>142</v>
      </c>
      <c r="D467" s="27"/>
    </row>
    <row r="468" spans="1:130" s="24" customFormat="1">
      <c r="A468" s="85"/>
      <c r="B468" s="57">
        <v>43252</v>
      </c>
      <c r="C468" s="58" t="s">
        <v>129</v>
      </c>
      <c r="D468" s="25"/>
      <c r="E468" s="25"/>
      <c r="F468" s="25"/>
      <c r="G468" s="25"/>
      <c r="H468" s="25"/>
      <c r="I468" s="25"/>
      <c r="J468" s="25"/>
      <c r="K468" s="25"/>
      <c r="L468" s="25"/>
      <c r="M468" s="30"/>
      <c r="N468" s="30"/>
      <c r="O468" s="30"/>
      <c r="P468" s="30"/>
      <c r="Q468" s="26"/>
      <c r="R468" s="26"/>
      <c r="S468" s="26"/>
      <c r="T468" s="26"/>
      <c r="U468" s="26"/>
      <c r="V468" s="26"/>
      <c r="W468" s="26"/>
      <c r="X468" s="26"/>
      <c r="Y468" s="26"/>
      <c r="Z468" s="26"/>
      <c r="AA468" s="26"/>
      <c r="AB468" s="26"/>
      <c r="AC468" s="26"/>
      <c r="AD468" s="26"/>
      <c r="AE468" s="26"/>
      <c r="AF468" s="26"/>
      <c r="AG468" s="26"/>
      <c r="AH468" s="26"/>
      <c r="AI468" s="26"/>
      <c r="AJ468" s="26"/>
      <c r="AK468" s="26"/>
      <c r="AL468" s="26"/>
      <c r="AM468" s="26"/>
      <c r="AN468" s="26"/>
      <c r="AO468" s="26"/>
      <c r="AP468" s="26"/>
      <c r="AQ468" s="26"/>
      <c r="AR468" s="26"/>
      <c r="AS468" s="26"/>
      <c r="AT468" s="26"/>
      <c r="AU468" s="26"/>
      <c r="AV468" s="26"/>
      <c r="AW468" s="26"/>
      <c r="AX468" s="26"/>
      <c r="AY468" s="26"/>
      <c r="AZ468" s="26"/>
      <c r="BA468" s="26"/>
      <c r="BB468" s="26"/>
      <c r="BC468" s="26"/>
      <c r="BD468" s="26"/>
      <c r="BE468" s="26"/>
      <c r="BF468" s="26"/>
      <c r="BG468" s="26"/>
      <c r="BH468" s="26"/>
      <c r="BI468" s="26"/>
      <c r="BJ468" s="26"/>
      <c r="BK468" s="26"/>
      <c r="BL468" s="26"/>
      <c r="BM468" s="26"/>
      <c r="BN468" s="26"/>
      <c r="BO468" s="26"/>
      <c r="BP468" s="26"/>
      <c r="BQ468" s="26"/>
      <c r="BR468" s="26"/>
      <c r="BS468" s="26"/>
      <c r="BT468" s="26"/>
      <c r="BU468" s="26"/>
      <c r="BV468" s="26"/>
      <c r="BW468" s="26"/>
      <c r="BX468" s="26"/>
      <c r="BY468" s="26"/>
      <c r="BZ468" s="26"/>
      <c r="CA468" s="26"/>
      <c r="CB468" s="26"/>
      <c r="CC468" s="26"/>
      <c r="CD468" s="26"/>
      <c r="CE468" s="26"/>
      <c r="CF468" s="26"/>
      <c r="CG468" s="26"/>
      <c r="CH468" s="26"/>
      <c r="CI468" s="26"/>
      <c r="CJ468" s="26"/>
      <c r="CK468" s="26"/>
      <c r="CL468" s="26"/>
      <c r="CM468" s="26"/>
      <c r="CN468" s="26"/>
      <c r="CO468" s="26"/>
      <c r="CP468" s="26"/>
      <c r="CQ468" s="26"/>
      <c r="CR468" s="26"/>
      <c r="CS468" s="26"/>
      <c r="CT468" s="26"/>
      <c r="CU468" s="26"/>
      <c r="CV468" s="26"/>
      <c r="CW468" s="26"/>
      <c r="CX468" s="26"/>
      <c r="CY468" s="26"/>
      <c r="CZ468" s="26"/>
      <c r="DA468" s="26"/>
      <c r="DB468" s="26"/>
      <c r="DC468" s="26"/>
      <c r="DD468" s="26"/>
      <c r="DE468" s="26"/>
      <c r="DF468" s="26"/>
      <c r="DG468" s="26"/>
      <c r="DH468" s="26"/>
      <c r="DI468" s="26"/>
      <c r="DJ468" s="26"/>
      <c r="DK468" s="26"/>
      <c r="DL468" s="26"/>
      <c r="DM468" s="26"/>
      <c r="DN468" s="26"/>
      <c r="DO468" s="26"/>
      <c r="DP468" s="26"/>
      <c r="DQ468" s="26"/>
      <c r="DR468" s="26"/>
      <c r="DS468" s="26"/>
      <c r="DT468" s="26"/>
      <c r="DU468" s="26"/>
      <c r="DV468" s="26"/>
      <c r="DW468" s="26"/>
      <c r="DX468" s="26"/>
      <c r="DY468" s="26"/>
      <c r="DZ468" s="26"/>
    </row>
    <row r="469" spans="1:130" s="24" customFormat="1">
      <c r="A469" s="85"/>
      <c r="B469" s="57">
        <v>43221</v>
      </c>
      <c r="C469" s="58" t="s">
        <v>120</v>
      </c>
      <c r="D469" s="27"/>
    </row>
    <row r="470" spans="1:130" s="24" customFormat="1">
      <c r="A470" s="85"/>
      <c r="B470" s="57">
        <v>43191</v>
      </c>
      <c r="C470" s="58" t="s">
        <v>112</v>
      </c>
      <c r="D470" s="27"/>
    </row>
    <row r="471" spans="1:130" s="24" customFormat="1">
      <c r="A471" s="85"/>
      <c r="B471" s="57">
        <v>43160</v>
      </c>
      <c r="C471" s="58" t="s">
        <v>102</v>
      </c>
      <c r="D471" s="27"/>
    </row>
    <row r="472" spans="1:130" s="24" customFormat="1">
      <c r="A472" s="85"/>
      <c r="B472" s="57">
        <v>43132</v>
      </c>
      <c r="C472" s="59" t="s">
        <v>96</v>
      </c>
      <c r="D472" s="27"/>
    </row>
    <row r="473" spans="1:130" s="24" customFormat="1">
      <c r="A473" s="85"/>
      <c r="B473" s="57">
        <v>43101</v>
      </c>
      <c r="C473" s="59" t="s">
        <v>86</v>
      </c>
      <c r="D473" s="25"/>
      <c r="E473" s="25"/>
      <c r="F473" s="25"/>
      <c r="G473" s="25"/>
      <c r="H473" s="25"/>
      <c r="I473" s="25"/>
      <c r="J473" s="25"/>
      <c r="K473" s="25"/>
      <c r="L473" s="25"/>
      <c r="M473" s="30"/>
      <c r="N473" s="30"/>
      <c r="O473" s="26"/>
      <c r="P473" s="26"/>
      <c r="Q473" s="26"/>
      <c r="R473" s="26"/>
      <c r="S473" s="26"/>
      <c r="T473" s="26"/>
      <c r="U473" s="26"/>
      <c r="V473" s="26"/>
      <c r="W473" s="26"/>
      <c r="X473" s="26"/>
      <c r="Y473" s="26"/>
      <c r="Z473" s="26"/>
      <c r="AA473" s="26"/>
      <c r="AB473" s="26"/>
      <c r="AC473" s="26"/>
      <c r="AD473" s="26"/>
      <c r="AE473" s="26"/>
      <c r="AF473" s="26"/>
      <c r="AG473" s="26"/>
      <c r="AH473" s="26"/>
      <c r="AI473" s="26"/>
      <c r="AJ473" s="26"/>
      <c r="AK473" s="26"/>
      <c r="AL473" s="26"/>
      <c r="AM473" s="26"/>
      <c r="AN473" s="26"/>
      <c r="AO473" s="26"/>
      <c r="AP473" s="26"/>
      <c r="AQ473" s="26"/>
      <c r="AR473" s="26"/>
      <c r="AS473" s="26"/>
      <c r="AT473" s="26"/>
      <c r="AU473" s="26"/>
      <c r="AV473" s="26"/>
      <c r="AW473" s="26"/>
      <c r="AX473" s="26"/>
      <c r="AY473" s="26"/>
      <c r="AZ473" s="26"/>
      <c r="BA473" s="26"/>
      <c r="BB473" s="26"/>
      <c r="BC473" s="26"/>
      <c r="BD473" s="26"/>
      <c r="BE473" s="26"/>
      <c r="BF473" s="26"/>
      <c r="BG473" s="26"/>
      <c r="BH473" s="26"/>
      <c r="BI473" s="26"/>
      <c r="BJ473" s="26"/>
      <c r="BK473" s="26"/>
      <c r="BL473" s="26"/>
      <c r="BM473" s="26"/>
      <c r="BN473" s="26"/>
      <c r="BO473" s="26"/>
      <c r="BP473" s="26"/>
      <c r="BQ473" s="26"/>
      <c r="BR473" s="26"/>
      <c r="BS473" s="26"/>
      <c r="BT473" s="26"/>
      <c r="BU473" s="26"/>
      <c r="BV473" s="26"/>
      <c r="BW473" s="26"/>
      <c r="BX473" s="26"/>
      <c r="BY473" s="26"/>
      <c r="BZ473" s="26"/>
      <c r="CA473" s="26"/>
      <c r="CB473" s="26"/>
      <c r="CC473" s="26"/>
      <c r="CD473" s="26"/>
      <c r="CE473" s="26"/>
      <c r="CF473" s="26"/>
      <c r="CG473" s="26"/>
      <c r="CH473" s="26"/>
      <c r="CI473" s="26"/>
      <c r="CJ473" s="26"/>
      <c r="CK473" s="26"/>
      <c r="CL473" s="26"/>
      <c r="CM473" s="26"/>
      <c r="CN473" s="26"/>
      <c r="CO473" s="26"/>
      <c r="CP473" s="26"/>
      <c r="CQ473" s="26"/>
      <c r="CR473" s="26"/>
      <c r="CS473" s="26"/>
      <c r="CT473" s="26"/>
      <c r="CU473" s="26"/>
      <c r="CV473" s="26"/>
      <c r="CW473" s="26"/>
      <c r="CX473" s="26"/>
      <c r="CY473" s="26"/>
      <c r="CZ473" s="26"/>
      <c r="DA473" s="26"/>
      <c r="DB473" s="26"/>
      <c r="DC473" s="26"/>
      <c r="DD473" s="26"/>
      <c r="DE473" s="26"/>
      <c r="DF473" s="26"/>
      <c r="DG473" s="26"/>
      <c r="DH473" s="26"/>
      <c r="DI473" s="26"/>
      <c r="DJ473" s="26"/>
      <c r="DK473" s="26"/>
      <c r="DL473" s="26"/>
      <c r="DM473" s="26"/>
      <c r="DN473" s="26"/>
      <c r="DO473" s="26"/>
      <c r="DP473" s="26"/>
      <c r="DQ473" s="26"/>
      <c r="DR473" s="26"/>
      <c r="DS473" s="26"/>
      <c r="DT473" s="26"/>
      <c r="DU473" s="26"/>
      <c r="DV473" s="26"/>
      <c r="DW473" s="26"/>
      <c r="DX473" s="26"/>
      <c r="DY473" s="26"/>
      <c r="DZ473" s="26"/>
    </row>
    <row r="474" spans="1:130" s="22" customFormat="1" ht="12.75" customHeight="1">
      <c r="A474" s="85"/>
      <c r="B474" s="60">
        <v>43070</v>
      </c>
      <c r="C474" s="59" t="s">
        <v>87</v>
      </c>
      <c r="D474" s="31"/>
      <c r="E474" s="31"/>
      <c r="F474" s="31"/>
      <c r="G474" s="31"/>
      <c r="H474" s="31"/>
      <c r="I474" s="31"/>
      <c r="J474" s="31"/>
      <c r="K474" s="31"/>
      <c r="L474" s="31"/>
      <c r="M474" s="31"/>
      <c r="N474" s="31"/>
    </row>
    <row r="475" spans="1:130" s="22" customFormat="1">
      <c r="A475" s="85"/>
      <c r="B475" s="60">
        <v>43040</v>
      </c>
      <c r="C475" s="61" t="s">
        <v>88</v>
      </c>
      <c r="D475" s="31"/>
      <c r="E475" s="31"/>
      <c r="F475" s="31"/>
      <c r="G475" s="31"/>
      <c r="H475" s="31"/>
      <c r="I475" s="31"/>
      <c r="J475" s="31"/>
      <c r="K475" s="31"/>
      <c r="L475" s="31"/>
      <c r="M475" s="31"/>
      <c r="N475" s="31"/>
    </row>
    <row r="476" spans="1:130" s="22" customFormat="1">
      <c r="A476" s="85"/>
      <c r="B476" s="60">
        <v>43009</v>
      </c>
      <c r="C476" s="61" t="s">
        <v>89</v>
      </c>
      <c r="D476" s="31"/>
      <c r="E476" s="31"/>
      <c r="F476" s="31"/>
      <c r="G476" s="31"/>
      <c r="H476" s="31"/>
      <c r="I476" s="31"/>
      <c r="J476" s="31"/>
      <c r="K476" s="31"/>
      <c r="L476" s="31"/>
      <c r="M476" s="31"/>
      <c r="N476" s="31"/>
    </row>
    <row r="477" spans="1:130" s="23" customFormat="1">
      <c r="A477" s="85"/>
      <c r="B477" s="60">
        <v>42979</v>
      </c>
      <c r="C477" s="58"/>
      <c r="D477" s="32"/>
      <c r="E477" s="32"/>
      <c r="F477" s="32"/>
      <c r="G477" s="32"/>
      <c r="H477" s="32"/>
      <c r="I477" s="32"/>
      <c r="J477" s="32"/>
      <c r="K477" s="32"/>
      <c r="L477" s="32"/>
      <c r="M477" s="32"/>
      <c r="N477" s="32"/>
    </row>
    <row r="478" spans="1:130" s="24" customFormat="1" ht="16" customHeight="1">
      <c r="A478" s="84" t="s">
        <v>29</v>
      </c>
      <c r="B478" s="62">
        <v>43800</v>
      </c>
      <c r="C478" s="63"/>
      <c r="D478" s="27"/>
    </row>
    <row r="479" spans="1:130" s="24" customFormat="1">
      <c r="A479" s="84"/>
      <c r="B479" s="62">
        <v>43770</v>
      </c>
      <c r="C479" s="63"/>
      <c r="D479" s="25"/>
      <c r="E479" s="25"/>
      <c r="F479" s="25"/>
      <c r="G479" s="25"/>
      <c r="H479" s="25"/>
      <c r="I479" s="25"/>
      <c r="J479" s="25"/>
      <c r="K479" s="25"/>
      <c r="L479" s="25"/>
      <c r="M479" s="30"/>
      <c r="N479" s="30"/>
      <c r="O479" s="30"/>
      <c r="P479" s="30"/>
      <c r="Q479" s="26"/>
      <c r="R479" s="26"/>
      <c r="S479" s="26"/>
      <c r="T479" s="26"/>
      <c r="U479" s="26"/>
      <c r="V479" s="26"/>
      <c r="W479" s="26"/>
      <c r="X479" s="26"/>
      <c r="Y479" s="26"/>
      <c r="Z479" s="26"/>
      <c r="AA479" s="26"/>
      <c r="AB479" s="26"/>
      <c r="AC479" s="26"/>
      <c r="AD479" s="26"/>
      <c r="AE479" s="26"/>
      <c r="AF479" s="26"/>
      <c r="AG479" s="26"/>
      <c r="AH479" s="26"/>
      <c r="AI479" s="26"/>
      <c r="AJ479" s="26"/>
      <c r="AK479" s="26"/>
      <c r="AL479" s="26"/>
      <c r="AM479" s="26"/>
      <c r="AN479" s="26"/>
      <c r="AO479" s="26"/>
      <c r="AP479" s="26"/>
      <c r="AQ479" s="26"/>
      <c r="AR479" s="26"/>
      <c r="AS479" s="26"/>
      <c r="AT479" s="26"/>
      <c r="AU479" s="26"/>
      <c r="AV479" s="26"/>
      <c r="AW479" s="26"/>
      <c r="AX479" s="26"/>
      <c r="AY479" s="26"/>
      <c r="AZ479" s="26"/>
      <c r="BA479" s="26"/>
      <c r="BB479" s="26"/>
      <c r="BC479" s="26"/>
      <c r="BD479" s="26"/>
      <c r="BE479" s="26"/>
      <c r="BF479" s="26"/>
      <c r="BG479" s="26"/>
      <c r="BH479" s="26"/>
      <c r="BI479" s="26"/>
      <c r="BJ479" s="26"/>
      <c r="BK479" s="26"/>
      <c r="BL479" s="26"/>
      <c r="BM479" s="26"/>
      <c r="BN479" s="26"/>
      <c r="BO479" s="26"/>
      <c r="BP479" s="26"/>
      <c r="BQ479" s="26"/>
      <c r="BR479" s="26"/>
      <c r="BS479" s="26"/>
      <c r="BT479" s="26"/>
      <c r="BU479" s="26"/>
      <c r="BV479" s="26"/>
      <c r="BW479" s="26"/>
      <c r="BX479" s="26"/>
      <c r="BY479" s="26"/>
      <c r="BZ479" s="26"/>
      <c r="CA479" s="26"/>
      <c r="CB479" s="26"/>
      <c r="CC479" s="26"/>
      <c r="CD479" s="26"/>
      <c r="CE479" s="26"/>
      <c r="CF479" s="26"/>
      <c r="CG479" s="26"/>
      <c r="CH479" s="26"/>
      <c r="CI479" s="26"/>
      <c r="CJ479" s="26"/>
      <c r="CK479" s="26"/>
      <c r="CL479" s="26"/>
      <c r="CM479" s="26"/>
      <c r="CN479" s="26"/>
      <c r="CO479" s="26"/>
      <c r="CP479" s="26"/>
      <c r="CQ479" s="26"/>
      <c r="CR479" s="26"/>
      <c r="CS479" s="26"/>
      <c r="CT479" s="26"/>
      <c r="CU479" s="26"/>
      <c r="CV479" s="26"/>
      <c r="CW479" s="26"/>
      <c r="CX479" s="26"/>
      <c r="CY479" s="26"/>
      <c r="CZ479" s="26"/>
      <c r="DA479" s="26"/>
      <c r="DB479" s="26"/>
      <c r="DC479" s="26"/>
      <c r="DD479" s="26"/>
      <c r="DE479" s="26"/>
      <c r="DF479" s="26"/>
      <c r="DG479" s="26"/>
      <c r="DH479" s="26"/>
      <c r="DI479" s="26"/>
      <c r="DJ479" s="26"/>
      <c r="DK479" s="26"/>
      <c r="DL479" s="26"/>
      <c r="DM479" s="26"/>
      <c r="DN479" s="26"/>
      <c r="DO479" s="26"/>
      <c r="DP479" s="26"/>
      <c r="DQ479" s="26"/>
      <c r="DR479" s="26"/>
      <c r="DS479" s="26"/>
      <c r="DT479" s="26"/>
      <c r="DU479" s="26"/>
      <c r="DV479" s="26"/>
      <c r="DW479" s="26"/>
      <c r="DX479" s="26"/>
      <c r="DY479" s="26"/>
      <c r="DZ479" s="26"/>
    </row>
    <row r="480" spans="1:130" s="24" customFormat="1">
      <c r="A480" s="84"/>
      <c r="B480" s="62">
        <v>43739</v>
      </c>
      <c r="C480" s="63"/>
      <c r="D480" s="27"/>
    </row>
    <row r="481" spans="1:130" s="24" customFormat="1">
      <c r="A481" s="84"/>
      <c r="B481" s="62">
        <v>43709</v>
      </c>
      <c r="C481" s="63"/>
      <c r="D481" s="27"/>
    </row>
    <row r="482" spans="1:130" s="24" customFormat="1">
      <c r="A482" s="84"/>
      <c r="B482" s="62">
        <v>43678</v>
      </c>
      <c r="C482" s="63"/>
      <c r="D482" s="27"/>
    </row>
    <row r="483" spans="1:130" s="24" customFormat="1">
      <c r="A483" s="84"/>
      <c r="B483" s="62">
        <v>43647</v>
      </c>
      <c r="C483" s="63"/>
      <c r="D483" s="27"/>
    </row>
    <row r="484" spans="1:130" s="24" customFormat="1">
      <c r="A484" s="84"/>
      <c r="B484" s="62">
        <v>43617</v>
      </c>
      <c r="C484" s="63"/>
      <c r="D484" s="25"/>
      <c r="E484" s="25"/>
      <c r="F484" s="25"/>
      <c r="G484" s="25"/>
      <c r="H484" s="25"/>
      <c r="I484" s="25"/>
      <c r="J484" s="25"/>
      <c r="K484" s="25"/>
      <c r="L484" s="25"/>
      <c r="M484" s="30"/>
      <c r="N484" s="30"/>
      <c r="O484" s="30"/>
      <c r="P484" s="30"/>
      <c r="Q484" s="26"/>
      <c r="R484" s="26"/>
      <c r="S484" s="26"/>
      <c r="T484" s="26"/>
      <c r="U484" s="26"/>
      <c r="V484" s="26"/>
      <c r="W484" s="26"/>
      <c r="X484" s="26"/>
      <c r="Y484" s="26"/>
      <c r="Z484" s="26"/>
      <c r="AA484" s="26"/>
      <c r="AB484" s="26"/>
      <c r="AC484" s="26"/>
      <c r="AD484" s="26"/>
      <c r="AE484" s="26"/>
      <c r="AF484" s="26"/>
      <c r="AG484" s="26"/>
      <c r="AH484" s="26"/>
      <c r="AI484" s="26"/>
      <c r="AJ484" s="26"/>
      <c r="AK484" s="26"/>
      <c r="AL484" s="26"/>
      <c r="AM484" s="26"/>
      <c r="AN484" s="26"/>
      <c r="AO484" s="26"/>
      <c r="AP484" s="26"/>
      <c r="AQ484" s="26"/>
      <c r="AR484" s="26"/>
      <c r="AS484" s="26"/>
      <c r="AT484" s="26"/>
      <c r="AU484" s="26"/>
      <c r="AV484" s="26"/>
      <c r="AW484" s="26"/>
      <c r="AX484" s="26"/>
      <c r="AY484" s="26"/>
      <c r="AZ484" s="26"/>
      <c r="BA484" s="26"/>
      <c r="BB484" s="26"/>
      <c r="BC484" s="26"/>
      <c r="BD484" s="26"/>
      <c r="BE484" s="26"/>
      <c r="BF484" s="26"/>
      <c r="BG484" s="26"/>
      <c r="BH484" s="26"/>
      <c r="BI484" s="26"/>
      <c r="BJ484" s="26"/>
      <c r="BK484" s="26"/>
      <c r="BL484" s="26"/>
      <c r="BM484" s="26"/>
      <c r="BN484" s="26"/>
      <c r="BO484" s="26"/>
      <c r="BP484" s="26"/>
      <c r="BQ484" s="26"/>
      <c r="BR484" s="26"/>
      <c r="BS484" s="26"/>
      <c r="BT484" s="26"/>
      <c r="BU484" s="26"/>
      <c r="BV484" s="26"/>
      <c r="BW484" s="26"/>
      <c r="BX484" s="26"/>
      <c r="BY484" s="26"/>
      <c r="BZ484" s="26"/>
      <c r="CA484" s="26"/>
      <c r="CB484" s="26"/>
      <c r="CC484" s="26"/>
      <c r="CD484" s="26"/>
      <c r="CE484" s="26"/>
      <c r="CF484" s="26"/>
      <c r="CG484" s="26"/>
      <c r="CH484" s="26"/>
      <c r="CI484" s="26"/>
      <c r="CJ484" s="26"/>
      <c r="CK484" s="26"/>
      <c r="CL484" s="26"/>
      <c r="CM484" s="26"/>
      <c r="CN484" s="26"/>
      <c r="CO484" s="26"/>
      <c r="CP484" s="26"/>
      <c r="CQ484" s="26"/>
      <c r="CR484" s="26"/>
      <c r="CS484" s="26"/>
      <c r="CT484" s="26"/>
      <c r="CU484" s="26"/>
      <c r="CV484" s="26"/>
      <c r="CW484" s="26"/>
      <c r="CX484" s="26"/>
      <c r="CY484" s="26"/>
      <c r="CZ484" s="26"/>
      <c r="DA484" s="26"/>
      <c r="DB484" s="26"/>
      <c r="DC484" s="26"/>
      <c r="DD484" s="26"/>
      <c r="DE484" s="26"/>
      <c r="DF484" s="26"/>
      <c r="DG484" s="26"/>
      <c r="DH484" s="26"/>
      <c r="DI484" s="26"/>
      <c r="DJ484" s="26"/>
      <c r="DK484" s="26"/>
      <c r="DL484" s="26"/>
      <c r="DM484" s="26"/>
      <c r="DN484" s="26"/>
      <c r="DO484" s="26"/>
      <c r="DP484" s="26"/>
      <c r="DQ484" s="26"/>
      <c r="DR484" s="26"/>
      <c r="DS484" s="26"/>
      <c r="DT484" s="26"/>
      <c r="DU484" s="26"/>
      <c r="DV484" s="26"/>
      <c r="DW484" s="26"/>
      <c r="DX484" s="26"/>
      <c r="DY484" s="26"/>
      <c r="DZ484" s="26"/>
    </row>
    <row r="485" spans="1:130" s="24" customFormat="1">
      <c r="A485" s="84"/>
      <c r="B485" s="62">
        <v>43586</v>
      </c>
      <c r="C485" s="63"/>
      <c r="D485" s="27"/>
    </row>
    <row r="486" spans="1:130" s="24" customFormat="1">
      <c r="A486" s="84"/>
      <c r="B486" s="62">
        <v>43556</v>
      </c>
      <c r="C486" s="63" t="s">
        <v>243</v>
      </c>
      <c r="D486" s="27"/>
    </row>
    <row r="487" spans="1:130" s="24" customFormat="1">
      <c r="A487" s="84"/>
      <c r="B487" s="62">
        <v>43525</v>
      </c>
      <c r="C487" s="63"/>
      <c r="D487" s="27"/>
    </row>
    <row r="488" spans="1:130" s="24" customFormat="1">
      <c r="A488" s="84"/>
      <c r="B488" s="62">
        <v>43497</v>
      </c>
      <c r="C488" s="63"/>
      <c r="D488" s="27"/>
    </row>
    <row r="489" spans="1:130" s="24" customFormat="1">
      <c r="A489" s="84"/>
      <c r="B489" s="62">
        <v>43466</v>
      </c>
      <c r="C489" s="63"/>
      <c r="D489" s="25"/>
      <c r="E489" s="25"/>
      <c r="F489" s="25"/>
      <c r="G489" s="25"/>
      <c r="H489" s="25"/>
      <c r="I489" s="25"/>
      <c r="J489" s="25"/>
      <c r="K489" s="25"/>
      <c r="L489" s="25"/>
      <c r="M489" s="30"/>
      <c r="N489" s="30"/>
      <c r="O489" s="30"/>
      <c r="P489" s="30"/>
      <c r="Q489" s="26"/>
      <c r="R489" s="26"/>
      <c r="S489" s="26"/>
      <c r="T489" s="26"/>
      <c r="U489" s="26"/>
      <c r="V489" s="26"/>
      <c r="W489" s="26"/>
      <c r="X489" s="26"/>
      <c r="Y489" s="26"/>
      <c r="Z489" s="26"/>
      <c r="AA489" s="26"/>
      <c r="AB489" s="26"/>
      <c r="AC489" s="26"/>
      <c r="AD489" s="26"/>
      <c r="AE489" s="26"/>
      <c r="AF489" s="26"/>
      <c r="AG489" s="26"/>
      <c r="AH489" s="26"/>
      <c r="AI489" s="26"/>
      <c r="AJ489" s="26"/>
      <c r="AK489" s="26"/>
      <c r="AL489" s="26"/>
      <c r="AM489" s="26"/>
      <c r="AN489" s="26"/>
      <c r="AO489" s="26"/>
      <c r="AP489" s="26"/>
      <c r="AQ489" s="26"/>
      <c r="AR489" s="26"/>
      <c r="AS489" s="26"/>
      <c r="AT489" s="26"/>
      <c r="AU489" s="26"/>
      <c r="AV489" s="26"/>
      <c r="AW489" s="26"/>
      <c r="AX489" s="26"/>
      <c r="AY489" s="26"/>
      <c r="AZ489" s="26"/>
      <c r="BA489" s="26"/>
      <c r="BB489" s="26"/>
      <c r="BC489" s="26"/>
      <c r="BD489" s="26"/>
      <c r="BE489" s="26"/>
      <c r="BF489" s="26"/>
      <c r="BG489" s="26"/>
      <c r="BH489" s="26"/>
      <c r="BI489" s="26"/>
      <c r="BJ489" s="26"/>
      <c r="BK489" s="26"/>
      <c r="BL489" s="26"/>
      <c r="BM489" s="26"/>
      <c r="BN489" s="26"/>
      <c r="BO489" s="26"/>
      <c r="BP489" s="26"/>
      <c r="BQ489" s="26"/>
      <c r="BR489" s="26"/>
      <c r="BS489" s="26"/>
      <c r="BT489" s="26"/>
      <c r="BU489" s="26"/>
      <c r="BV489" s="26"/>
      <c r="BW489" s="26"/>
      <c r="BX489" s="26"/>
      <c r="BY489" s="26"/>
      <c r="BZ489" s="26"/>
      <c r="CA489" s="26"/>
      <c r="CB489" s="26"/>
      <c r="CC489" s="26"/>
      <c r="CD489" s="26"/>
      <c r="CE489" s="26"/>
      <c r="CF489" s="26"/>
      <c r="CG489" s="26"/>
      <c r="CH489" s="26"/>
      <c r="CI489" s="26"/>
      <c r="CJ489" s="26"/>
      <c r="CK489" s="26"/>
      <c r="CL489" s="26"/>
      <c r="CM489" s="26"/>
      <c r="CN489" s="26"/>
      <c r="CO489" s="26"/>
      <c r="CP489" s="26"/>
      <c r="CQ489" s="26"/>
      <c r="CR489" s="26"/>
      <c r="CS489" s="26"/>
      <c r="CT489" s="26"/>
      <c r="CU489" s="26"/>
      <c r="CV489" s="26"/>
      <c r="CW489" s="26"/>
      <c r="CX489" s="26"/>
      <c r="CY489" s="26"/>
      <c r="CZ489" s="26"/>
      <c r="DA489" s="26"/>
      <c r="DB489" s="26"/>
      <c r="DC489" s="26"/>
      <c r="DD489" s="26"/>
      <c r="DE489" s="26"/>
      <c r="DF489" s="26"/>
      <c r="DG489" s="26"/>
      <c r="DH489" s="26"/>
      <c r="DI489" s="26"/>
      <c r="DJ489" s="26"/>
      <c r="DK489" s="26"/>
      <c r="DL489" s="26"/>
      <c r="DM489" s="26"/>
      <c r="DN489" s="26"/>
      <c r="DO489" s="26"/>
      <c r="DP489" s="26"/>
      <c r="DQ489" s="26"/>
      <c r="DR489" s="26"/>
      <c r="DS489" s="26"/>
      <c r="DT489" s="26"/>
      <c r="DU489" s="26"/>
      <c r="DV489" s="26"/>
      <c r="DW489" s="26"/>
      <c r="DX489" s="26"/>
      <c r="DY489" s="26"/>
      <c r="DZ489" s="26"/>
    </row>
    <row r="490" spans="1:130" s="24" customFormat="1">
      <c r="A490" s="84"/>
      <c r="B490" s="62">
        <v>43435</v>
      </c>
      <c r="C490" s="63"/>
      <c r="D490" s="27"/>
    </row>
    <row r="491" spans="1:130" s="24" customFormat="1">
      <c r="A491" s="84"/>
      <c r="B491" s="62">
        <v>43405</v>
      </c>
      <c r="C491" s="63"/>
      <c r="D491" s="25"/>
      <c r="E491" s="25"/>
      <c r="F491" s="25"/>
      <c r="G491" s="25"/>
      <c r="H491" s="25"/>
      <c r="I491" s="25"/>
      <c r="J491" s="25"/>
      <c r="K491" s="25"/>
      <c r="L491" s="25"/>
      <c r="M491" s="30"/>
      <c r="N491" s="30"/>
      <c r="O491" s="30"/>
      <c r="P491" s="30"/>
      <c r="Q491" s="26"/>
      <c r="R491" s="26"/>
      <c r="S491" s="26"/>
      <c r="T491" s="26"/>
      <c r="U491" s="26"/>
      <c r="V491" s="26"/>
      <c r="W491" s="26"/>
      <c r="X491" s="26"/>
      <c r="Y491" s="26"/>
      <c r="Z491" s="26"/>
      <c r="AA491" s="26"/>
      <c r="AB491" s="26"/>
      <c r="AC491" s="26"/>
      <c r="AD491" s="26"/>
      <c r="AE491" s="26"/>
      <c r="AF491" s="26"/>
      <c r="AG491" s="26"/>
      <c r="AH491" s="26"/>
      <c r="AI491" s="26"/>
      <c r="AJ491" s="26"/>
      <c r="AK491" s="26"/>
      <c r="AL491" s="26"/>
      <c r="AM491" s="26"/>
      <c r="AN491" s="26"/>
      <c r="AO491" s="26"/>
      <c r="AP491" s="26"/>
      <c r="AQ491" s="26"/>
      <c r="AR491" s="26"/>
      <c r="AS491" s="26"/>
      <c r="AT491" s="26"/>
      <c r="AU491" s="26"/>
      <c r="AV491" s="26"/>
      <c r="AW491" s="26"/>
      <c r="AX491" s="26"/>
      <c r="AY491" s="26"/>
      <c r="AZ491" s="26"/>
      <c r="BA491" s="26"/>
      <c r="BB491" s="26"/>
      <c r="BC491" s="26"/>
      <c r="BD491" s="26"/>
      <c r="BE491" s="26"/>
      <c r="BF491" s="26"/>
      <c r="BG491" s="26"/>
      <c r="BH491" s="26"/>
      <c r="BI491" s="26"/>
      <c r="BJ491" s="26"/>
      <c r="BK491" s="26"/>
      <c r="BL491" s="26"/>
      <c r="BM491" s="26"/>
      <c r="BN491" s="26"/>
      <c r="BO491" s="26"/>
      <c r="BP491" s="26"/>
      <c r="BQ491" s="26"/>
      <c r="BR491" s="26"/>
      <c r="BS491" s="26"/>
      <c r="BT491" s="26"/>
      <c r="BU491" s="26"/>
      <c r="BV491" s="26"/>
      <c r="BW491" s="26"/>
      <c r="BX491" s="26"/>
      <c r="BY491" s="26"/>
      <c r="BZ491" s="26"/>
      <c r="CA491" s="26"/>
      <c r="CB491" s="26"/>
      <c r="CC491" s="26"/>
      <c r="CD491" s="26"/>
      <c r="CE491" s="26"/>
      <c r="CF491" s="26"/>
      <c r="CG491" s="26"/>
      <c r="CH491" s="26"/>
      <c r="CI491" s="26"/>
      <c r="CJ491" s="26"/>
      <c r="CK491" s="26"/>
      <c r="CL491" s="26"/>
      <c r="CM491" s="26"/>
      <c r="CN491" s="26"/>
      <c r="CO491" s="26"/>
      <c r="CP491" s="26"/>
      <c r="CQ491" s="26"/>
      <c r="CR491" s="26"/>
      <c r="CS491" s="26"/>
      <c r="CT491" s="26"/>
      <c r="CU491" s="26"/>
      <c r="CV491" s="26"/>
      <c r="CW491" s="26"/>
      <c r="CX491" s="26"/>
      <c r="CY491" s="26"/>
      <c r="CZ491" s="26"/>
      <c r="DA491" s="26"/>
      <c r="DB491" s="26"/>
      <c r="DC491" s="26"/>
      <c r="DD491" s="26"/>
      <c r="DE491" s="26"/>
      <c r="DF491" s="26"/>
      <c r="DG491" s="26"/>
      <c r="DH491" s="26"/>
      <c r="DI491" s="26"/>
      <c r="DJ491" s="26"/>
      <c r="DK491" s="26"/>
      <c r="DL491" s="26"/>
      <c r="DM491" s="26"/>
      <c r="DN491" s="26"/>
      <c r="DO491" s="26"/>
      <c r="DP491" s="26"/>
      <c r="DQ491" s="26"/>
      <c r="DR491" s="26"/>
      <c r="DS491" s="26"/>
      <c r="DT491" s="26"/>
      <c r="DU491" s="26"/>
      <c r="DV491" s="26"/>
      <c r="DW491" s="26"/>
      <c r="DX491" s="26"/>
      <c r="DY491" s="26"/>
      <c r="DZ491" s="26"/>
    </row>
    <row r="492" spans="1:130" s="24" customFormat="1">
      <c r="A492" s="84"/>
      <c r="B492" s="62">
        <v>43374</v>
      </c>
      <c r="C492" s="63"/>
      <c r="D492" s="27"/>
    </row>
    <row r="493" spans="1:130" s="24" customFormat="1">
      <c r="A493" s="84"/>
      <c r="B493" s="62">
        <v>43344</v>
      </c>
      <c r="C493" s="63"/>
      <c r="D493" s="27"/>
    </row>
    <row r="494" spans="1:130" s="24" customFormat="1">
      <c r="A494" s="84"/>
      <c r="B494" s="62">
        <v>43313</v>
      </c>
      <c r="C494" s="63" t="s">
        <v>169</v>
      </c>
      <c r="D494" s="27"/>
    </row>
    <row r="495" spans="1:130" s="24" customFormat="1">
      <c r="A495" s="84"/>
      <c r="B495" s="62">
        <v>43282</v>
      </c>
      <c r="C495" s="63"/>
      <c r="D495" s="27"/>
    </row>
    <row r="496" spans="1:130" s="24" customFormat="1">
      <c r="A496" s="84"/>
      <c r="B496" s="62">
        <v>43252</v>
      </c>
      <c r="C496" s="63"/>
      <c r="D496" s="25"/>
      <c r="E496" s="25"/>
      <c r="F496" s="25"/>
      <c r="G496" s="25"/>
      <c r="H496" s="25"/>
      <c r="I496" s="25"/>
      <c r="J496" s="25"/>
      <c r="K496" s="25"/>
      <c r="L496" s="25"/>
      <c r="M496" s="30"/>
      <c r="N496" s="30"/>
      <c r="O496" s="30"/>
      <c r="P496" s="30"/>
      <c r="Q496" s="26"/>
      <c r="R496" s="26"/>
      <c r="S496" s="26"/>
      <c r="T496" s="26"/>
      <c r="U496" s="26"/>
      <c r="V496" s="26"/>
      <c r="W496" s="26"/>
      <c r="X496" s="26"/>
      <c r="Y496" s="26"/>
      <c r="Z496" s="26"/>
      <c r="AA496" s="26"/>
      <c r="AB496" s="26"/>
      <c r="AC496" s="26"/>
      <c r="AD496" s="26"/>
      <c r="AE496" s="26"/>
      <c r="AF496" s="26"/>
      <c r="AG496" s="26"/>
      <c r="AH496" s="26"/>
      <c r="AI496" s="26"/>
      <c r="AJ496" s="26"/>
      <c r="AK496" s="26"/>
      <c r="AL496" s="26"/>
      <c r="AM496" s="26"/>
      <c r="AN496" s="26"/>
      <c r="AO496" s="26"/>
      <c r="AP496" s="26"/>
      <c r="AQ496" s="26"/>
      <c r="AR496" s="26"/>
      <c r="AS496" s="26"/>
      <c r="AT496" s="26"/>
      <c r="AU496" s="26"/>
      <c r="AV496" s="26"/>
      <c r="AW496" s="26"/>
      <c r="AX496" s="26"/>
      <c r="AY496" s="26"/>
      <c r="AZ496" s="26"/>
      <c r="BA496" s="26"/>
      <c r="BB496" s="26"/>
      <c r="BC496" s="26"/>
      <c r="BD496" s="26"/>
      <c r="BE496" s="26"/>
      <c r="BF496" s="26"/>
      <c r="BG496" s="26"/>
      <c r="BH496" s="26"/>
      <c r="BI496" s="26"/>
      <c r="BJ496" s="26"/>
      <c r="BK496" s="26"/>
      <c r="BL496" s="26"/>
      <c r="BM496" s="26"/>
      <c r="BN496" s="26"/>
      <c r="BO496" s="26"/>
      <c r="BP496" s="26"/>
      <c r="BQ496" s="26"/>
      <c r="BR496" s="26"/>
      <c r="BS496" s="26"/>
      <c r="BT496" s="26"/>
      <c r="BU496" s="26"/>
      <c r="BV496" s="26"/>
      <c r="BW496" s="26"/>
      <c r="BX496" s="26"/>
      <c r="BY496" s="26"/>
      <c r="BZ496" s="26"/>
      <c r="CA496" s="26"/>
      <c r="CB496" s="26"/>
      <c r="CC496" s="26"/>
      <c r="CD496" s="26"/>
      <c r="CE496" s="26"/>
      <c r="CF496" s="26"/>
      <c r="CG496" s="26"/>
      <c r="CH496" s="26"/>
      <c r="CI496" s="26"/>
      <c r="CJ496" s="26"/>
      <c r="CK496" s="26"/>
      <c r="CL496" s="26"/>
      <c r="CM496" s="26"/>
      <c r="CN496" s="26"/>
      <c r="CO496" s="26"/>
      <c r="CP496" s="26"/>
      <c r="CQ496" s="26"/>
      <c r="CR496" s="26"/>
      <c r="CS496" s="26"/>
      <c r="CT496" s="26"/>
      <c r="CU496" s="26"/>
      <c r="CV496" s="26"/>
      <c r="CW496" s="26"/>
      <c r="CX496" s="26"/>
      <c r="CY496" s="26"/>
      <c r="CZ496" s="26"/>
      <c r="DA496" s="26"/>
      <c r="DB496" s="26"/>
      <c r="DC496" s="26"/>
      <c r="DD496" s="26"/>
      <c r="DE496" s="26"/>
      <c r="DF496" s="26"/>
      <c r="DG496" s="26"/>
      <c r="DH496" s="26"/>
      <c r="DI496" s="26"/>
      <c r="DJ496" s="26"/>
      <c r="DK496" s="26"/>
      <c r="DL496" s="26"/>
      <c r="DM496" s="26"/>
      <c r="DN496" s="26"/>
      <c r="DO496" s="26"/>
      <c r="DP496" s="26"/>
      <c r="DQ496" s="26"/>
      <c r="DR496" s="26"/>
      <c r="DS496" s="26"/>
      <c r="DT496" s="26"/>
      <c r="DU496" s="26"/>
      <c r="DV496" s="26"/>
      <c r="DW496" s="26"/>
      <c r="DX496" s="26"/>
      <c r="DY496" s="26"/>
      <c r="DZ496" s="26"/>
    </row>
    <row r="497" spans="1:130" s="24" customFormat="1">
      <c r="A497" s="84"/>
      <c r="B497" s="62">
        <v>43221</v>
      </c>
      <c r="C497" s="63"/>
      <c r="D497" s="27"/>
    </row>
    <row r="498" spans="1:130" s="24" customFormat="1">
      <c r="A498" s="84"/>
      <c r="B498" s="62">
        <v>43191</v>
      </c>
      <c r="C498" s="63"/>
      <c r="D498" s="27"/>
    </row>
    <row r="499" spans="1:130" s="24" customFormat="1">
      <c r="A499" s="84"/>
      <c r="B499" s="62">
        <v>43160</v>
      </c>
      <c r="C499" s="63"/>
      <c r="D499" s="27"/>
    </row>
    <row r="500" spans="1:130" s="24" customFormat="1">
      <c r="A500" s="84"/>
      <c r="B500" s="62">
        <v>43132</v>
      </c>
      <c r="C500" s="63"/>
      <c r="D500" s="33"/>
    </row>
    <row r="501" spans="1:130" s="24" customFormat="1">
      <c r="A501" s="84"/>
      <c r="B501" s="62">
        <v>43101</v>
      </c>
      <c r="C501" s="64" t="s">
        <v>53</v>
      </c>
      <c r="D501" s="34"/>
      <c r="E501" s="28"/>
      <c r="F501" s="28"/>
      <c r="G501" s="28"/>
      <c r="H501" s="28"/>
      <c r="I501" s="28"/>
      <c r="J501" s="28"/>
      <c r="K501" s="28"/>
      <c r="L501" s="28"/>
      <c r="M501" s="29"/>
      <c r="N501" s="29"/>
      <c r="O501" s="29"/>
      <c r="P501" s="29"/>
      <c r="Q501" s="26"/>
      <c r="R501" s="26"/>
      <c r="S501" s="26"/>
      <c r="T501" s="26"/>
      <c r="U501" s="26"/>
      <c r="V501" s="26"/>
      <c r="W501" s="26"/>
      <c r="X501" s="26"/>
      <c r="Y501" s="26"/>
      <c r="Z501" s="26"/>
      <c r="AA501" s="26"/>
      <c r="AB501" s="26"/>
      <c r="AC501" s="26"/>
      <c r="AD501" s="26"/>
      <c r="AE501" s="26"/>
      <c r="AF501" s="26"/>
      <c r="AG501" s="26"/>
      <c r="AH501" s="26"/>
      <c r="AI501" s="26"/>
      <c r="AJ501" s="26"/>
      <c r="AK501" s="26"/>
      <c r="AL501" s="26"/>
      <c r="AM501" s="26"/>
      <c r="AN501" s="26"/>
      <c r="AO501" s="26"/>
      <c r="AP501" s="26"/>
      <c r="AQ501" s="26"/>
      <c r="AR501" s="26"/>
      <c r="AS501" s="26"/>
      <c r="AT501" s="26"/>
      <c r="AU501" s="26"/>
      <c r="AV501" s="26"/>
      <c r="AW501" s="26"/>
      <c r="AX501" s="26"/>
      <c r="AY501" s="26"/>
      <c r="AZ501" s="26"/>
      <c r="BA501" s="26"/>
      <c r="BB501" s="26"/>
      <c r="BC501" s="26"/>
      <c r="BD501" s="26"/>
      <c r="BE501" s="26"/>
      <c r="BF501" s="26"/>
      <c r="BG501" s="26"/>
      <c r="BH501" s="26"/>
      <c r="BI501" s="26"/>
      <c r="BJ501" s="26"/>
      <c r="BK501" s="26"/>
      <c r="BL501" s="26"/>
      <c r="BM501" s="26"/>
      <c r="BN501" s="26"/>
      <c r="BO501" s="26"/>
      <c r="BP501" s="26"/>
      <c r="BQ501" s="26"/>
      <c r="BR501" s="26"/>
      <c r="BS501" s="26"/>
      <c r="BT501" s="26"/>
      <c r="BU501" s="26"/>
      <c r="BV501" s="26"/>
      <c r="BW501" s="26"/>
      <c r="BX501" s="26"/>
      <c r="BY501" s="26"/>
      <c r="BZ501" s="26"/>
      <c r="CA501" s="26"/>
      <c r="CB501" s="26"/>
      <c r="CC501" s="26"/>
      <c r="CD501" s="26"/>
      <c r="CE501" s="26"/>
      <c r="CF501" s="26"/>
      <c r="CG501" s="26"/>
      <c r="CH501" s="26"/>
      <c r="CI501" s="26"/>
      <c r="CJ501" s="26"/>
      <c r="CK501" s="26"/>
      <c r="CL501" s="26"/>
      <c r="CM501" s="26"/>
      <c r="CN501" s="26"/>
      <c r="CO501" s="26"/>
      <c r="CP501" s="26"/>
      <c r="CQ501" s="26"/>
      <c r="CR501" s="26"/>
      <c r="CS501" s="26"/>
      <c r="CT501" s="26"/>
      <c r="CU501" s="26"/>
      <c r="CV501" s="26"/>
      <c r="CW501" s="26"/>
      <c r="CX501" s="26"/>
      <c r="CY501" s="26"/>
      <c r="CZ501" s="26"/>
      <c r="DA501" s="26"/>
      <c r="DB501" s="26"/>
      <c r="DC501" s="26"/>
      <c r="DD501" s="26"/>
      <c r="DE501" s="26"/>
      <c r="DF501" s="26"/>
      <c r="DG501" s="26"/>
      <c r="DH501" s="26"/>
      <c r="DI501" s="26"/>
      <c r="DJ501" s="26"/>
      <c r="DK501" s="26"/>
      <c r="DL501" s="26"/>
      <c r="DM501" s="26"/>
      <c r="DN501" s="26"/>
      <c r="DO501" s="26"/>
      <c r="DP501" s="26"/>
      <c r="DQ501" s="26"/>
      <c r="DR501" s="26"/>
      <c r="DS501" s="26"/>
      <c r="DT501" s="26"/>
      <c r="DU501" s="26"/>
      <c r="DV501" s="26"/>
      <c r="DW501" s="26"/>
      <c r="DX501" s="26"/>
      <c r="DY501" s="26"/>
      <c r="DZ501" s="26"/>
    </row>
    <row r="502" spans="1:130" s="20" customFormat="1">
      <c r="A502" s="84"/>
      <c r="B502" s="65">
        <v>43070</v>
      </c>
      <c r="C502" s="64" t="s">
        <v>53</v>
      </c>
      <c r="D502" s="35"/>
    </row>
    <row r="503" spans="1:130" s="20" customFormat="1">
      <c r="A503" s="84"/>
      <c r="B503" s="65">
        <v>43040</v>
      </c>
      <c r="C503" s="64" t="s">
        <v>53</v>
      </c>
      <c r="D503" s="35"/>
    </row>
    <row r="504" spans="1:130" s="20" customFormat="1">
      <c r="A504" s="84"/>
      <c r="B504" s="65">
        <v>43009</v>
      </c>
      <c r="C504" s="56" t="s">
        <v>90</v>
      </c>
      <c r="D504" s="35"/>
    </row>
    <row r="505" spans="1:130" s="21" customFormat="1">
      <c r="A505" s="84"/>
      <c r="B505" s="65">
        <v>42979</v>
      </c>
      <c r="C505" s="67"/>
      <c r="D505" s="36"/>
    </row>
  </sheetData>
  <mergeCells count="18">
    <mergeCell ref="A478:A505"/>
    <mergeCell ref="A114:A141"/>
    <mergeCell ref="A142:A169"/>
    <mergeCell ref="A170:A197"/>
    <mergeCell ref="A198:A225"/>
    <mergeCell ref="A226:A253"/>
    <mergeCell ref="A254:A281"/>
    <mergeCell ref="A338:A365"/>
    <mergeCell ref="A366:A393"/>
    <mergeCell ref="A394:A421"/>
    <mergeCell ref="A422:A449"/>
    <mergeCell ref="A282:A309"/>
    <mergeCell ref="A310:A337"/>
    <mergeCell ref="A2:A29"/>
    <mergeCell ref="A30:A57"/>
    <mergeCell ref="A58:A85"/>
    <mergeCell ref="A86:A113"/>
    <mergeCell ref="A450:A477"/>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PMI Analysis</vt:lpstr>
      <vt:lpstr>Sectors</vt:lpstr>
      <vt:lpstr>Industry Comments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2019-04-08T23:06:18Z</dcterms:created>
  <dcterms:modified xsi:type="dcterms:W3CDTF">2019-05-12T16:53:54Z</dcterms:modified>
</cp:coreProperties>
</file>